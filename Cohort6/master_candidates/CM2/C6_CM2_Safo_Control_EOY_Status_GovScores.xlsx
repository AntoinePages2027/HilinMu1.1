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5568e1ef3ca4c6/Documents/OASIS assignment/Hilin Mu/Cohort 7/"/>
    </mc:Choice>
  </mc:AlternateContent>
  <xr:revisionPtr revIDLastSave="0" documentId="8_{56A1D34F-968D-460D-B3D4-744059EFB74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M1" sheetId="3" r:id="rId1"/>
    <sheet name="CM2" sheetId="4" r:id="rId2"/>
    <sheet name="CM1 &amp; CM2 Metrics" sheetId="2" r:id="rId3"/>
    <sheet name="Feuil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H17" i="2"/>
  <c r="F17" i="2"/>
  <c r="E17" i="2"/>
  <c r="C17" i="2"/>
  <c r="D17" i="2"/>
  <c r="B17" i="2"/>
  <c r="H13" i="2"/>
  <c r="H14" i="2"/>
  <c r="H15" i="2"/>
  <c r="H16" i="2"/>
  <c r="G13" i="2"/>
  <c r="G14" i="2"/>
  <c r="G15" i="2"/>
  <c r="G16" i="2"/>
  <c r="F13" i="2"/>
  <c r="I13" i="2" s="1"/>
  <c r="F14" i="2"/>
  <c r="I14" i="2" s="1"/>
  <c r="F15" i="2"/>
  <c r="I15" i="2" s="1"/>
  <c r="F16" i="2"/>
  <c r="I16" i="2" s="1"/>
  <c r="A72" i="4"/>
  <c r="G72" i="4"/>
  <c r="G10" i="2"/>
  <c r="F10" i="2"/>
  <c r="E10" i="2"/>
  <c r="C10" i="2"/>
  <c r="B10" i="2"/>
  <c r="D8" i="2"/>
  <c r="F8" i="2" s="1"/>
  <c r="I8" i="2" s="1"/>
  <c r="H6" i="2"/>
  <c r="H7" i="2"/>
  <c r="H8" i="2"/>
  <c r="H9" i="2"/>
  <c r="G6" i="2"/>
  <c r="G7" i="2"/>
  <c r="G8" i="2"/>
  <c r="G9" i="2"/>
  <c r="F6" i="2"/>
  <c r="I6" i="2" s="1"/>
  <c r="F7" i="2"/>
  <c r="I7" i="2" s="1"/>
  <c r="F9" i="2"/>
  <c r="I9" i="2" s="1"/>
  <c r="A81" i="3"/>
  <c r="E81" i="3"/>
  <c r="D10" i="2" l="1"/>
  <c r="I10" i="2" s="1"/>
  <c r="H10" i="2" l="1"/>
</calcChain>
</file>

<file path=xl/sharedStrings.xml><?xml version="1.0" encoding="utf-8"?>
<sst xmlns="http://schemas.openxmlformats.org/spreadsheetml/2006/main" count="1259" uniqueCount="229">
  <si>
    <t>complement des situations LFF</t>
  </si>
  <si>
    <t>les écoles TEMOINS</t>
  </si>
  <si>
    <t>a)Les élèves  FILLES du CM1</t>
  </si>
  <si>
    <t>Etablissement</t>
  </si>
  <si>
    <t xml:space="preserve">PRENOMS ET NOMS  </t>
  </si>
  <si>
    <t>Sexe</t>
  </si>
  <si>
    <t>Moyenne</t>
  </si>
  <si>
    <t>Situations FINALES</t>
  </si>
  <si>
    <t xml:space="preserve"> </t>
  </si>
  <si>
    <t>Annuelle</t>
  </si>
  <si>
    <t xml:space="preserve">Dates   et   Lieu de Naissances </t>
  </si>
  <si>
    <t>1er trim</t>
  </si>
  <si>
    <t>2eme trim</t>
  </si>
  <si>
    <t>moy CFEPD</t>
  </si>
  <si>
    <t>SOUMARANA</t>
  </si>
  <si>
    <t>Amira Noura</t>
  </si>
  <si>
    <t>F</t>
  </si>
  <si>
    <t>Passe au CM2</t>
  </si>
  <si>
    <t>Baraka  Issaka</t>
  </si>
  <si>
    <t>Choukouria Kabirou</t>
  </si>
  <si>
    <t>Soumarana</t>
  </si>
  <si>
    <t>Nana Firdaoussi sani</t>
  </si>
  <si>
    <t>31/12/2011 à Soumarana</t>
  </si>
  <si>
    <t>Orientée CEG</t>
  </si>
  <si>
    <t>Charifa Salissou</t>
  </si>
  <si>
    <t>Nana Kadidja Inoussa</t>
  </si>
  <si>
    <t>26/01/2012 à Soumarana</t>
  </si>
  <si>
    <t>Mafida Moutari</t>
  </si>
  <si>
    <t>Zaliya Garba</t>
  </si>
  <si>
    <t>01/01/2012 à Soumarana</t>
  </si>
  <si>
    <t>Nana Mariama Maazou</t>
  </si>
  <si>
    <t>Baria Idrissa</t>
  </si>
  <si>
    <t>Nana Israou Adamou</t>
  </si>
  <si>
    <t>Kadidja Rabiou</t>
  </si>
  <si>
    <t>Nabila Soulemane</t>
  </si>
  <si>
    <t>Nana Mariama Laouali</t>
  </si>
  <si>
    <t>Saadiya  Harouna</t>
  </si>
  <si>
    <t>Mardiya Issoufou</t>
  </si>
  <si>
    <t>Saida  Inoussa</t>
  </si>
  <si>
    <t>Nazifa Maâzou</t>
  </si>
  <si>
    <t>Soumaya Sabiou</t>
  </si>
  <si>
    <t>Souéba Salissou</t>
  </si>
  <si>
    <t>Zaharaou  Rabé</t>
  </si>
  <si>
    <t>Mariama Mati</t>
  </si>
  <si>
    <t>non Admise</t>
  </si>
  <si>
    <t>Orientée CFM</t>
  </si>
  <si>
    <t>Aicha Yahaya</t>
  </si>
  <si>
    <t>Nazifa Salifou</t>
  </si>
  <si>
    <t>01/01/2011 à Soumarana</t>
  </si>
  <si>
    <t>Binta  Adamou</t>
  </si>
  <si>
    <t>Malika Kassoum</t>
  </si>
  <si>
    <t>Charifa Ousman Sani</t>
  </si>
  <si>
    <t>Nadia Abdoulkarim</t>
  </si>
  <si>
    <t>Redouble</t>
  </si>
  <si>
    <t>Farida Sabiou</t>
  </si>
  <si>
    <t>Nana Moufida Zaneidou</t>
  </si>
  <si>
    <t>17/09/2011 à Dan Mazadou</t>
  </si>
  <si>
    <t>Farida Ali</t>
  </si>
  <si>
    <t>Fatchima Yahaya</t>
  </si>
  <si>
    <t>03/01/2012 à Soumarana</t>
  </si>
  <si>
    <t>Fatchima Abdoul Karim</t>
  </si>
  <si>
    <t>Mouhousna Mati</t>
  </si>
  <si>
    <t>Malika Noura     Bako</t>
  </si>
  <si>
    <t>Zakiya Mati</t>
  </si>
  <si>
    <t>Mouhoussina Laminou</t>
  </si>
  <si>
    <t>Kadidja Ila</t>
  </si>
  <si>
    <t>Nadiya Ali</t>
  </si>
  <si>
    <t>Chapia Rabé</t>
  </si>
  <si>
    <t>Nana Firdaoussi Yahaya</t>
  </si>
  <si>
    <t>Kadidja Abdou</t>
  </si>
  <si>
    <t>Nana Khadija Ousman</t>
  </si>
  <si>
    <t>Najaâtou Kabirou</t>
  </si>
  <si>
    <t>Nana Mariama Issoufou</t>
  </si>
  <si>
    <t>Zouéra Issa</t>
  </si>
  <si>
    <t>31/12/2012 à Soumarana</t>
  </si>
  <si>
    <t>Nana Malika Adamou</t>
  </si>
  <si>
    <t>Hadiza Salissou</t>
  </si>
  <si>
    <t>Zeinab Larwanou</t>
  </si>
  <si>
    <t>Nana Firdaoussi Sadda</t>
  </si>
  <si>
    <t>Nana Bassira Daouda</t>
  </si>
  <si>
    <t>Rafia Issoufou</t>
  </si>
  <si>
    <t>Houréra Tsalha</t>
  </si>
  <si>
    <t>Nafissa Tsahirou</t>
  </si>
  <si>
    <t>KANKARAN  Safo</t>
  </si>
  <si>
    <t>Farida  Sani</t>
  </si>
  <si>
    <t>Ralia Sani</t>
  </si>
  <si>
    <t>Zaharaou Saminou</t>
  </si>
  <si>
    <t>Sarai Iro</t>
  </si>
  <si>
    <t>Moumouna  Issaka</t>
  </si>
  <si>
    <t>Oumma Binia</t>
  </si>
  <si>
    <t>Zaharaou Issaka</t>
  </si>
  <si>
    <t>Rayya Saminou</t>
  </si>
  <si>
    <t>Aziza  Tsalha</t>
  </si>
  <si>
    <t>Saratou Rabé</t>
  </si>
  <si>
    <t>Nadiya Saidou</t>
  </si>
  <si>
    <t>Halimatou Halilou</t>
  </si>
  <si>
    <t>Laria Sanoussi</t>
  </si>
  <si>
    <t>Badaria Hamza</t>
  </si>
  <si>
    <r>
      <t xml:space="preserve">Redouble </t>
    </r>
    <r>
      <rPr>
        <sz val="8"/>
        <color theme="1"/>
        <rFont val="Calibri"/>
        <family val="2"/>
        <scheme val="minor"/>
      </rPr>
      <t>le</t>
    </r>
    <r>
      <rPr>
        <sz val="11"/>
        <color theme="1"/>
        <rFont val="Calibri"/>
        <family val="2"/>
        <scheme val="minor"/>
      </rPr>
      <t xml:space="preserve"> CM1</t>
    </r>
  </si>
  <si>
    <t>Samira Chitou</t>
  </si>
  <si>
    <t>Yasmina Yaou</t>
  </si>
  <si>
    <r>
      <t xml:space="preserve">Redouble </t>
    </r>
    <r>
      <rPr>
        <sz val="8"/>
        <color theme="1"/>
        <rFont val="Calibri"/>
        <family val="2"/>
        <scheme val="minor"/>
      </rPr>
      <t>le</t>
    </r>
    <r>
      <rPr>
        <sz val="11"/>
        <color theme="1"/>
        <rFont val="Calibri"/>
        <family val="2"/>
        <scheme val="minor"/>
      </rPr>
      <t xml:space="preserve"> CM1</t>
    </r>
    <r>
      <rPr>
        <sz val="11"/>
        <color theme="1"/>
        <rFont val="Calibri"/>
        <family val="2"/>
        <scheme val="minor"/>
      </rPr>
      <t/>
    </r>
  </si>
  <si>
    <t>Samira Sanoussi</t>
  </si>
  <si>
    <t>khadija Sadda</t>
  </si>
  <si>
    <r>
      <t xml:space="preserve">Exclue </t>
    </r>
    <r>
      <rPr>
        <sz val="8"/>
        <color theme="1"/>
        <rFont val="Calibri"/>
        <family val="2"/>
        <scheme val="minor"/>
      </rPr>
      <t>pour</t>
    </r>
    <r>
      <rPr>
        <sz val="11"/>
        <color theme="1"/>
        <rFont val="Calibri"/>
        <family val="2"/>
        <scheme val="minor"/>
      </rPr>
      <t xml:space="preserve"> abandon</t>
    </r>
  </si>
  <si>
    <t>KAGARA</t>
  </si>
  <si>
    <t>Zainabou  Sani</t>
  </si>
  <si>
    <t>Farida Abdou</t>
  </si>
  <si>
    <t>Aicha Mayya</t>
  </si>
  <si>
    <t>Mariama Samaila</t>
  </si>
  <si>
    <t>Farida Ousmane</t>
  </si>
  <si>
    <t>Salamatou Tassiou</t>
  </si>
  <si>
    <t>Khadija Saidou</t>
  </si>
  <si>
    <t>Fatima Sayabou</t>
  </si>
  <si>
    <t>Ramlatou Issoufou</t>
  </si>
  <si>
    <t>Mouhousina Issa</t>
  </si>
  <si>
    <t>Aminatou Mourtala</t>
  </si>
  <si>
    <t>Habibatou Souley</t>
  </si>
  <si>
    <t>Roukaya Chapii</t>
  </si>
  <si>
    <t>Hadiza  Moussa</t>
  </si>
  <si>
    <t>Rahila  Aminou</t>
  </si>
  <si>
    <t>Oumma Hamissou</t>
  </si>
  <si>
    <t>GADE</t>
  </si>
  <si>
    <t>Bassira Hamidou</t>
  </si>
  <si>
    <t>Chémaou Aboubacar</t>
  </si>
  <si>
    <t>Hanatou Rabé</t>
  </si>
  <si>
    <t>Jawaria Kalla</t>
  </si>
  <si>
    <t>Moudjahida Hamidou</t>
  </si>
  <si>
    <t>Nana Aziza Sani</t>
  </si>
  <si>
    <t>Rahila Laouali</t>
  </si>
  <si>
    <t>Rayya Hamissou</t>
  </si>
  <si>
    <t>Kankaren Safo</t>
  </si>
  <si>
    <t>Oubeida</t>
  </si>
  <si>
    <t xml:space="preserve"> Orientée   CEG </t>
  </si>
  <si>
    <t>Gadé</t>
  </si>
  <si>
    <t>Kagara</t>
  </si>
  <si>
    <t>Oubeida Roufai</t>
  </si>
  <si>
    <t>Sabila Mah.Salissou</t>
  </si>
  <si>
    <t xml:space="preserve">Rachida Maliki </t>
  </si>
  <si>
    <t>Nafissa Ousseini</t>
  </si>
  <si>
    <t>Chamsia Malaki</t>
  </si>
  <si>
    <t>Zainabou Saminou</t>
  </si>
  <si>
    <t>01/01/2010 à Kankaré</t>
  </si>
  <si>
    <t>05/01/2010 à Kankaré</t>
  </si>
  <si>
    <t>08/01/2010 à Kankaré</t>
  </si>
  <si>
    <t>09/01/2010 à Kankaré</t>
  </si>
  <si>
    <t>10/01/2010 à Kankaré</t>
  </si>
  <si>
    <t>11/01/2010 à Kankaré</t>
  </si>
  <si>
    <t>12/01/2010 à Kankaré</t>
  </si>
  <si>
    <t>Azima habibou</t>
  </si>
  <si>
    <t>Balkissa Mahamadou</t>
  </si>
  <si>
    <t>Chaawa Garba</t>
  </si>
  <si>
    <t>Firdaoussi Issoufou</t>
  </si>
  <si>
    <t>Firdaoussi Haladou</t>
  </si>
  <si>
    <t>Kadidja Ibrahim</t>
  </si>
  <si>
    <t>Maimouna Garba</t>
  </si>
  <si>
    <t>Naima Issaka</t>
  </si>
  <si>
    <t>Rachida Hamidou</t>
  </si>
  <si>
    <t>Rahila Moussa</t>
  </si>
  <si>
    <t>Zaharaou Inoussa</t>
  </si>
  <si>
    <t>Balkissa Laouali</t>
  </si>
  <si>
    <t>Bassira Issaka</t>
  </si>
  <si>
    <t>Bichiranatou Issaka</t>
  </si>
  <si>
    <t>Kalila Aminou</t>
  </si>
  <si>
    <t>Zaharaou Moutari</t>
  </si>
  <si>
    <t>01/01/2011 à Gadé</t>
  </si>
  <si>
    <t>01/01/2010 à Gadé</t>
  </si>
  <si>
    <t>Abida Haladou</t>
  </si>
  <si>
    <t>Aicha Samaila</t>
  </si>
  <si>
    <t>Aicha Mourtala</t>
  </si>
  <si>
    <t>Azima Oumarou</t>
  </si>
  <si>
    <t>Chappa Haro</t>
  </si>
  <si>
    <t>Faiza Aboubacar</t>
  </si>
  <si>
    <t>Faiza Chaibou</t>
  </si>
  <si>
    <t>Habibatou Garba</t>
  </si>
  <si>
    <t>Hassana Chapii</t>
  </si>
  <si>
    <t>Mariama Halilou</t>
  </si>
  <si>
    <t>Mariyama Sani</t>
  </si>
  <si>
    <t>Nana Farida Manirou</t>
  </si>
  <si>
    <t>Nawaratou Adamou</t>
  </si>
  <si>
    <t>Oumma Moutari</t>
  </si>
  <si>
    <t>Rabi Ousmane</t>
  </si>
  <si>
    <t>Saratou Ibrahim</t>
  </si>
  <si>
    <t>Zeinabou Moussa</t>
  </si>
  <si>
    <t>Chamsia Tsalha</t>
  </si>
  <si>
    <t>Hawaou Yahaya</t>
  </si>
  <si>
    <t>Mouchtahida Illa</t>
  </si>
  <si>
    <t>Nana Amira Ali</t>
  </si>
  <si>
    <t>Nijaâtou Hamissou</t>
  </si>
  <si>
    <t>Roumaissaou Hamissou</t>
  </si>
  <si>
    <t>01/01/2010 à Kagara</t>
  </si>
  <si>
    <t>08/11/2009 à Kagara</t>
  </si>
  <si>
    <t>01/07/2008 à Kagara</t>
  </si>
  <si>
    <t>27/03/2009 à Kagara</t>
  </si>
  <si>
    <t>01/01/2011 à Kagara</t>
  </si>
  <si>
    <t>01/08/2010 à Kagara</t>
  </si>
  <si>
    <t>10/10/2011 à Kagara</t>
  </si>
  <si>
    <t>01/01/2013 à Kagara</t>
  </si>
  <si>
    <t>03/03/2010 à Kagara</t>
  </si>
  <si>
    <t>10/02/2010 à Kagara</t>
  </si>
  <si>
    <t>04/07/2011 à Kagara</t>
  </si>
  <si>
    <t>Proposée CFM</t>
  </si>
  <si>
    <t>Ecole Kagara</t>
  </si>
  <si>
    <t>Ecole Gade</t>
  </si>
  <si>
    <t>Ecole Kankare Safo</t>
  </si>
  <si>
    <t>b) CM2</t>
  </si>
  <si>
    <t>Colonne1</t>
  </si>
  <si>
    <t>Colonne2</t>
  </si>
  <si>
    <t>Colonne3</t>
  </si>
  <si>
    <t>Colonne4</t>
  </si>
  <si>
    <t>Colonne5</t>
  </si>
  <si>
    <t>Colonne6</t>
  </si>
  <si>
    <t>Colonne7</t>
  </si>
  <si>
    <t>redouble</t>
  </si>
  <si>
    <r>
      <t>Redouble</t>
    </r>
    <r>
      <rPr>
        <sz val="8"/>
        <color theme="1"/>
        <rFont val="Calibri"/>
        <family val="2"/>
        <scheme val="minor"/>
      </rPr>
      <t xml:space="preserve"> le</t>
    </r>
    <r>
      <rPr>
        <sz val="11"/>
        <color theme="1"/>
        <rFont val="Calibri"/>
        <family val="2"/>
        <scheme val="minor"/>
      </rPr>
      <t xml:space="preserve"> CM1</t>
    </r>
  </si>
  <si>
    <t>CM2</t>
  </si>
  <si>
    <t>Ecole</t>
  </si>
  <si>
    <t>Insrites</t>
  </si>
  <si>
    <t>Abandonee #</t>
  </si>
  <si>
    <t>Presentes #</t>
  </si>
  <si>
    <t>Admises #</t>
  </si>
  <si>
    <t>Non Admise #</t>
  </si>
  <si>
    <t>Abandonee %</t>
  </si>
  <si>
    <t>Admises %</t>
  </si>
  <si>
    <t>Non Admise %</t>
  </si>
  <si>
    <t>Comments</t>
  </si>
  <si>
    <t>CM1</t>
  </si>
  <si>
    <t>Presentes</t>
  </si>
  <si>
    <t>7.43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</si>
</sst>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color rgb="FF00B05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B05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9" fontId="19" fillId="0" borderId="0" applyFont="0" applyFill="0" applyBorder="0" applyAlignment="0" applyProtection="0"/>
  </cellStyleXfs>
  <cellXfs count="149">
    <xf numFmtId="0" fontId="0" fillId="0" borderId="0" xfId="0"/>
    <xf numFmtId="0" fontId="1" fillId="0" borderId="0" xfId="0" applyFont="1"/>
    <xf numFmtId="0" fontId="5" fillId="0" borderId="2" xfId="1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left"/>
    </xf>
    <xf numFmtId="0" fontId="6" fillId="0" borderId="1" xfId="0" applyFont="1" applyBorder="1"/>
    <xf numFmtId="0" fontId="0" fillId="4" borderId="1" xfId="0" applyFill="1" applyBorder="1"/>
    <xf numFmtId="0" fontId="6" fillId="0" borderId="8" xfId="0" applyFont="1" applyBorder="1"/>
    <xf numFmtId="0" fontId="0" fillId="0" borderId="6" xfId="0" applyBorder="1"/>
    <xf numFmtId="0" fontId="7" fillId="0" borderId="1" xfId="0" applyFont="1" applyBorder="1"/>
    <xf numFmtId="0" fontId="6" fillId="4" borderId="1" xfId="0" applyFont="1" applyFill="1" applyBorder="1"/>
    <xf numFmtId="0" fontId="7" fillId="4" borderId="1" xfId="0" applyFont="1" applyFill="1" applyBorder="1"/>
    <xf numFmtId="0" fontId="6" fillId="0" borderId="9" xfId="0" applyFont="1" applyBorder="1"/>
    <xf numFmtId="0" fontId="3" fillId="0" borderId="1" xfId="1" applyFont="1" applyBorder="1" applyAlignment="1">
      <alignment horizontal="center" vertical="center" wrapText="1"/>
    </xf>
    <xf numFmtId="0" fontId="3" fillId="2" borderId="7" xfId="1" applyFont="1" applyFill="1" applyBorder="1" applyAlignment="1">
      <alignment horizontal="left" vertical="center"/>
    </xf>
    <xf numFmtId="0" fontId="5" fillId="0" borderId="7" xfId="1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14" fontId="10" fillId="5" borderId="1" xfId="0" applyNumberFormat="1" applyFont="1" applyFill="1" applyBorder="1"/>
    <xf numFmtId="0" fontId="10" fillId="5" borderId="1" xfId="0" applyFont="1" applyFill="1" applyBorder="1"/>
    <xf numFmtId="0" fontId="12" fillId="0" borderId="1" xfId="0" applyFont="1" applyBorder="1"/>
    <xf numFmtId="0" fontId="11" fillId="5" borderId="1" xfId="0" applyFont="1" applyFill="1" applyBorder="1"/>
    <xf numFmtId="0" fontId="10" fillId="0" borderId="3" xfId="0" applyFont="1" applyBorder="1"/>
    <xf numFmtId="14" fontId="10" fillId="5" borderId="1" xfId="0" applyNumberFormat="1" applyFont="1" applyFill="1" applyBorder="1" applyAlignment="1">
      <alignment horizontal="left"/>
    </xf>
    <xf numFmtId="2" fontId="14" fillId="5" borderId="1" xfId="0" applyNumberFormat="1" applyFont="1" applyFill="1" applyBorder="1"/>
    <xf numFmtId="0" fontId="14" fillId="5" borderId="1" xfId="0" applyFont="1" applyFill="1" applyBorder="1"/>
    <xf numFmtId="0" fontId="15" fillId="0" borderId="1" xfId="0" applyFont="1" applyBorder="1"/>
    <xf numFmtId="0" fontId="16" fillId="0" borderId="1" xfId="0" applyFont="1" applyBorder="1"/>
    <xf numFmtId="0" fontId="0" fillId="0" borderId="7" xfId="0" applyBorder="1" applyAlignment="1">
      <alignment horizontal="left"/>
    </xf>
    <xf numFmtId="0" fontId="6" fillId="0" borderId="7" xfId="0" applyFont="1" applyBorder="1"/>
    <xf numFmtId="0" fontId="0" fillId="0" borderId="7" xfId="0" applyBorder="1"/>
    <xf numFmtId="0" fontId="0" fillId="4" borderId="7" xfId="0" applyFill="1" applyBorder="1"/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vertical="center"/>
    </xf>
    <xf numFmtId="0" fontId="3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3" borderId="4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/>
    </xf>
    <xf numFmtId="0" fontId="10" fillId="0" borderId="2" xfId="0" applyFont="1" applyBorder="1"/>
    <xf numFmtId="14" fontId="10" fillId="5" borderId="2" xfId="0" applyNumberFormat="1" applyFont="1" applyFill="1" applyBorder="1" applyAlignment="1">
      <alignment horizontal="left"/>
    </xf>
    <xf numFmtId="0" fontId="10" fillId="5" borderId="2" xfId="0" applyFont="1" applyFill="1" applyBorder="1"/>
    <xf numFmtId="2" fontId="14" fillId="5" borderId="2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10" xfId="0" applyBorder="1"/>
    <xf numFmtId="0" fontId="9" fillId="0" borderId="5" xfId="0" applyFont="1" applyBorder="1"/>
    <xf numFmtId="0" fontId="0" fillId="0" borderId="3" xfId="0" applyBorder="1"/>
    <xf numFmtId="0" fontId="0" fillId="0" borderId="11" xfId="0" applyBorder="1"/>
    <xf numFmtId="2" fontId="0" fillId="0" borderId="7" xfId="0" applyNumberFormat="1" applyBorder="1"/>
    <xf numFmtId="0" fontId="0" fillId="0" borderId="9" xfId="0" applyBorder="1"/>
    <xf numFmtId="0" fontId="9" fillId="0" borderId="12" xfId="0" applyFont="1" applyBorder="1"/>
    <xf numFmtId="0" fontId="0" fillId="0" borderId="2" xfId="0" applyBorder="1"/>
    <xf numFmtId="0" fontId="0" fillId="0" borderId="13" xfId="0" applyBorder="1"/>
    <xf numFmtId="0" fontId="18" fillId="4" borderId="1" xfId="0" applyFont="1" applyFill="1" applyBorder="1"/>
    <xf numFmtId="0" fontId="18" fillId="0" borderId="2" xfId="0" applyFont="1" applyBorder="1"/>
    <xf numFmtId="0" fontId="18" fillId="0" borderId="1" xfId="0" applyFont="1" applyBorder="1"/>
    <xf numFmtId="0" fontId="24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6" borderId="16" xfId="0" applyFont="1" applyFill="1" applyBorder="1" applyAlignment="1">
      <alignment horizontal="center"/>
    </xf>
    <xf numFmtId="10" fontId="20" fillId="0" borderId="0" xfId="2" applyNumberFormat="1" applyFont="1" applyAlignment="1">
      <alignment horizontal="center"/>
    </xf>
    <xf numFmtId="0" fontId="20" fillId="0" borderId="0" xfId="1" applyFont="1" applyAlignment="1">
      <alignment horizontal="center" vertical="center" wrapText="1"/>
    </xf>
    <xf numFmtId="0" fontId="13" fillId="0" borderId="1" xfId="0" applyFont="1" applyBorder="1"/>
    <xf numFmtId="10" fontId="0" fillId="0" borderId="0" xfId="2" applyNumberFormat="1" applyFont="1"/>
    <xf numFmtId="0" fontId="26" fillId="0" borderId="0" xfId="0" applyFont="1"/>
    <xf numFmtId="0" fontId="13" fillId="8" borderId="6" xfId="0" applyFont="1" applyFill="1" applyBorder="1"/>
    <xf numFmtId="0" fontId="0" fillId="8" borderId="0" xfId="0" applyFill="1"/>
    <xf numFmtId="10" fontId="0" fillId="8" borderId="0" xfId="2" applyNumberFormat="1" applyFont="1" applyFill="1"/>
    <xf numFmtId="0" fontId="6" fillId="7" borderId="13" xfId="0" applyFont="1" applyFill="1" applyBorder="1"/>
    <xf numFmtId="0" fontId="6" fillId="7" borderId="17" xfId="0" applyFont="1" applyFill="1" applyBorder="1"/>
    <xf numFmtId="0" fontId="0" fillId="7" borderId="13" xfId="0" applyFill="1" applyBorder="1"/>
    <xf numFmtId="2" fontId="0" fillId="7" borderId="17" xfId="0" applyNumberFormat="1" applyFill="1" applyBorder="1" applyAlignment="1">
      <alignment vertical="center"/>
    </xf>
    <xf numFmtId="0" fontId="7" fillId="7" borderId="13" xfId="0" applyFont="1" applyFill="1" applyBorder="1"/>
    <xf numFmtId="0" fontId="8" fillId="7" borderId="13" xfId="0" applyFont="1" applyFill="1" applyBorder="1" applyAlignment="1">
      <alignment horizontal="center" vertical="center"/>
    </xf>
    <xf numFmtId="0" fontId="6" fillId="4" borderId="13" xfId="0" applyFont="1" applyFill="1" applyBorder="1"/>
    <xf numFmtId="0" fontId="7" fillId="4" borderId="13" xfId="0" applyFont="1" applyFill="1" applyBorder="1"/>
    <xf numFmtId="0" fontId="10" fillId="7" borderId="13" xfId="0" applyFont="1" applyFill="1" applyBorder="1"/>
    <xf numFmtId="14" fontId="10" fillId="5" borderId="13" xfId="0" applyNumberFormat="1" applyFont="1" applyFill="1" applyBorder="1"/>
    <xf numFmtId="0" fontId="10" fillId="5" borderId="13" xfId="0" applyFont="1" applyFill="1" applyBorder="1"/>
    <xf numFmtId="2" fontId="10" fillId="5" borderId="13" xfId="0" applyNumberFormat="1" applyFont="1" applyFill="1" applyBorder="1"/>
    <xf numFmtId="14" fontId="10" fillId="5" borderId="13" xfId="0" applyNumberFormat="1" applyFont="1" applyFill="1" applyBorder="1" applyAlignment="1">
      <alignment horizontal="left"/>
    </xf>
    <xf numFmtId="0" fontId="11" fillId="5" borderId="13" xfId="0" applyFont="1" applyFill="1" applyBorder="1"/>
    <xf numFmtId="2" fontId="10" fillId="5" borderId="13" xfId="0" applyNumberFormat="1" applyFont="1" applyFill="1" applyBorder="1" applyAlignment="1">
      <alignment horizontal="center" vertical="center"/>
    </xf>
    <xf numFmtId="0" fontId="0" fillId="7" borderId="15" xfId="0" applyFill="1" applyBorder="1"/>
    <xf numFmtId="0" fontId="0" fillId="0" borderId="0" xfId="0" applyAlignment="1">
      <alignment horizontal="right"/>
    </xf>
    <xf numFmtId="10" fontId="22" fillId="0" borderId="0" xfId="2" applyNumberFormat="1" applyFont="1"/>
    <xf numFmtId="0" fontId="0" fillId="0" borderId="15" xfId="0" applyBorder="1"/>
    <xf numFmtId="0" fontId="13" fillId="7" borderId="1" xfId="0" applyFont="1" applyFill="1" applyBorder="1"/>
    <xf numFmtId="10" fontId="0" fillId="8" borderId="0" xfId="0" applyNumberFormat="1" applyFill="1"/>
    <xf numFmtId="10" fontId="19" fillId="8" borderId="0" xfId="0" applyNumberFormat="1" applyFont="1" applyFill="1"/>
    <xf numFmtId="0" fontId="23" fillId="6" borderId="13" xfId="0" applyFont="1" applyFill="1" applyBorder="1"/>
    <xf numFmtId="2" fontId="23" fillId="6" borderId="13" xfId="0" applyNumberFormat="1" applyFont="1" applyFill="1" applyBorder="1"/>
    <xf numFmtId="0" fontId="23" fillId="6" borderId="2" xfId="0" applyFont="1" applyFill="1" applyBorder="1"/>
    <xf numFmtId="2" fontId="0" fillId="7" borderId="13" xfId="0" applyNumberFormat="1" applyFill="1" applyBorder="1"/>
    <xf numFmtId="2" fontId="0" fillId="0" borderId="13" xfId="0" applyNumberFormat="1" applyBorder="1"/>
    <xf numFmtId="0" fontId="0" fillId="7" borderId="17" xfId="0" applyFill="1" applyBorder="1"/>
    <xf numFmtId="0" fontId="0" fillId="7" borderId="14" xfId="0" applyFill="1" applyBorder="1"/>
    <xf numFmtId="0" fontId="0" fillId="0" borderId="14" xfId="0" applyBorder="1"/>
    <xf numFmtId="0" fontId="0" fillId="7" borderId="18" xfId="0" applyFill="1" applyBorder="1"/>
    <xf numFmtId="0" fontId="0" fillId="0" borderId="18" xfId="0" applyBorder="1"/>
    <xf numFmtId="0" fontId="9" fillId="7" borderId="14" xfId="0" applyFont="1" applyFill="1" applyBorder="1"/>
    <xf numFmtId="0" fontId="9" fillId="0" borderId="14" xfId="0" applyFont="1" applyBorder="1"/>
    <xf numFmtId="0" fontId="0" fillId="7" borderId="0" xfId="0" applyFill="1"/>
    <xf numFmtId="0" fontId="0" fillId="7" borderId="8" xfId="0" applyFill="1" applyBorder="1"/>
    <xf numFmtId="2" fontId="0" fillId="7" borderId="8" xfId="0" applyNumberFormat="1" applyFill="1" applyBorder="1"/>
    <xf numFmtId="0" fontId="0" fillId="7" borderId="14" xfId="0" applyFill="1" applyBorder="1" applyAlignment="1">
      <alignment horizontal="left"/>
    </xf>
    <xf numFmtId="0" fontId="10" fillId="7" borderId="14" xfId="0" applyFont="1" applyFill="1" applyBorder="1" applyAlignment="1">
      <alignment horizontal="left"/>
    </xf>
    <xf numFmtId="0" fontId="10" fillId="7" borderId="14" xfId="0" applyFont="1" applyFill="1" applyBorder="1"/>
    <xf numFmtId="0" fontId="0" fillId="4" borderId="13" xfId="0" applyFill="1" applyBorder="1"/>
    <xf numFmtId="0" fontId="12" fillId="7" borderId="13" xfId="0" applyFont="1" applyFill="1" applyBorder="1"/>
    <xf numFmtId="0" fontId="11" fillId="4" borderId="13" xfId="0" applyFont="1" applyFill="1" applyBorder="1"/>
    <xf numFmtId="0" fontId="16" fillId="7" borderId="13" xfId="0" applyFont="1" applyFill="1" applyBorder="1"/>
    <xf numFmtId="0" fontId="11" fillId="7" borderId="13" xfId="0" applyFont="1" applyFill="1" applyBorder="1"/>
    <xf numFmtId="0" fontId="3" fillId="7" borderId="0" xfId="1" applyFont="1" applyFill="1" applyAlignment="1">
      <alignment horizontal="center" vertical="center" wrapText="1"/>
    </xf>
    <xf numFmtId="0" fontId="3" fillId="2" borderId="8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center" vertical="center"/>
    </xf>
    <xf numFmtId="0" fontId="5" fillId="7" borderId="8" xfId="1" applyFont="1" applyFill="1" applyBorder="1" applyAlignment="1">
      <alignment horizontal="center" vertical="center"/>
    </xf>
    <xf numFmtId="0" fontId="9" fillId="7" borderId="0" xfId="0" applyFont="1" applyFill="1"/>
    <xf numFmtId="2" fontId="0" fillId="7" borderId="17" xfId="0" applyNumberFormat="1" applyFill="1" applyBorder="1" applyAlignment="1">
      <alignment horizontal="right" vertical="center"/>
    </xf>
    <xf numFmtId="0" fontId="23" fillId="7" borderId="8" xfId="0" applyFont="1" applyFill="1" applyBorder="1" applyAlignment="1">
      <alignment horizontal="center" vertical="center"/>
    </xf>
    <xf numFmtId="0" fontId="10" fillId="7" borderId="0" xfId="0" applyFont="1" applyFill="1"/>
    <xf numFmtId="0" fontId="10" fillId="7" borderId="8" xfId="0" applyFont="1" applyFill="1" applyBorder="1"/>
    <xf numFmtId="0" fontId="10" fillId="5" borderId="8" xfId="0" applyFont="1" applyFill="1" applyBorder="1" applyAlignment="1">
      <alignment horizontal="left"/>
    </xf>
    <xf numFmtId="0" fontId="10" fillId="5" borderId="8" xfId="0" applyFont="1" applyFill="1" applyBorder="1"/>
    <xf numFmtId="0" fontId="10" fillId="5" borderId="8" xfId="0" applyFont="1" applyFill="1" applyBorder="1" applyAlignment="1">
      <alignment horizontal="center" vertical="center"/>
    </xf>
    <xf numFmtId="0" fontId="16" fillId="7" borderId="8" xfId="0" applyFont="1" applyFill="1" applyBorder="1"/>
    <xf numFmtId="0" fontId="3" fillId="0" borderId="1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4" xfId="1" xr:uid="{00000000-0005-0000-0000-000001000000}"/>
    <cellStyle name="Percent" xfId="2" builtinId="5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dd/mm/yyyy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</dxf>
    <dxf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</dxf>
    <dxf>
      <fill>
        <patternFill patternType="solid">
          <fgColor indexed="64"/>
          <bgColor rgb="FF00B050"/>
        </patternFill>
      </fill>
    </dxf>
    <dxf>
      <numFmt numFmtId="0" formatCode="General"/>
    </dxf>
    <dxf>
      <fill>
        <patternFill patternType="solid">
          <fgColor indexed="64"/>
          <bgColor rgb="FF00B050"/>
        </patternFill>
      </fill>
    </dxf>
    <dxf>
      <alignment horizontal="right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m/d/yy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9433F4-BA59-B84F-8918-39B12D1CB257}" name="Table8" displayName="Table8" ref="A9:E81" totalsRowCount="1" headerRowDxfId="86" dataDxfId="85" tableBorderDxfId="84">
  <autoFilter ref="A9:E80" xr:uid="{449433F4-BA59-B84F-8918-39B12D1CB257}"/>
  <tableColumns count="5">
    <tableColumn id="1" xr3:uid="{34FD74E4-2C60-F14D-81EF-F042B5238FCF}" name="SOUMARANA" totalsRowFunction="count" dataDxfId="83" totalsRowDxfId="82"/>
    <tableColumn id="2" xr3:uid="{042A8B42-8D05-B64D-8151-E60501A7C463}" name="Amira Noura" dataDxfId="81" totalsRowDxfId="80"/>
    <tableColumn id="3" xr3:uid="{CF22E84E-9E40-3E45-A075-DF83AFCED6EE}" name="F" dataDxfId="79" totalsRowDxfId="78"/>
    <tableColumn id="4" xr3:uid="{00F7F9D0-AF5C-6243-849B-BE78E25FB7E0}" name="7.43" dataDxfId="77" totalsRowDxfId="76"/>
    <tableColumn id="5" xr3:uid="{518BB1A5-A515-8243-BAED-4F72A07D00F0}" name="Passe au CM2" totalsRowFunction="count" dataDxfId="75" totalsRowDxfId="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E125F5-961A-EC45-85C4-C258E60DB60E}" name="Table10" displayName="Table10" ref="A1:G72" totalsRowCount="1" headerRowDxfId="73" tableBorderDxfId="72">
  <autoFilter ref="A1:G71" xr:uid="{6FE125F5-961A-EC45-85C4-C258E60DB60E}"/>
  <tableColumns count="7">
    <tableColumn id="1" xr3:uid="{4135C1C7-0FCD-6040-B873-804E6DB34656}" name="Etablissement" totalsRowFunction="count" dataDxfId="71" totalsRowDxfId="70"/>
    <tableColumn id="2" xr3:uid="{347A910F-3FA5-DA41-9176-10FDEBBB322A}" name="PRENOMS ET NOMS  " dataDxfId="69" totalsRowDxfId="68"/>
    <tableColumn id="3" xr3:uid="{F324CD09-F06D-244B-9669-C768B1422D95}" name="Dates   et   Lieu de Naissances " dataDxfId="67" totalsRowDxfId="66"/>
    <tableColumn id="4" xr3:uid="{10E9493F-11C7-5A42-BB3B-3E47C2BE427B}" name="1er trim" dataDxfId="65" totalsRowDxfId="64"/>
    <tableColumn id="5" xr3:uid="{64F767E8-2663-3444-94B6-412BC1C2E3BF}" name="2eme trim" dataDxfId="63" totalsRowDxfId="62"/>
    <tableColumn id="6" xr3:uid="{79F218FE-64D8-D14E-B046-CA13DF4967E4}" name="moy CFEPD" dataDxfId="61" totalsRowDxfId="60"/>
    <tableColumn id="7" xr3:uid="{514A2763-DF64-B54A-B45D-3066D50BF8B7}" name="Situations FINALES" totalsRowFunction="count" dataDxfId="59" totalsRowDxfId="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71EC25-4DD4-AF4E-8753-19157B20A146}" name="Table545" displayName="Table545" ref="A12:J17" totalsRowCount="1" headerRowDxfId="57" totalsRowDxfId="56">
  <autoFilter ref="A12:J16" xr:uid="{C771EC25-4DD4-AF4E-8753-19157B20A146}"/>
  <tableColumns count="10">
    <tableColumn id="1" xr3:uid="{C0A8A519-9CC7-F946-9C1F-6B663AD4DCB4}" name="Ecole" dataDxfId="55" totalsRowDxfId="54"/>
    <tableColumn id="2" xr3:uid="{6DC1CA51-05AC-FA4F-B3B2-2C2959BD72D9}" name="Insrites" totalsRowFunction="sum" dataDxfId="53" totalsRowDxfId="52"/>
    <tableColumn id="6" xr3:uid="{6D564C46-7EFA-7C43-993E-CF08F4D1F5F1}" name="Abandonee #" totalsRowFunction="sum" dataDxfId="51" totalsRowDxfId="50"/>
    <tableColumn id="5" xr3:uid="{0CAE6C36-B03C-C64D-9972-4CEE36B70CC6}" name="Presentes #" totalsRowFunction="sum" dataDxfId="49" totalsRowDxfId="48"/>
    <tableColumn id="3" xr3:uid="{1F1A4DED-3E94-BE4E-A2F2-876CE40C4227}" name="Admises #" totalsRowFunction="sum" dataDxfId="47" totalsRowDxfId="46"/>
    <tableColumn id="4" xr3:uid="{A4E1211B-8164-534A-8626-8A0D1619A050}" name="Non Admise #" totalsRowFunction="sum" dataDxfId="45" totalsRowDxfId="44">
      <calculatedColumnFormula>Table545[[#This Row],[Presentes '#]]-Table545[[#This Row],[Admises '#]]</calculatedColumnFormula>
    </tableColumn>
    <tableColumn id="7" xr3:uid="{DBD713B6-2205-2741-8D8C-277050E88032}" name="Abandonee %" dataDxfId="43" totalsRowDxfId="42" dataCellStyle="Percent" totalsRowCellStyle="Percent">
      <calculatedColumnFormula>Table545[[#This Row],[Abandonee '#]]/Table545[[#This Row],[Insrites]]</calculatedColumnFormula>
    </tableColumn>
    <tableColumn id="10" xr3:uid="{888F8808-36B7-3147-8D92-2DD21F93C6F6}" name="Admises %" totalsRowFunction="custom" dataDxfId="41" totalsRowDxfId="40" totalsRowCellStyle="Percent">
      <calculatedColumnFormula>Table545[[#This Row],[Admises '#]]/Table545[[#This Row],[Presentes '#]]</calculatedColumnFormula>
      <totalsRowFormula>Table545[[#Totals],[Admises '#]]/Table545[[#Totals],[Presentes '#]]</totalsRowFormula>
    </tableColumn>
    <tableColumn id="11" xr3:uid="{B64C5C27-071E-EC49-8CCC-E06C72EC9955}" name="Non Admise %" totalsRowFunction="custom" dataDxfId="39" totalsRowDxfId="38" dataCellStyle="Percent" totalsRowCellStyle="Percent">
      <calculatedColumnFormula>Table545[[#This Row],[Non Admise '#]]/Table545[[#This Row],[Presentes '#]]</calculatedColumnFormula>
      <totalsRowFormula>Table545[[#Totals],[Non Admise '#]]/Table545[[#Totals],[Presentes '#]]</totalsRowFormula>
    </tableColumn>
    <tableColumn id="12" xr3:uid="{06E380BA-3021-AA4D-8F0C-E7C7B216327A}" name="Comments" totalsRow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0C4C45-8109-034A-8D0A-F50A6EC8EE8A}" name="Table556" displayName="Table556" ref="A5:J10" totalsRowCount="1" headerRowDxfId="36" totalsRowDxfId="35">
  <autoFilter ref="A5:J9" xr:uid="{E30C4C45-8109-034A-8D0A-F50A6EC8EE8A}"/>
  <tableColumns count="10">
    <tableColumn id="1" xr3:uid="{E73423BC-D76F-BC4C-AAFC-843C39CCAC8E}" name="Ecole" dataDxfId="34" totalsRowDxfId="33"/>
    <tableColumn id="2" xr3:uid="{BCE76ED0-1EE6-2740-B0CC-E6EFFF7D41CD}" name="Insrites" totalsRowFunction="sum" dataDxfId="32" totalsRowDxfId="31"/>
    <tableColumn id="6" xr3:uid="{6285B765-3601-2D4B-A0DF-1FDE82EFA253}" name="Abandonee #" totalsRowFunction="sum" totalsRowDxfId="30"/>
    <tableColumn id="5" xr3:uid="{69B0ED7E-FE78-F04C-9CBE-9A2D28677722}" name="Presentes" totalsRowFunction="sum" dataDxfId="29" totalsRowDxfId="28"/>
    <tableColumn id="3" xr3:uid="{78A8CD5F-4B58-8744-87C5-1082471BC904}" name="Admises #" totalsRowFunction="sum" dataDxfId="27" totalsRowDxfId="26"/>
    <tableColumn id="4" xr3:uid="{1730402C-B429-7B40-967A-E7D75B187887}" name="Non Admise #" totalsRowFunction="sum" dataDxfId="25" totalsRowDxfId="24">
      <calculatedColumnFormula>Table556[[#This Row],[Presentes]]-Table556[[#This Row],[Admises '#]]</calculatedColumnFormula>
    </tableColumn>
    <tableColumn id="7" xr3:uid="{219345D2-4642-D646-B153-9ADA59CDA279}" name="Abandonee %" totalsRowFunction="custom" dataDxfId="23" totalsRowDxfId="22" dataCellStyle="Percent">
      <calculatedColumnFormula>Table556[[#This Row],[Abandonee '#]]/Table556[[#This Row],[Insrites]]</calculatedColumnFormula>
      <totalsRowFormula>Table556[[#Totals],[Abandonee '#]]/Table556[[#Totals],[Insrites]]</totalsRowFormula>
    </tableColumn>
    <tableColumn id="10" xr3:uid="{A7F10406-5326-3841-8193-FA651281B533}" name="Admises %" totalsRowFunction="custom" dataDxfId="21" totalsRowDxfId="20" dataCellStyle="Percent">
      <calculatedColumnFormula>Table556[[#This Row],[Admises '#]]/Table556[[#This Row],[Presentes]]</calculatedColumnFormula>
      <totalsRowFormula>Table556[[#Totals],[Admises '#]]/Table556[[#Totals],[Presentes]]</totalsRowFormula>
    </tableColumn>
    <tableColumn id="11" xr3:uid="{65B6AD19-ECC1-5D4C-B6B8-9A9B212166C4}" name="Non Admise %" totalsRowFunction="custom" dataDxfId="19" totalsRowDxfId="18" dataCellStyle="Percent">
      <calculatedColumnFormula>Table556[[#This Row],[Non Admise '#]]/Table556[[#This Row],[Presentes]]</calculatedColumnFormula>
      <totalsRowFormula>Table556[[#Totals],[Non Admise '#]]/Table556[[#Totals],[Presentes]]</totalsRowFormula>
    </tableColumn>
    <tableColumn id="12" xr3:uid="{9CE233C3-02DC-714E-B25B-442E026CFAFD}" name="Comments" totalsRow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8:E83" totalsRowShown="0" headerRowDxfId="16" headerRowBorderDxfId="15" tableBorderDxfId="14">
  <autoFilter ref="A8:E83" xr:uid="{00000000-0009-0000-0100-000002000000}"/>
  <tableColumns count="5">
    <tableColumn id="1" xr3:uid="{00000000-0010-0000-0100-000001000000}" name="Colonne1" dataDxfId="13"/>
    <tableColumn id="2" xr3:uid="{00000000-0010-0000-0100-000002000000}" name="Colonne2" dataDxfId="12"/>
    <tableColumn id="3" xr3:uid="{00000000-0010-0000-0100-000003000000}" name="Colonne3" dataDxfId="11"/>
    <tableColumn id="4" xr3:uid="{00000000-0010-0000-0100-000004000000}" name="Colonne4" dataDxfId="10"/>
    <tableColumn id="5" xr3:uid="{00000000-0010-0000-0100-000005000000}" name="Colonne5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G7:M83" totalsRowShown="0" headerRowDxfId="8" tableBorderDxfId="7">
  <autoFilter ref="G7:M83" xr:uid="{00000000-0009-0000-0100-000001000000}"/>
  <tableColumns count="7">
    <tableColumn id="1" xr3:uid="{00000000-0010-0000-0000-000001000000}" name="Colonne1" dataDxfId="6"/>
    <tableColumn id="2" xr3:uid="{00000000-0010-0000-0000-000002000000}" name="Colonne2" dataDxfId="5"/>
    <tableColumn id="3" xr3:uid="{00000000-0010-0000-0000-000003000000}" name="Colonne3" dataDxfId="4"/>
    <tableColumn id="4" xr3:uid="{00000000-0010-0000-0000-000004000000}" name="Colonne4" dataDxfId="3"/>
    <tableColumn id="5" xr3:uid="{00000000-0010-0000-0000-000005000000}" name="Colonne5" dataDxfId="2"/>
    <tableColumn id="6" xr3:uid="{00000000-0010-0000-0000-000006000000}" name="Colonne6" dataDxfId="1"/>
    <tableColumn id="7" xr3:uid="{00000000-0010-0000-0000-000007000000}" name="Colonne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topLeftCell="A6" workbookViewId="0">
      <selection activeCell="A9" sqref="A9:XFD9"/>
    </sheetView>
  </sheetViews>
  <sheetFormatPr defaultColWidth="10.90625" defaultRowHeight="14.5" x14ac:dyDescent="0.35"/>
  <cols>
    <col min="1" max="1" width="24.6328125" bestFit="1" customWidth="1"/>
    <col min="2" max="2" width="19" bestFit="1" customWidth="1"/>
    <col min="3" max="3" width="22.1796875" bestFit="1" customWidth="1"/>
    <col min="4" max="4" width="11.1796875" bestFit="1" customWidth="1"/>
    <col min="5" max="5" width="15.81640625" bestFit="1" customWidth="1"/>
  </cols>
  <sheetData>
    <row r="1" spans="1:5" x14ac:dyDescent="0.35">
      <c r="A1" t="s">
        <v>0</v>
      </c>
    </row>
    <row r="3" spans="1:5" x14ac:dyDescent="0.35">
      <c r="B3" t="s">
        <v>1</v>
      </c>
    </row>
    <row r="4" spans="1:5" x14ac:dyDescent="0.35">
      <c r="B4" s="1"/>
      <c r="C4" t="s">
        <v>2</v>
      </c>
    </row>
    <row r="5" spans="1:5" x14ac:dyDescent="0.35">
      <c r="A5" s="137" t="s">
        <v>3</v>
      </c>
      <c r="B5" s="138" t="s">
        <v>4</v>
      </c>
      <c r="C5" s="141" t="s">
        <v>5</v>
      </c>
      <c r="D5" s="2" t="s">
        <v>6</v>
      </c>
      <c r="E5" s="142" t="s">
        <v>7</v>
      </c>
    </row>
    <row r="6" spans="1:5" x14ac:dyDescent="0.35">
      <c r="A6" s="137"/>
      <c r="B6" s="139"/>
      <c r="C6" s="141"/>
      <c r="D6" s="145" t="s">
        <v>9</v>
      </c>
      <c r="E6" s="143"/>
    </row>
    <row r="7" spans="1:5" x14ac:dyDescent="0.35">
      <c r="A7" s="137"/>
      <c r="B7" s="140"/>
      <c r="C7" s="141"/>
      <c r="D7" s="146"/>
      <c r="E7" s="144"/>
    </row>
    <row r="8" spans="1:5" x14ac:dyDescent="0.35">
      <c r="A8" s="101" t="s">
        <v>206</v>
      </c>
      <c r="B8" s="101" t="s">
        <v>207</v>
      </c>
      <c r="C8" s="101" t="s">
        <v>208</v>
      </c>
      <c r="D8" s="102" t="s">
        <v>209</v>
      </c>
      <c r="E8" s="103" t="s">
        <v>210</v>
      </c>
    </row>
    <row r="9" spans="1:5" x14ac:dyDescent="0.35">
      <c r="A9" s="113" t="s">
        <v>14</v>
      </c>
      <c r="B9" s="114" t="s">
        <v>15</v>
      </c>
      <c r="C9" s="114" t="s">
        <v>16</v>
      </c>
      <c r="D9" s="115" t="s">
        <v>228</v>
      </c>
      <c r="E9" s="114" t="s">
        <v>17</v>
      </c>
    </row>
    <row r="10" spans="1:5" x14ac:dyDescent="0.35">
      <c r="A10" s="108" t="s">
        <v>14</v>
      </c>
      <c r="B10" s="63" t="s">
        <v>18</v>
      </c>
      <c r="C10" s="63" t="s">
        <v>16</v>
      </c>
      <c r="D10" s="105">
        <v>7.69</v>
      </c>
      <c r="E10" s="63" t="s">
        <v>17</v>
      </c>
    </row>
    <row r="11" spans="1:5" x14ac:dyDescent="0.35">
      <c r="A11" s="107" t="s">
        <v>14</v>
      </c>
      <c r="B11" s="81" t="s">
        <v>19</v>
      </c>
      <c r="C11" s="81" t="s">
        <v>16</v>
      </c>
      <c r="D11" s="104">
        <v>3.76</v>
      </c>
      <c r="E11" s="81" t="s">
        <v>213</v>
      </c>
    </row>
    <row r="12" spans="1:5" x14ac:dyDescent="0.35">
      <c r="A12" s="108" t="s">
        <v>14</v>
      </c>
      <c r="B12" s="63" t="s">
        <v>24</v>
      </c>
      <c r="C12" s="63" t="s">
        <v>16</v>
      </c>
      <c r="D12" s="105">
        <v>1.84</v>
      </c>
      <c r="E12" s="63" t="s">
        <v>213</v>
      </c>
    </row>
    <row r="13" spans="1:5" x14ac:dyDescent="0.35">
      <c r="A13" s="107" t="s">
        <v>14</v>
      </c>
      <c r="B13" s="81" t="s">
        <v>27</v>
      </c>
      <c r="C13" s="81" t="s">
        <v>16</v>
      </c>
      <c r="D13" s="104">
        <v>6.23</v>
      </c>
      <c r="E13" s="81" t="s">
        <v>17</v>
      </c>
    </row>
    <row r="14" spans="1:5" x14ac:dyDescent="0.35">
      <c r="A14" s="108" t="s">
        <v>14</v>
      </c>
      <c r="B14" s="63" t="s">
        <v>30</v>
      </c>
      <c r="C14" s="63" t="s">
        <v>16</v>
      </c>
      <c r="D14" s="105">
        <v>5.07</v>
      </c>
      <c r="E14" s="63" t="s">
        <v>17</v>
      </c>
    </row>
    <row r="15" spans="1:5" x14ac:dyDescent="0.35">
      <c r="A15" s="107" t="s">
        <v>14</v>
      </c>
      <c r="B15" s="81" t="s">
        <v>32</v>
      </c>
      <c r="C15" s="81" t="s">
        <v>16</v>
      </c>
      <c r="D15" s="104">
        <v>2.23</v>
      </c>
      <c r="E15" s="81" t="s">
        <v>213</v>
      </c>
    </row>
    <row r="16" spans="1:5" x14ac:dyDescent="0.35">
      <c r="A16" s="108" t="s">
        <v>14</v>
      </c>
      <c r="B16" s="63" t="s">
        <v>34</v>
      </c>
      <c r="C16" s="63" t="s">
        <v>16</v>
      </c>
      <c r="D16" s="105">
        <v>4.03</v>
      </c>
      <c r="E16" s="63" t="s">
        <v>213</v>
      </c>
    </row>
    <row r="17" spans="1:5" x14ac:dyDescent="0.35">
      <c r="A17" s="107" t="s">
        <v>14</v>
      </c>
      <c r="B17" s="81" t="s">
        <v>36</v>
      </c>
      <c r="C17" s="81" t="s">
        <v>16</v>
      </c>
      <c r="D17" s="104">
        <v>1.61</v>
      </c>
      <c r="E17" s="81" t="s">
        <v>213</v>
      </c>
    </row>
    <row r="18" spans="1:5" x14ac:dyDescent="0.35">
      <c r="A18" s="108" t="s">
        <v>14</v>
      </c>
      <c r="B18" s="63" t="s">
        <v>38</v>
      </c>
      <c r="C18" s="63" t="s">
        <v>16</v>
      </c>
      <c r="D18" s="105">
        <v>7.46</v>
      </c>
      <c r="E18" s="63" t="s">
        <v>17</v>
      </c>
    </row>
    <row r="19" spans="1:5" x14ac:dyDescent="0.35">
      <c r="A19" s="107" t="s">
        <v>14</v>
      </c>
      <c r="B19" s="81" t="s">
        <v>40</v>
      </c>
      <c r="C19" s="81" t="s">
        <v>16</v>
      </c>
      <c r="D19" s="104">
        <v>4.53</v>
      </c>
      <c r="E19" s="81" t="s">
        <v>17</v>
      </c>
    </row>
    <row r="20" spans="1:5" x14ac:dyDescent="0.35">
      <c r="A20" s="108" t="s">
        <v>14</v>
      </c>
      <c r="B20" s="63" t="s">
        <v>42</v>
      </c>
      <c r="C20" s="63" t="s">
        <v>16</v>
      </c>
      <c r="D20" s="105">
        <v>5.07</v>
      </c>
      <c r="E20" s="63" t="s">
        <v>17</v>
      </c>
    </row>
    <row r="21" spans="1:5" x14ac:dyDescent="0.35">
      <c r="A21" s="107" t="s">
        <v>14</v>
      </c>
      <c r="B21" s="81" t="s">
        <v>46</v>
      </c>
      <c r="C21" s="81" t="s">
        <v>16</v>
      </c>
      <c r="D21" s="104">
        <v>4.9000000000000004</v>
      </c>
      <c r="E21" s="81" t="s">
        <v>17</v>
      </c>
    </row>
    <row r="22" spans="1:5" x14ac:dyDescent="0.35">
      <c r="A22" s="108" t="s">
        <v>14</v>
      </c>
      <c r="B22" s="63" t="s">
        <v>49</v>
      </c>
      <c r="C22" s="63" t="s">
        <v>16</v>
      </c>
      <c r="D22" s="105">
        <v>4.95</v>
      </c>
      <c r="E22" s="63" t="s">
        <v>17</v>
      </c>
    </row>
    <row r="23" spans="1:5" x14ac:dyDescent="0.35">
      <c r="A23" s="107" t="s">
        <v>14</v>
      </c>
      <c r="B23" s="81" t="s">
        <v>51</v>
      </c>
      <c r="C23" s="81" t="s">
        <v>16</v>
      </c>
      <c r="D23" s="104">
        <v>5.69</v>
      </c>
      <c r="E23" s="81" t="s">
        <v>17</v>
      </c>
    </row>
    <row r="24" spans="1:5" x14ac:dyDescent="0.35">
      <c r="A24" s="108" t="s">
        <v>14</v>
      </c>
      <c r="B24" s="63" t="s">
        <v>54</v>
      </c>
      <c r="C24" s="63" t="s">
        <v>16</v>
      </c>
      <c r="D24" s="105">
        <v>4.66</v>
      </c>
      <c r="E24" s="63" t="s">
        <v>17</v>
      </c>
    </row>
    <row r="25" spans="1:5" x14ac:dyDescent="0.35">
      <c r="A25" s="107" t="s">
        <v>14</v>
      </c>
      <c r="B25" s="81" t="s">
        <v>57</v>
      </c>
      <c r="C25" s="81" t="s">
        <v>16</v>
      </c>
      <c r="D25" s="104">
        <v>2.4700000000000002</v>
      </c>
      <c r="E25" s="81" t="s">
        <v>213</v>
      </c>
    </row>
    <row r="26" spans="1:5" x14ac:dyDescent="0.35">
      <c r="A26" s="108" t="s">
        <v>14</v>
      </c>
      <c r="B26" s="63" t="s">
        <v>60</v>
      </c>
      <c r="C26" s="63" t="s">
        <v>16</v>
      </c>
      <c r="D26" s="105">
        <v>4.88</v>
      </c>
      <c r="E26" s="63" t="s">
        <v>17</v>
      </c>
    </row>
    <row r="27" spans="1:5" x14ac:dyDescent="0.35">
      <c r="A27" s="107" t="s">
        <v>14</v>
      </c>
      <c r="B27" s="81" t="s">
        <v>62</v>
      </c>
      <c r="C27" s="81" t="s">
        <v>16</v>
      </c>
      <c r="D27" s="104">
        <v>7.55</v>
      </c>
      <c r="E27" s="81" t="s">
        <v>17</v>
      </c>
    </row>
    <row r="28" spans="1:5" x14ac:dyDescent="0.35">
      <c r="A28" s="108" t="s">
        <v>14</v>
      </c>
      <c r="B28" s="63" t="s">
        <v>64</v>
      </c>
      <c r="C28" s="63" t="s">
        <v>16</v>
      </c>
      <c r="D28" s="105">
        <v>1.5</v>
      </c>
      <c r="E28" s="63" t="s">
        <v>213</v>
      </c>
    </row>
    <row r="29" spans="1:5" x14ac:dyDescent="0.35">
      <c r="A29" s="107" t="s">
        <v>14</v>
      </c>
      <c r="B29" s="81" t="s">
        <v>66</v>
      </c>
      <c r="C29" s="81" t="s">
        <v>16</v>
      </c>
      <c r="D29" s="104">
        <v>4.9000000000000004</v>
      </c>
      <c r="E29" s="81" t="s">
        <v>17</v>
      </c>
    </row>
    <row r="30" spans="1:5" x14ac:dyDescent="0.35">
      <c r="A30" s="108" t="s">
        <v>14</v>
      </c>
      <c r="B30" s="63" t="s">
        <v>68</v>
      </c>
      <c r="C30" s="63" t="s">
        <v>16</v>
      </c>
      <c r="D30" s="105">
        <v>4.59</v>
      </c>
      <c r="E30" s="63" t="s">
        <v>17</v>
      </c>
    </row>
    <row r="31" spans="1:5" x14ac:dyDescent="0.35">
      <c r="A31" s="107" t="s">
        <v>14</v>
      </c>
      <c r="B31" s="81" t="s">
        <v>70</v>
      </c>
      <c r="C31" s="81" t="s">
        <v>16</v>
      </c>
      <c r="D31" s="104">
        <v>5.75</v>
      </c>
      <c r="E31" s="81" t="s">
        <v>17</v>
      </c>
    </row>
    <row r="32" spans="1:5" x14ac:dyDescent="0.35">
      <c r="A32" s="108" t="s">
        <v>14</v>
      </c>
      <c r="B32" s="63" t="s">
        <v>72</v>
      </c>
      <c r="C32" s="63" t="s">
        <v>16</v>
      </c>
      <c r="D32" s="105">
        <v>3.32</v>
      </c>
      <c r="E32" s="63" t="s">
        <v>213</v>
      </c>
    </row>
    <row r="33" spans="1:5" x14ac:dyDescent="0.35">
      <c r="A33" s="107" t="s">
        <v>14</v>
      </c>
      <c r="B33" s="81" t="s">
        <v>75</v>
      </c>
      <c r="C33" s="81" t="s">
        <v>16</v>
      </c>
      <c r="D33" s="104">
        <v>3.94</v>
      </c>
      <c r="E33" s="81" t="s">
        <v>213</v>
      </c>
    </row>
    <row r="34" spans="1:5" x14ac:dyDescent="0.35">
      <c r="A34" s="108" t="s">
        <v>14</v>
      </c>
      <c r="B34" s="63" t="s">
        <v>77</v>
      </c>
      <c r="C34" s="63" t="s">
        <v>16</v>
      </c>
      <c r="D34" s="105">
        <v>2.64</v>
      </c>
      <c r="E34" s="63" t="s">
        <v>213</v>
      </c>
    </row>
    <row r="35" spans="1:5" x14ac:dyDescent="0.35">
      <c r="A35" s="107" t="s">
        <v>14</v>
      </c>
      <c r="B35" s="81" t="s">
        <v>79</v>
      </c>
      <c r="C35" s="81" t="s">
        <v>16</v>
      </c>
      <c r="D35" s="104">
        <v>1.05</v>
      </c>
      <c r="E35" s="81" t="s">
        <v>213</v>
      </c>
    </row>
    <row r="36" spans="1:5" x14ac:dyDescent="0.35">
      <c r="A36" s="108" t="s">
        <v>14</v>
      </c>
      <c r="B36" s="63" t="s">
        <v>80</v>
      </c>
      <c r="C36" s="63" t="s">
        <v>16</v>
      </c>
      <c r="D36" s="105">
        <v>1.1000000000000001</v>
      </c>
      <c r="E36" s="63" t="s">
        <v>213</v>
      </c>
    </row>
    <row r="37" spans="1:5" x14ac:dyDescent="0.35">
      <c r="A37" s="107" t="s">
        <v>14</v>
      </c>
      <c r="B37" s="81" t="s">
        <v>81</v>
      </c>
      <c r="C37" s="81" t="s">
        <v>16</v>
      </c>
      <c r="D37" s="104">
        <v>1.3</v>
      </c>
      <c r="E37" s="81" t="s">
        <v>213</v>
      </c>
    </row>
    <row r="38" spans="1:5" x14ac:dyDescent="0.35">
      <c r="A38" s="108" t="s">
        <v>14</v>
      </c>
      <c r="B38" s="63" t="s">
        <v>82</v>
      </c>
      <c r="C38" s="63" t="s">
        <v>16</v>
      </c>
      <c r="D38" s="105">
        <v>2.57</v>
      </c>
      <c r="E38" s="63" t="s">
        <v>213</v>
      </c>
    </row>
    <row r="39" spans="1:5" x14ac:dyDescent="0.35">
      <c r="A39" s="108" t="s">
        <v>83</v>
      </c>
      <c r="B39" s="63" t="s">
        <v>84</v>
      </c>
      <c r="C39" s="63" t="s">
        <v>16</v>
      </c>
      <c r="D39" s="105">
        <v>7</v>
      </c>
      <c r="E39" s="63" t="s">
        <v>17</v>
      </c>
    </row>
    <row r="40" spans="1:5" x14ac:dyDescent="0.35">
      <c r="A40" s="109" t="s">
        <v>83</v>
      </c>
      <c r="B40" s="81" t="s">
        <v>85</v>
      </c>
      <c r="C40" s="81" t="s">
        <v>16</v>
      </c>
      <c r="D40" s="104">
        <v>7.8</v>
      </c>
      <c r="E40" s="81" t="s">
        <v>17</v>
      </c>
    </row>
    <row r="41" spans="1:5" x14ac:dyDescent="0.35">
      <c r="A41" s="110" t="s">
        <v>83</v>
      </c>
      <c r="B41" s="63" t="s">
        <v>86</v>
      </c>
      <c r="C41" s="63" t="s">
        <v>16</v>
      </c>
      <c r="D41" s="105">
        <v>7.4</v>
      </c>
      <c r="E41" s="63" t="s">
        <v>17</v>
      </c>
    </row>
    <row r="42" spans="1:5" x14ac:dyDescent="0.35">
      <c r="A42" s="109" t="s">
        <v>83</v>
      </c>
      <c r="B42" s="81" t="s">
        <v>87</v>
      </c>
      <c r="C42" s="81" t="s">
        <v>16</v>
      </c>
      <c r="D42" s="104">
        <v>7.4</v>
      </c>
      <c r="E42" s="81" t="s">
        <v>17</v>
      </c>
    </row>
    <row r="43" spans="1:5" x14ac:dyDescent="0.35">
      <c r="A43" s="110" t="s">
        <v>83</v>
      </c>
      <c r="B43" s="63" t="s">
        <v>88</v>
      </c>
      <c r="C43" s="63" t="s">
        <v>16</v>
      </c>
      <c r="D43" s="105">
        <v>6.9</v>
      </c>
      <c r="E43" s="63" t="s">
        <v>17</v>
      </c>
    </row>
    <row r="44" spans="1:5" x14ac:dyDescent="0.35">
      <c r="A44" s="109" t="s">
        <v>83</v>
      </c>
      <c r="B44" s="81" t="s">
        <v>89</v>
      </c>
      <c r="C44" s="81" t="s">
        <v>16</v>
      </c>
      <c r="D44" s="104">
        <v>6.7</v>
      </c>
      <c r="E44" s="81" t="s">
        <v>17</v>
      </c>
    </row>
    <row r="45" spans="1:5" x14ac:dyDescent="0.35">
      <c r="A45" s="110" t="s">
        <v>83</v>
      </c>
      <c r="B45" s="63" t="s">
        <v>90</v>
      </c>
      <c r="C45" s="63" t="s">
        <v>16</v>
      </c>
      <c r="D45" s="105">
        <v>6.5</v>
      </c>
      <c r="E45" s="63" t="s">
        <v>17</v>
      </c>
    </row>
    <row r="46" spans="1:5" x14ac:dyDescent="0.35">
      <c r="A46" s="109" t="s">
        <v>83</v>
      </c>
      <c r="B46" s="81" t="s">
        <v>91</v>
      </c>
      <c r="C46" s="81" t="s">
        <v>16</v>
      </c>
      <c r="D46" s="104">
        <v>5.6</v>
      </c>
      <c r="E46" s="81" t="s">
        <v>17</v>
      </c>
    </row>
    <row r="47" spans="1:5" x14ac:dyDescent="0.35">
      <c r="A47" s="110" t="s">
        <v>83</v>
      </c>
      <c r="B47" s="63" t="s">
        <v>92</v>
      </c>
      <c r="C47" s="63" t="s">
        <v>16</v>
      </c>
      <c r="D47" s="105">
        <v>5.09</v>
      </c>
      <c r="E47" s="63" t="s">
        <v>17</v>
      </c>
    </row>
    <row r="48" spans="1:5" x14ac:dyDescent="0.35">
      <c r="A48" s="109" t="s">
        <v>83</v>
      </c>
      <c r="B48" s="81" t="s">
        <v>93</v>
      </c>
      <c r="C48" s="81" t="s">
        <v>16</v>
      </c>
      <c r="D48" s="104">
        <v>5.07</v>
      </c>
      <c r="E48" s="81" t="s">
        <v>17</v>
      </c>
    </row>
    <row r="49" spans="1:5" x14ac:dyDescent="0.35">
      <c r="A49" s="110" t="s">
        <v>83</v>
      </c>
      <c r="B49" s="63" t="s">
        <v>94</v>
      </c>
      <c r="C49" s="63" t="s">
        <v>16</v>
      </c>
      <c r="D49" s="105">
        <v>5</v>
      </c>
      <c r="E49" s="63" t="s">
        <v>17</v>
      </c>
    </row>
    <row r="50" spans="1:5" x14ac:dyDescent="0.35">
      <c r="A50" s="109" t="s">
        <v>83</v>
      </c>
      <c r="B50" s="81" t="s">
        <v>95</v>
      </c>
      <c r="C50" s="81" t="s">
        <v>16</v>
      </c>
      <c r="D50" s="104">
        <v>5</v>
      </c>
      <c r="E50" s="81" t="s">
        <v>17</v>
      </c>
    </row>
    <row r="51" spans="1:5" x14ac:dyDescent="0.35">
      <c r="A51" s="110" t="s">
        <v>83</v>
      </c>
      <c r="B51" s="63" t="s">
        <v>96</v>
      </c>
      <c r="C51" s="63" t="s">
        <v>16</v>
      </c>
      <c r="D51" s="105">
        <v>3.5</v>
      </c>
      <c r="E51" s="63" t="s">
        <v>214</v>
      </c>
    </row>
    <row r="52" spans="1:5" x14ac:dyDescent="0.35">
      <c r="A52" s="109" t="s">
        <v>83</v>
      </c>
      <c r="B52" s="81" t="s">
        <v>97</v>
      </c>
      <c r="C52" s="81" t="s">
        <v>16</v>
      </c>
      <c r="D52" s="104">
        <v>1.97</v>
      </c>
      <c r="E52" s="81" t="s">
        <v>98</v>
      </c>
    </row>
    <row r="53" spans="1:5" x14ac:dyDescent="0.35">
      <c r="A53" s="110" t="s">
        <v>83</v>
      </c>
      <c r="B53" s="63" t="s">
        <v>99</v>
      </c>
      <c r="C53" s="63" t="s">
        <v>16</v>
      </c>
      <c r="D53" s="105">
        <v>1.8</v>
      </c>
      <c r="E53" s="63" t="s">
        <v>98</v>
      </c>
    </row>
    <row r="54" spans="1:5" x14ac:dyDescent="0.35">
      <c r="A54" s="109" t="s">
        <v>83</v>
      </c>
      <c r="B54" s="81" t="s">
        <v>100</v>
      </c>
      <c r="C54" s="81" t="s">
        <v>16</v>
      </c>
      <c r="D54" s="104">
        <v>1.5</v>
      </c>
      <c r="E54" s="81" t="s">
        <v>101</v>
      </c>
    </row>
    <row r="55" spans="1:5" x14ac:dyDescent="0.35">
      <c r="A55" s="110" t="s">
        <v>83</v>
      </c>
      <c r="B55" s="63" t="s">
        <v>102</v>
      </c>
      <c r="C55" s="63" t="s">
        <v>16</v>
      </c>
      <c r="D55" s="63">
        <v>1</v>
      </c>
      <c r="E55" s="63" t="s">
        <v>101</v>
      </c>
    </row>
    <row r="56" spans="1:5" x14ac:dyDescent="0.35">
      <c r="A56" s="109" t="s">
        <v>83</v>
      </c>
      <c r="B56" s="81" t="s">
        <v>103</v>
      </c>
      <c r="C56" s="81" t="s">
        <v>16</v>
      </c>
      <c r="D56" s="81">
        <v>0</v>
      </c>
      <c r="E56" s="81" t="s">
        <v>104</v>
      </c>
    </row>
    <row r="57" spans="1:5" x14ac:dyDescent="0.35">
      <c r="A57" s="111" t="s">
        <v>105</v>
      </c>
      <c r="B57" s="81" t="s">
        <v>106</v>
      </c>
      <c r="C57" s="81" t="s">
        <v>16</v>
      </c>
      <c r="D57" s="81">
        <v>7.5</v>
      </c>
      <c r="E57" s="81" t="s">
        <v>17</v>
      </c>
    </row>
    <row r="58" spans="1:5" x14ac:dyDescent="0.35">
      <c r="A58" s="112" t="s">
        <v>105</v>
      </c>
      <c r="B58" s="63" t="s">
        <v>107</v>
      </c>
      <c r="C58" s="63" t="s">
        <v>16</v>
      </c>
      <c r="D58" s="63">
        <v>7.18</v>
      </c>
      <c r="E58" s="63" t="s">
        <v>17</v>
      </c>
    </row>
    <row r="59" spans="1:5" x14ac:dyDescent="0.35">
      <c r="A59" s="111" t="s">
        <v>105</v>
      </c>
      <c r="B59" s="81" t="s">
        <v>108</v>
      </c>
      <c r="C59" s="81" t="s">
        <v>16</v>
      </c>
      <c r="D59" s="81">
        <v>7.75</v>
      </c>
      <c r="E59" s="81" t="s">
        <v>17</v>
      </c>
    </row>
    <row r="60" spans="1:5" x14ac:dyDescent="0.35">
      <c r="A60" s="112" t="s">
        <v>105</v>
      </c>
      <c r="B60" s="63" t="s">
        <v>109</v>
      </c>
      <c r="C60" s="63" t="s">
        <v>16</v>
      </c>
      <c r="D60" s="63">
        <v>4.75</v>
      </c>
      <c r="E60" s="63" t="s">
        <v>17</v>
      </c>
    </row>
    <row r="61" spans="1:5" x14ac:dyDescent="0.35">
      <c r="A61" s="111" t="s">
        <v>105</v>
      </c>
      <c r="B61" s="81" t="s">
        <v>110</v>
      </c>
      <c r="C61" s="81" t="s">
        <v>16</v>
      </c>
      <c r="D61" s="81">
        <v>6.55</v>
      </c>
      <c r="E61" s="81" t="s">
        <v>17</v>
      </c>
    </row>
    <row r="62" spans="1:5" x14ac:dyDescent="0.35">
      <c r="A62" s="112" t="s">
        <v>105</v>
      </c>
      <c r="B62" s="63" t="s">
        <v>111</v>
      </c>
      <c r="C62" s="63" t="s">
        <v>16</v>
      </c>
      <c r="D62" s="63">
        <v>5.5</v>
      </c>
      <c r="E62" s="63" t="s">
        <v>17</v>
      </c>
    </row>
    <row r="63" spans="1:5" x14ac:dyDescent="0.35">
      <c r="A63" s="111" t="s">
        <v>105</v>
      </c>
      <c r="B63" s="81" t="s">
        <v>112</v>
      </c>
      <c r="C63" s="81" t="s">
        <v>16</v>
      </c>
      <c r="D63" s="81">
        <v>6.33</v>
      </c>
      <c r="E63" s="81" t="s">
        <v>17</v>
      </c>
    </row>
    <row r="64" spans="1:5" x14ac:dyDescent="0.35">
      <c r="A64" s="112" t="s">
        <v>105</v>
      </c>
      <c r="B64" s="63" t="s">
        <v>113</v>
      </c>
      <c r="C64" s="63" t="s">
        <v>16</v>
      </c>
      <c r="D64" s="63">
        <v>5.58</v>
      </c>
      <c r="E64" s="63" t="s">
        <v>17</v>
      </c>
    </row>
    <row r="65" spans="1:5" x14ac:dyDescent="0.35">
      <c r="A65" s="111" t="s">
        <v>105</v>
      </c>
      <c r="B65" s="81" t="s">
        <v>114</v>
      </c>
      <c r="C65" s="81" t="s">
        <v>16</v>
      </c>
      <c r="D65" s="81">
        <v>5.25</v>
      </c>
      <c r="E65" s="81" t="s">
        <v>17</v>
      </c>
    </row>
    <row r="66" spans="1:5" x14ac:dyDescent="0.35">
      <c r="A66" s="112" t="s">
        <v>105</v>
      </c>
      <c r="B66" s="63" t="s">
        <v>115</v>
      </c>
      <c r="C66" s="63" t="s">
        <v>16</v>
      </c>
      <c r="D66" s="63">
        <v>6.91</v>
      </c>
      <c r="E66" s="63" t="s">
        <v>17</v>
      </c>
    </row>
    <row r="67" spans="1:5" x14ac:dyDescent="0.35">
      <c r="A67" s="111" t="s">
        <v>105</v>
      </c>
      <c r="B67" s="81" t="s">
        <v>116</v>
      </c>
      <c r="C67" s="81" t="s">
        <v>16</v>
      </c>
      <c r="D67" s="81">
        <v>4.66</v>
      </c>
      <c r="E67" s="81" t="s">
        <v>17</v>
      </c>
    </row>
    <row r="68" spans="1:5" x14ac:dyDescent="0.35">
      <c r="A68" s="112" t="s">
        <v>105</v>
      </c>
      <c r="B68" s="63" t="s">
        <v>117</v>
      </c>
      <c r="C68" s="63" t="s">
        <v>16</v>
      </c>
      <c r="D68" s="63">
        <v>4.66</v>
      </c>
      <c r="E68" s="63" t="s">
        <v>17</v>
      </c>
    </row>
    <row r="69" spans="1:5" x14ac:dyDescent="0.35">
      <c r="A69" s="111" t="s">
        <v>105</v>
      </c>
      <c r="B69" s="81" t="s">
        <v>118</v>
      </c>
      <c r="C69" s="81" t="s">
        <v>16</v>
      </c>
      <c r="D69" s="81">
        <v>3.75</v>
      </c>
      <c r="E69" s="81" t="s">
        <v>53</v>
      </c>
    </row>
    <row r="70" spans="1:5" x14ac:dyDescent="0.35">
      <c r="A70" s="112" t="s">
        <v>105</v>
      </c>
      <c r="B70" s="63" t="s">
        <v>119</v>
      </c>
      <c r="C70" s="63" t="s">
        <v>16</v>
      </c>
      <c r="D70" s="63">
        <v>3.5</v>
      </c>
      <c r="E70" s="63" t="s">
        <v>53</v>
      </c>
    </row>
    <row r="71" spans="1:5" x14ac:dyDescent="0.35">
      <c r="A71" s="111" t="s">
        <v>105</v>
      </c>
      <c r="B71" s="81" t="s">
        <v>120</v>
      </c>
      <c r="C71" s="81" t="s">
        <v>16</v>
      </c>
      <c r="D71" s="81">
        <v>3.43</v>
      </c>
      <c r="E71" s="81" t="s">
        <v>53</v>
      </c>
    </row>
    <row r="72" spans="1:5" x14ac:dyDescent="0.35">
      <c r="A72" s="112" t="s">
        <v>105</v>
      </c>
      <c r="B72" s="63" t="s">
        <v>121</v>
      </c>
      <c r="C72" s="63" t="s">
        <v>16</v>
      </c>
      <c r="D72" s="63">
        <v>2.75</v>
      </c>
      <c r="E72" s="63" t="s">
        <v>53</v>
      </c>
    </row>
    <row r="73" spans="1:5" x14ac:dyDescent="0.35">
      <c r="A73" s="112" t="s">
        <v>122</v>
      </c>
      <c r="B73" s="63" t="s">
        <v>123</v>
      </c>
      <c r="C73" s="63" t="s">
        <v>16</v>
      </c>
      <c r="D73" s="63">
        <v>3.7</v>
      </c>
      <c r="E73" s="63" t="s">
        <v>53</v>
      </c>
    </row>
    <row r="74" spans="1:5" x14ac:dyDescent="0.35">
      <c r="A74" s="111" t="s">
        <v>122</v>
      </c>
      <c r="B74" s="81" t="s">
        <v>124</v>
      </c>
      <c r="C74" s="81" t="s">
        <v>16</v>
      </c>
      <c r="D74" s="81">
        <v>6.4</v>
      </c>
      <c r="E74" s="81" t="s">
        <v>17</v>
      </c>
    </row>
    <row r="75" spans="1:5" x14ac:dyDescent="0.35">
      <c r="A75" s="112" t="s">
        <v>122</v>
      </c>
      <c r="B75" s="63" t="s">
        <v>125</v>
      </c>
      <c r="C75" s="63" t="s">
        <v>16</v>
      </c>
      <c r="D75" s="63">
        <v>4.9800000000000004</v>
      </c>
      <c r="E75" s="63" t="s">
        <v>17</v>
      </c>
    </row>
    <row r="76" spans="1:5" x14ac:dyDescent="0.35">
      <c r="A76" s="111" t="s">
        <v>122</v>
      </c>
      <c r="B76" s="81" t="s">
        <v>126</v>
      </c>
      <c r="C76" s="81" t="s">
        <v>16</v>
      </c>
      <c r="D76" s="81">
        <v>3.99</v>
      </c>
      <c r="E76" s="81" t="s">
        <v>53</v>
      </c>
    </row>
    <row r="77" spans="1:5" x14ac:dyDescent="0.35">
      <c r="A77" s="112" t="s">
        <v>122</v>
      </c>
      <c r="B77" s="63" t="s">
        <v>127</v>
      </c>
      <c r="C77" s="63" t="s">
        <v>16</v>
      </c>
      <c r="D77" s="63">
        <v>3.53</v>
      </c>
      <c r="E77" s="63" t="s">
        <v>53</v>
      </c>
    </row>
    <row r="78" spans="1:5" x14ac:dyDescent="0.35">
      <c r="A78" s="111" t="s">
        <v>122</v>
      </c>
      <c r="B78" s="81" t="s">
        <v>128</v>
      </c>
      <c r="C78" s="81" t="s">
        <v>16</v>
      </c>
      <c r="D78" s="81">
        <v>3</v>
      </c>
      <c r="E78" s="81" t="s">
        <v>53</v>
      </c>
    </row>
    <row r="79" spans="1:5" x14ac:dyDescent="0.35">
      <c r="A79" s="112" t="s">
        <v>122</v>
      </c>
      <c r="B79" s="63" t="s">
        <v>129</v>
      </c>
      <c r="C79" s="63" t="s">
        <v>16</v>
      </c>
      <c r="D79" s="63">
        <v>3.22</v>
      </c>
      <c r="E79" s="63" t="s">
        <v>53</v>
      </c>
    </row>
    <row r="80" spans="1:5" x14ac:dyDescent="0.35">
      <c r="A80" s="111" t="s">
        <v>122</v>
      </c>
      <c r="B80" s="81" t="s">
        <v>130</v>
      </c>
      <c r="C80" s="81" t="s">
        <v>16</v>
      </c>
      <c r="D80" s="81">
        <v>6.77</v>
      </c>
      <c r="E80" s="81" t="s">
        <v>17</v>
      </c>
    </row>
    <row r="81" spans="1:5" x14ac:dyDescent="0.35">
      <c r="A81" s="128">
        <f>SUBTOTAL(103,Table8[SOUMARANA])</f>
        <v>71</v>
      </c>
      <c r="B81" s="114"/>
      <c r="C81" s="114"/>
      <c r="D81" s="114"/>
      <c r="E81" s="114">
        <f>SUBTOTAL(103,Table8[Passe au CM2])</f>
        <v>71</v>
      </c>
    </row>
  </sheetData>
  <mergeCells count="5">
    <mergeCell ref="A5:A7"/>
    <mergeCell ref="B5:B7"/>
    <mergeCell ref="C5:C7"/>
    <mergeCell ref="E5:E7"/>
    <mergeCell ref="D6:D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B028-2465-B64E-B8EE-9F2A771B99C2}">
  <dimension ref="A1:G72"/>
  <sheetViews>
    <sheetView topLeftCell="A15" workbookViewId="0">
      <selection activeCell="A12" sqref="A12"/>
    </sheetView>
  </sheetViews>
  <sheetFormatPr defaultColWidth="10.90625" defaultRowHeight="14.5" x14ac:dyDescent="0.35"/>
  <cols>
    <col min="1" max="1" width="15.36328125" bestFit="1" customWidth="1"/>
    <col min="2" max="2" width="19.1796875" bestFit="1" customWidth="1"/>
    <col min="3" max="3" width="22.81640625" customWidth="1"/>
    <col min="4" max="6" width="13.6328125" bestFit="1" customWidth="1"/>
    <col min="7" max="7" width="13.81640625" customWidth="1"/>
  </cols>
  <sheetData>
    <row r="1" spans="1:7" x14ac:dyDescent="0.35">
      <c r="A1" s="124" t="s">
        <v>3</v>
      </c>
      <c r="B1" s="125" t="s">
        <v>4</v>
      </c>
      <c r="C1" s="126" t="s">
        <v>10</v>
      </c>
      <c r="D1" s="130" t="s">
        <v>11</v>
      </c>
      <c r="E1" s="130" t="s">
        <v>12</v>
      </c>
      <c r="F1" s="130" t="s">
        <v>13</v>
      </c>
      <c r="G1" s="127" t="s">
        <v>7</v>
      </c>
    </row>
    <row r="2" spans="1:7" x14ac:dyDescent="0.35">
      <c r="A2" s="116" t="s">
        <v>20</v>
      </c>
      <c r="B2" s="79" t="s">
        <v>21</v>
      </c>
      <c r="C2" s="79" t="s">
        <v>22</v>
      </c>
      <c r="D2" s="106">
        <v>8.67</v>
      </c>
      <c r="E2" s="106">
        <v>7.61</v>
      </c>
      <c r="F2" s="129">
        <v>7.36</v>
      </c>
      <c r="G2" s="119" t="s">
        <v>23</v>
      </c>
    </row>
    <row r="3" spans="1:7" x14ac:dyDescent="0.35">
      <c r="A3" s="116" t="s">
        <v>20</v>
      </c>
      <c r="B3" s="79" t="s">
        <v>25</v>
      </c>
      <c r="C3" s="80" t="s">
        <v>26</v>
      </c>
      <c r="D3" s="81">
        <v>8.41</v>
      </c>
      <c r="E3" s="81">
        <v>8.08</v>
      </c>
      <c r="F3" s="82">
        <v>6.86</v>
      </c>
      <c r="G3" s="119" t="s">
        <v>23</v>
      </c>
    </row>
    <row r="4" spans="1:7" x14ac:dyDescent="0.35">
      <c r="A4" s="116" t="s">
        <v>20</v>
      </c>
      <c r="B4" s="79" t="s">
        <v>28</v>
      </c>
      <c r="C4" s="80" t="s">
        <v>29</v>
      </c>
      <c r="D4" s="81">
        <v>6.91</v>
      </c>
      <c r="E4" s="81">
        <v>5.95</v>
      </c>
      <c r="F4" s="82">
        <v>6.7</v>
      </c>
      <c r="G4" s="119" t="s">
        <v>23</v>
      </c>
    </row>
    <row r="5" spans="1:7" x14ac:dyDescent="0.35">
      <c r="A5" s="116" t="s">
        <v>20</v>
      </c>
      <c r="B5" s="79" t="s">
        <v>31</v>
      </c>
      <c r="C5" s="80" t="s">
        <v>22</v>
      </c>
      <c r="D5" s="83">
        <v>6.65</v>
      </c>
      <c r="E5" s="83">
        <v>5.64</v>
      </c>
      <c r="F5" s="82">
        <v>6.16</v>
      </c>
      <c r="G5" s="119" t="s">
        <v>23</v>
      </c>
    </row>
    <row r="6" spans="1:7" x14ac:dyDescent="0.35">
      <c r="A6" s="116" t="s">
        <v>20</v>
      </c>
      <c r="B6" s="79" t="s">
        <v>33</v>
      </c>
      <c r="C6" s="80" t="s">
        <v>29</v>
      </c>
      <c r="D6" s="81">
        <v>8.5</v>
      </c>
      <c r="E6" s="81">
        <v>9.0500000000000007</v>
      </c>
      <c r="F6" s="82">
        <v>5.74</v>
      </c>
      <c r="G6" s="119" t="s">
        <v>23</v>
      </c>
    </row>
    <row r="7" spans="1:7" x14ac:dyDescent="0.35">
      <c r="A7" s="116" t="s">
        <v>20</v>
      </c>
      <c r="B7" s="79" t="s">
        <v>35</v>
      </c>
      <c r="C7" s="80" t="s">
        <v>29</v>
      </c>
      <c r="D7" s="81">
        <v>6.08</v>
      </c>
      <c r="E7" s="81">
        <v>5.67</v>
      </c>
      <c r="F7" s="84" t="s">
        <v>44</v>
      </c>
      <c r="G7" s="119" t="s">
        <v>45</v>
      </c>
    </row>
    <row r="8" spans="1:7" x14ac:dyDescent="0.35">
      <c r="A8" s="116" t="s">
        <v>20</v>
      </c>
      <c r="B8" s="79" t="s">
        <v>37</v>
      </c>
      <c r="C8" s="80" t="s">
        <v>29</v>
      </c>
      <c r="D8" s="81">
        <v>7.5</v>
      </c>
      <c r="E8" s="81">
        <v>8.8800000000000008</v>
      </c>
      <c r="F8" s="84" t="s">
        <v>44</v>
      </c>
      <c r="G8" s="119" t="s">
        <v>45</v>
      </c>
    </row>
    <row r="9" spans="1:7" x14ac:dyDescent="0.35">
      <c r="A9" s="116" t="s">
        <v>20</v>
      </c>
      <c r="B9" s="79" t="s">
        <v>39</v>
      </c>
      <c r="C9" s="80" t="s">
        <v>29</v>
      </c>
      <c r="D9" s="81">
        <v>5.94</v>
      </c>
      <c r="E9" s="81">
        <v>5.7</v>
      </c>
      <c r="F9" s="84" t="s">
        <v>44</v>
      </c>
      <c r="G9" s="119" t="s">
        <v>45</v>
      </c>
    </row>
    <row r="10" spans="1:7" x14ac:dyDescent="0.35">
      <c r="A10" s="116" t="s">
        <v>20</v>
      </c>
      <c r="B10" s="79" t="s">
        <v>41</v>
      </c>
      <c r="C10" s="80" t="s">
        <v>22</v>
      </c>
      <c r="D10" s="81">
        <v>5.52</v>
      </c>
      <c r="E10" s="81">
        <v>5.76</v>
      </c>
      <c r="F10" s="84" t="s">
        <v>44</v>
      </c>
      <c r="G10" s="119" t="s">
        <v>45</v>
      </c>
    </row>
    <row r="11" spans="1:7" x14ac:dyDescent="0.35">
      <c r="A11" s="116" t="s">
        <v>20</v>
      </c>
      <c r="B11" s="79" t="s">
        <v>43</v>
      </c>
      <c r="C11" s="80" t="s">
        <v>22</v>
      </c>
      <c r="D11" s="81">
        <v>4.6100000000000003</v>
      </c>
      <c r="E11" s="81">
        <v>5.08</v>
      </c>
      <c r="F11" s="84" t="s">
        <v>44</v>
      </c>
      <c r="G11" s="119" t="s">
        <v>45</v>
      </c>
    </row>
    <row r="12" spans="1:7" x14ac:dyDescent="0.35">
      <c r="A12" s="116" t="s">
        <v>20</v>
      </c>
      <c r="B12" s="79" t="s">
        <v>47</v>
      </c>
      <c r="C12" s="80" t="s">
        <v>48</v>
      </c>
      <c r="D12" s="81">
        <v>5.7</v>
      </c>
      <c r="E12" s="81">
        <v>5.05</v>
      </c>
      <c r="F12" s="84" t="s">
        <v>44</v>
      </c>
      <c r="G12" s="119" t="s">
        <v>45</v>
      </c>
    </row>
    <row r="13" spans="1:7" x14ac:dyDescent="0.35">
      <c r="A13" s="116" t="s">
        <v>20</v>
      </c>
      <c r="B13" s="79" t="s">
        <v>50</v>
      </c>
      <c r="C13" s="80" t="s">
        <v>22</v>
      </c>
      <c r="D13" s="81">
        <v>5.26</v>
      </c>
      <c r="E13" s="81">
        <v>4.5</v>
      </c>
      <c r="F13" s="84" t="s">
        <v>44</v>
      </c>
      <c r="G13" s="119" t="s">
        <v>45</v>
      </c>
    </row>
    <row r="14" spans="1:7" x14ac:dyDescent="0.35">
      <c r="A14" s="116" t="s">
        <v>20</v>
      </c>
      <c r="B14" s="85" t="s">
        <v>52</v>
      </c>
      <c r="C14" s="80" t="s">
        <v>29</v>
      </c>
      <c r="D14" s="81">
        <v>4.29</v>
      </c>
      <c r="E14" s="81">
        <v>2.4700000000000002</v>
      </c>
      <c r="F14" s="84" t="s">
        <v>44</v>
      </c>
      <c r="G14" s="119" t="s">
        <v>45</v>
      </c>
    </row>
    <row r="15" spans="1:7" x14ac:dyDescent="0.35">
      <c r="A15" s="116" t="s">
        <v>20</v>
      </c>
      <c r="B15" s="79" t="s">
        <v>55</v>
      </c>
      <c r="C15" s="80" t="s">
        <v>56</v>
      </c>
      <c r="D15" s="81">
        <v>5.64</v>
      </c>
      <c r="E15" s="81">
        <v>3.73</v>
      </c>
      <c r="F15" s="84" t="s">
        <v>44</v>
      </c>
      <c r="G15" s="119" t="s">
        <v>45</v>
      </c>
    </row>
    <row r="16" spans="1:7" x14ac:dyDescent="0.35">
      <c r="A16" s="116" t="s">
        <v>20</v>
      </c>
      <c r="B16" s="79" t="s">
        <v>58</v>
      </c>
      <c r="C16" s="80" t="s">
        <v>59</v>
      </c>
      <c r="D16" s="86">
        <v>0</v>
      </c>
      <c r="E16" s="81">
        <v>5.05</v>
      </c>
      <c r="F16" s="84" t="s">
        <v>44</v>
      </c>
      <c r="G16" s="119" t="s">
        <v>45</v>
      </c>
    </row>
    <row r="17" spans="1:7" x14ac:dyDescent="0.35">
      <c r="A17" s="116" t="s">
        <v>20</v>
      </c>
      <c r="B17" s="79" t="s">
        <v>61</v>
      </c>
      <c r="C17" s="80" t="s">
        <v>29</v>
      </c>
      <c r="D17" s="81">
        <v>3.76</v>
      </c>
      <c r="E17" s="81">
        <v>3.97</v>
      </c>
      <c r="F17" s="84" t="s">
        <v>44</v>
      </c>
      <c r="G17" s="119" t="s">
        <v>45</v>
      </c>
    </row>
    <row r="18" spans="1:7" x14ac:dyDescent="0.35">
      <c r="A18" s="116" t="s">
        <v>20</v>
      </c>
      <c r="B18" s="79" t="s">
        <v>63</v>
      </c>
      <c r="C18" s="80" t="s">
        <v>29</v>
      </c>
      <c r="D18" s="81">
        <v>3.44</v>
      </c>
      <c r="E18" s="81">
        <v>4.41</v>
      </c>
      <c r="F18" s="84" t="s">
        <v>44</v>
      </c>
      <c r="G18" s="119" t="s">
        <v>45</v>
      </c>
    </row>
    <row r="19" spans="1:7" x14ac:dyDescent="0.35">
      <c r="A19" s="116" t="s">
        <v>20</v>
      </c>
      <c r="B19" s="79" t="s">
        <v>65</v>
      </c>
      <c r="C19" s="80" t="s">
        <v>29</v>
      </c>
      <c r="D19" s="81">
        <v>3.94</v>
      </c>
      <c r="E19" s="81">
        <v>0</v>
      </c>
      <c r="F19" s="84" t="s">
        <v>44</v>
      </c>
      <c r="G19" s="119" t="s">
        <v>45</v>
      </c>
    </row>
    <row r="20" spans="1:7" x14ac:dyDescent="0.35">
      <c r="A20" s="116" t="s">
        <v>20</v>
      </c>
      <c r="B20" s="79" t="s">
        <v>67</v>
      </c>
      <c r="C20" s="80" t="s">
        <v>29</v>
      </c>
      <c r="D20" s="81">
        <v>3.76</v>
      </c>
      <c r="E20" s="81">
        <v>3.88</v>
      </c>
      <c r="F20" s="84" t="s">
        <v>44</v>
      </c>
      <c r="G20" s="119" t="s">
        <v>45</v>
      </c>
    </row>
    <row r="21" spans="1:7" x14ac:dyDescent="0.35">
      <c r="A21" s="116" t="s">
        <v>20</v>
      </c>
      <c r="B21" s="79" t="s">
        <v>69</v>
      </c>
      <c r="C21" s="80" t="s">
        <v>29</v>
      </c>
      <c r="D21" s="81">
        <v>3.88</v>
      </c>
      <c r="E21" s="81">
        <v>0</v>
      </c>
      <c r="F21" s="84" t="s">
        <v>44</v>
      </c>
      <c r="G21" s="119" t="s">
        <v>45</v>
      </c>
    </row>
    <row r="22" spans="1:7" x14ac:dyDescent="0.35">
      <c r="A22" s="116" t="s">
        <v>20</v>
      </c>
      <c r="B22" s="79" t="s">
        <v>71</v>
      </c>
      <c r="C22" s="80" t="s">
        <v>29</v>
      </c>
      <c r="D22" s="81">
        <v>3.79</v>
      </c>
      <c r="E22" s="81">
        <v>0</v>
      </c>
      <c r="F22" s="84" t="s">
        <v>44</v>
      </c>
      <c r="G22" s="119" t="s">
        <v>45</v>
      </c>
    </row>
    <row r="23" spans="1:7" x14ac:dyDescent="0.35">
      <c r="A23" s="116" t="s">
        <v>20</v>
      </c>
      <c r="B23" s="79" t="s">
        <v>73</v>
      </c>
      <c r="C23" s="80" t="s">
        <v>74</v>
      </c>
      <c r="D23" s="81">
        <v>0</v>
      </c>
      <c r="E23" s="81">
        <v>0</v>
      </c>
      <c r="F23" s="84" t="s">
        <v>44</v>
      </c>
      <c r="G23" s="119" t="s">
        <v>45</v>
      </c>
    </row>
    <row r="24" spans="1:7" x14ac:dyDescent="0.35">
      <c r="A24" s="116" t="s">
        <v>20</v>
      </c>
      <c r="B24" s="79" t="s">
        <v>76</v>
      </c>
      <c r="C24" s="80" t="s">
        <v>22</v>
      </c>
      <c r="D24" s="81">
        <v>3.7</v>
      </c>
      <c r="E24" s="83">
        <v>4.08</v>
      </c>
      <c r="F24" s="84" t="s">
        <v>44</v>
      </c>
      <c r="G24" s="119" t="s">
        <v>45</v>
      </c>
    </row>
    <row r="25" spans="1:7" x14ac:dyDescent="0.35">
      <c r="A25" s="116" t="s">
        <v>20</v>
      </c>
      <c r="B25" s="79" t="s">
        <v>78</v>
      </c>
      <c r="C25" s="80" t="s">
        <v>22</v>
      </c>
      <c r="D25" s="81">
        <v>3.73</v>
      </c>
      <c r="E25" s="81">
        <v>0</v>
      </c>
      <c r="F25" s="84" t="s">
        <v>44</v>
      </c>
      <c r="G25" s="119" t="s">
        <v>45</v>
      </c>
    </row>
    <row r="26" spans="1:7" x14ac:dyDescent="0.35">
      <c r="A26" s="117" t="s">
        <v>131</v>
      </c>
      <c r="B26" s="87" t="s">
        <v>132</v>
      </c>
      <c r="C26" s="88" t="s">
        <v>142</v>
      </c>
      <c r="D26" s="89">
        <v>9</v>
      </c>
      <c r="E26" s="89">
        <v>7.64</v>
      </c>
      <c r="F26" s="90">
        <v>7.94</v>
      </c>
      <c r="G26" s="120" t="s">
        <v>133</v>
      </c>
    </row>
    <row r="27" spans="1:7" x14ac:dyDescent="0.35">
      <c r="A27" s="117" t="s">
        <v>131</v>
      </c>
      <c r="B27" s="87" t="s">
        <v>136</v>
      </c>
      <c r="C27" s="91" t="s">
        <v>143</v>
      </c>
      <c r="D27" s="89">
        <v>7.6</v>
      </c>
      <c r="E27" s="89">
        <v>6.25</v>
      </c>
      <c r="F27" s="90">
        <v>6.97</v>
      </c>
      <c r="G27" s="120" t="s">
        <v>133</v>
      </c>
    </row>
    <row r="28" spans="1:7" x14ac:dyDescent="0.35">
      <c r="A28" s="117" t="s">
        <v>131</v>
      </c>
      <c r="B28" s="87" t="s">
        <v>137</v>
      </c>
      <c r="C28" s="91" t="s">
        <v>144</v>
      </c>
      <c r="D28" s="89">
        <v>4.4000000000000004</v>
      </c>
      <c r="E28" s="89">
        <v>4.47</v>
      </c>
      <c r="F28" s="90">
        <v>5.0599999999999996</v>
      </c>
      <c r="G28" s="120" t="s">
        <v>133</v>
      </c>
    </row>
    <row r="29" spans="1:7" x14ac:dyDescent="0.35">
      <c r="A29" s="117" t="s">
        <v>131</v>
      </c>
      <c r="B29" s="87" t="s">
        <v>138</v>
      </c>
      <c r="C29" s="91" t="s">
        <v>145</v>
      </c>
      <c r="D29" s="89">
        <v>4.4000000000000004</v>
      </c>
      <c r="E29" s="89">
        <v>5.5</v>
      </c>
      <c r="F29" s="90">
        <v>4.13</v>
      </c>
      <c r="G29" s="89" t="s">
        <v>53</v>
      </c>
    </row>
    <row r="30" spans="1:7" x14ac:dyDescent="0.35">
      <c r="A30" s="117" t="s">
        <v>131</v>
      </c>
      <c r="B30" s="87" t="s">
        <v>139</v>
      </c>
      <c r="C30" s="91" t="s">
        <v>146</v>
      </c>
      <c r="D30" s="89">
        <v>3.3</v>
      </c>
      <c r="E30" s="92">
        <v>2.2000000000000002</v>
      </c>
      <c r="F30" s="90">
        <v>2.8800000000000003</v>
      </c>
      <c r="G30" s="89" t="s">
        <v>53</v>
      </c>
    </row>
    <row r="31" spans="1:7" x14ac:dyDescent="0.35">
      <c r="A31" s="117" t="s">
        <v>131</v>
      </c>
      <c r="B31" s="87" t="s">
        <v>140</v>
      </c>
      <c r="C31" s="91" t="s">
        <v>147</v>
      </c>
      <c r="D31" s="89">
        <v>3.06</v>
      </c>
      <c r="E31" s="89">
        <v>0</v>
      </c>
      <c r="F31" s="90">
        <v>1.02</v>
      </c>
      <c r="G31" s="89" t="s">
        <v>53</v>
      </c>
    </row>
    <row r="32" spans="1:7" x14ac:dyDescent="0.35">
      <c r="A32" s="117" t="s">
        <v>131</v>
      </c>
      <c r="B32" s="87" t="s">
        <v>141</v>
      </c>
      <c r="C32" s="91" t="s">
        <v>148</v>
      </c>
      <c r="D32" s="89">
        <v>2.8</v>
      </c>
      <c r="E32" s="89">
        <v>2.52</v>
      </c>
      <c r="F32" s="90">
        <v>3.14</v>
      </c>
      <c r="G32" s="89" t="s">
        <v>53</v>
      </c>
    </row>
    <row r="33" spans="1:7" x14ac:dyDescent="0.35">
      <c r="A33" s="118" t="s">
        <v>134</v>
      </c>
      <c r="B33" s="87" t="s">
        <v>149</v>
      </c>
      <c r="C33" s="91" t="s">
        <v>165</v>
      </c>
      <c r="D33" s="89">
        <v>8.6300000000000008</v>
      </c>
      <c r="E33" s="89">
        <v>9.7200000000000006</v>
      </c>
      <c r="F33" s="93">
        <v>7.45</v>
      </c>
      <c r="G33" s="120" t="s">
        <v>133</v>
      </c>
    </row>
    <row r="34" spans="1:7" x14ac:dyDescent="0.35">
      <c r="A34" s="118" t="s">
        <v>134</v>
      </c>
      <c r="B34" s="87" t="s">
        <v>150</v>
      </c>
      <c r="C34" s="91" t="s">
        <v>165</v>
      </c>
      <c r="D34" s="89">
        <v>3.36</v>
      </c>
      <c r="E34" s="89">
        <v>2.4500000000000002</v>
      </c>
      <c r="F34" s="93">
        <v>3.3000000000000003</v>
      </c>
      <c r="G34" s="89" t="s">
        <v>53</v>
      </c>
    </row>
    <row r="35" spans="1:7" x14ac:dyDescent="0.35">
      <c r="A35" s="118" t="s">
        <v>134</v>
      </c>
      <c r="B35" s="87" t="s">
        <v>151</v>
      </c>
      <c r="C35" s="91" t="s">
        <v>165</v>
      </c>
      <c r="D35" s="89">
        <v>8.27</v>
      </c>
      <c r="E35" s="89">
        <v>5.72</v>
      </c>
      <c r="F35" s="93">
        <v>6.5699999999999994</v>
      </c>
      <c r="G35" s="120" t="s">
        <v>133</v>
      </c>
    </row>
    <row r="36" spans="1:7" x14ac:dyDescent="0.35">
      <c r="A36" s="118" t="s">
        <v>134</v>
      </c>
      <c r="B36" s="87" t="s">
        <v>152</v>
      </c>
      <c r="C36" s="91" t="s">
        <v>165</v>
      </c>
      <c r="D36" s="89">
        <v>8.83</v>
      </c>
      <c r="E36" s="89">
        <v>9.81</v>
      </c>
      <c r="F36" s="93">
        <v>7.09</v>
      </c>
      <c r="G36" s="120" t="s">
        <v>133</v>
      </c>
    </row>
    <row r="37" spans="1:7" x14ac:dyDescent="0.35">
      <c r="A37" s="118" t="s">
        <v>134</v>
      </c>
      <c r="B37" s="87" t="s">
        <v>153</v>
      </c>
      <c r="C37" s="91" t="s">
        <v>165</v>
      </c>
      <c r="D37" s="89">
        <v>0</v>
      </c>
      <c r="E37" s="89">
        <v>3.54</v>
      </c>
      <c r="F37" s="93">
        <v>2.81</v>
      </c>
      <c r="G37" s="89" t="s">
        <v>53</v>
      </c>
    </row>
    <row r="38" spans="1:7" x14ac:dyDescent="0.35">
      <c r="A38" s="118" t="s">
        <v>134</v>
      </c>
      <c r="B38" s="87" t="s">
        <v>154</v>
      </c>
      <c r="C38" s="91" t="s">
        <v>165</v>
      </c>
      <c r="D38" s="89">
        <v>4.63</v>
      </c>
      <c r="E38" s="89">
        <v>3</v>
      </c>
      <c r="F38" s="93">
        <v>4.45</v>
      </c>
      <c r="G38" s="89" t="s">
        <v>53</v>
      </c>
    </row>
    <row r="39" spans="1:7" x14ac:dyDescent="0.35">
      <c r="A39" s="118" t="s">
        <v>134</v>
      </c>
      <c r="B39" s="87" t="s">
        <v>155</v>
      </c>
      <c r="C39" s="91" t="s">
        <v>165</v>
      </c>
      <c r="D39" s="89">
        <v>0</v>
      </c>
      <c r="E39" s="89">
        <v>3.54</v>
      </c>
      <c r="F39" s="93">
        <v>2.96</v>
      </c>
      <c r="G39" s="89" t="s">
        <v>53</v>
      </c>
    </row>
    <row r="40" spans="1:7" x14ac:dyDescent="0.35">
      <c r="A40" s="118" t="s">
        <v>134</v>
      </c>
      <c r="B40" s="87" t="s">
        <v>156</v>
      </c>
      <c r="C40" s="91" t="s">
        <v>165</v>
      </c>
      <c r="D40" s="89">
        <v>9.27</v>
      </c>
      <c r="E40" s="89">
        <v>9.4499999999999993</v>
      </c>
      <c r="F40" s="93">
        <v>4.03</v>
      </c>
      <c r="G40" s="89" t="s">
        <v>53</v>
      </c>
    </row>
    <row r="41" spans="1:7" x14ac:dyDescent="0.35">
      <c r="A41" s="118" t="s">
        <v>134</v>
      </c>
      <c r="B41" s="87" t="s">
        <v>157</v>
      </c>
      <c r="C41" s="91" t="s">
        <v>165</v>
      </c>
      <c r="D41" s="89">
        <v>8.81</v>
      </c>
      <c r="E41" s="89">
        <v>9.81</v>
      </c>
      <c r="F41" s="93">
        <v>3.75</v>
      </c>
      <c r="G41" s="89" t="s">
        <v>53</v>
      </c>
    </row>
    <row r="42" spans="1:7" x14ac:dyDescent="0.35">
      <c r="A42" s="118" t="s">
        <v>134</v>
      </c>
      <c r="B42" s="87" t="s">
        <v>158</v>
      </c>
      <c r="C42" s="91" t="s">
        <v>165</v>
      </c>
      <c r="D42" s="89">
        <v>0</v>
      </c>
      <c r="E42" s="89">
        <v>0</v>
      </c>
      <c r="F42" s="93">
        <v>0</v>
      </c>
      <c r="G42" s="89" t="s">
        <v>53</v>
      </c>
    </row>
    <row r="43" spans="1:7" x14ac:dyDescent="0.35">
      <c r="A43" s="118" t="s">
        <v>134</v>
      </c>
      <c r="B43" s="87" t="s">
        <v>159</v>
      </c>
      <c r="C43" s="91" t="s">
        <v>165</v>
      </c>
      <c r="D43" s="89">
        <v>6.81</v>
      </c>
      <c r="E43" s="89">
        <v>3.27</v>
      </c>
      <c r="F43" s="93">
        <v>3.36</v>
      </c>
      <c r="G43" s="89" t="s">
        <v>53</v>
      </c>
    </row>
    <row r="44" spans="1:7" x14ac:dyDescent="0.35">
      <c r="A44" s="118" t="s">
        <v>134</v>
      </c>
      <c r="B44" s="87" t="s">
        <v>160</v>
      </c>
      <c r="C44" s="91" t="s">
        <v>166</v>
      </c>
      <c r="D44" s="89">
        <v>0</v>
      </c>
      <c r="E44" s="89">
        <v>3.45</v>
      </c>
      <c r="F44" s="93">
        <v>2.5099999999999998</v>
      </c>
      <c r="G44" s="122" t="s">
        <v>201</v>
      </c>
    </row>
    <row r="45" spans="1:7" x14ac:dyDescent="0.35">
      <c r="A45" s="118" t="s">
        <v>134</v>
      </c>
      <c r="B45" s="87" t="s">
        <v>161</v>
      </c>
      <c r="C45" s="91" t="s">
        <v>166</v>
      </c>
      <c r="D45" s="89">
        <v>0</v>
      </c>
      <c r="E45" s="89">
        <v>6.72</v>
      </c>
      <c r="F45" s="93">
        <v>4.03</v>
      </c>
      <c r="G45" s="121" t="s">
        <v>53</v>
      </c>
    </row>
    <row r="46" spans="1:7" x14ac:dyDescent="0.35">
      <c r="A46" s="118" t="s">
        <v>134</v>
      </c>
      <c r="B46" s="87" t="s">
        <v>162</v>
      </c>
      <c r="C46" s="91" t="s">
        <v>166</v>
      </c>
      <c r="D46" s="89">
        <v>0</v>
      </c>
      <c r="E46" s="89">
        <v>6.9</v>
      </c>
      <c r="F46" s="93">
        <v>4.0599999999999996</v>
      </c>
      <c r="G46" s="121" t="s">
        <v>53</v>
      </c>
    </row>
    <row r="47" spans="1:7" x14ac:dyDescent="0.35">
      <c r="A47" s="118" t="s">
        <v>134</v>
      </c>
      <c r="B47" s="87" t="s">
        <v>163</v>
      </c>
      <c r="C47" s="91" t="s">
        <v>166</v>
      </c>
      <c r="D47" s="89">
        <v>0</v>
      </c>
      <c r="E47" s="89">
        <v>0</v>
      </c>
      <c r="F47" s="93">
        <v>0</v>
      </c>
      <c r="G47" s="122" t="s">
        <v>201</v>
      </c>
    </row>
    <row r="48" spans="1:7" x14ac:dyDescent="0.35">
      <c r="A48" s="118" t="s">
        <v>134</v>
      </c>
      <c r="B48" s="87" t="s">
        <v>164</v>
      </c>
      <c r="C48" s="91" t="s">
        <v>166</v>
      </c>
      <c r="D48" s="89">
        <v>8.18</v>
      </c>
      <c r="E48" s="89">
        <v>0</v>
      </c>
      <c r="F48" s="93">
        <v>2.73</v>
      </c>
      <c r="G48" s="122" t="s">
        <v>201</v>
      </c>
    </row>
    <row r="49" spans="1:7" x14ac:dyDescent="0.35">
      <c r="A49" s="118" t="s">
        <v>135</v>
      </c>
      <c r="B49" s="87" t="s">
        <v>167</v>
      </c>
      <c r="C49" s="91" t="s">
        <v>190</v>
      </c>
      <c r="D49" s="89">
        <v>3.94</v>
      </c>
      <c r="E49" s="89">
        <v>3.61</v>
      </c>
      <c r="F49" s="93">
        <v>3.93</v>
      </c>
      <c r="G49" s="89" t="s">
        <v>53</v>
      </c>
    </row>
    <row r="50" spans="1:7" x14ac:dyDescent="0.35">
      <c r="A50" s="118" t="s">
        <v>135</v>
      </c>
      <c r="B50" s="87" t="s">
        <v>168</v>
      </c>
      <c r="C50" s="91" t="s">
        <v>191</v>
      </c>
      <c r="D50" s="89">
        <v>6.41</v>
      </c>
      <c r="E50" s="89">
        <v>5.91</v>
      </c>
      <c r="F50" s="93">
        <v>6.43</v>
      </c>
      <c r="G50" s="120" t="s">
        <v>133</v>
      </c>
    </row>
    <row r="51" spans="1:7" x14ac:dyDescent="0.35">
      <c r="A51" s="118" t="s">
        <v>135</v>
      </c>
      <c r="B51" s="87" t="s">
        <v>169</v>
      </c>
      <c r="C51" s="91" t="s">
        <v>190</v>
      </c>
      <c r="D51" s="89">
        <v>2.29</v>
      </c>
      <c r="E51" s="89">
        <v>2.91</v>
      </c>
      <c r="F51" s="93">
        <v>3.06</v>
      </c>
      <c r="G51" s="89" t="s">
        <v>53</v>
      </c>
    </row>
    <row r="52" spans="1:7" x14ac:dyDescent="0.35">
      <c r="A52" s="118" t="s">
        <v>135</v>
      </c>
      <c r="B52" s="87" t="s">
        <v>170</v>
      </c>
      <c r="C52" s="91" t="s">
        <v>190</v>
      </c>
      <c r="D52" s="89">
        <v>2.76</v>
      </c>
      <c r="E52" s="89">
        <v>2.11</v>
      </c>
      <c r="F52" s="93">
        <v>2.4099999999999997</v>
      </c>
      <c r="G52" s="89" t="s">
        <v>53</v>
      </c>
    </row>
    <row r="53" spans="1:7" x14ac:dyDescent="0.35">
      <c r="A53" s="118" t="s">
        <v>135</v>
      </c>
      <c r="B53" s="87" t="s">
        <v>171</v>
      </c>
      <c r="C53" s="91" t="s">
        <v>190</v>
      </c>
      <c r="D53" s="89">
        <v>2.64</v>
      </c>
      <c r="E53" s="89">
        <v>2.38</v>
      </c>
      <c r="F53" s="93">
        <v>2.5499999999999998</v>
      </c>
      <c r="G53" s="89" t="s">
        <v>53</v>
      </c>
    </row>
    <row r="54" spans="1:7" x14ac:dyDescent="0.35">
      <c r="A54" s="118" t="s">
        <v>135</v>
      </c>
      <c r="B54" s="87" t="s">
        <v>172</v>
      </c>
      <c r="C54" s="91" t="s">
        <v>200</v>
      </c>
      <c r="D54" s="89">
        <v>1.82</v>
      </c>
      <c r="E54" s="89">
        <v>1.88</v>
      </c>
      <c r="F54" s="93">
        <v>2</v>
      </c>
      <c r="G54" s="89" t="s">
        <v>53</v>
      </c>
    </row>
    <row r="55" spans="1:7" x14ac:dyDescent="0.35">
      <c r="A55" s="118" t="s">
        <v>135</v>
      </c>
      <c r="B55" s="87" t="s">
        <v>173</v>
      </c>
      <c r="C55" s="91" t="s">
        <v>190</v>
      </c>
      <c r="D55" s="89">
        <v>3.17</v>
      </c>
      <c r="E55" s="89">
        <v>2.38</v>
      </c>
      <c r="F55" s="93">
        <v>2.97</v>
      </c>
      <c r="G55" s="89" t="s">
        <v>53</v>
      </c>
    </row>
    <row r="56" spans="1:7" x14ac:dyDescent="0.35">
      <c r="A56" s="118" t="s">
        <v>135</v>
      </c>
      <c r="B56" s="87" t="s">
        <v>174</v>
      </c>
      <c r="C56" s="91" t="s">
        <v>190</v>
      </c>
      <c r="D56" s="89">
        <v>5.1100000000000003</v>
      </c>
      <c r="E56" s="89">
        <v>5.7</v>
      </c>
      <c r="F56" s="93">
        <v>3.61</v>
      </c>
      <c r="G56" s="89" t="s">
        <v>53</v>
      </c>
    </row>
    <row r="57" spans="1:7" x14ac:dyDescent="0.35">
      <c r="A57" s="118" t="s">
        <v>135</v>
      </c>
      <c r="B57" s="87" t="s">
        <v>175</v>
      </c>
      <c r="C57" s="91" t="s">
        <v>194</v>
      </c>
      <c r="D57" s="89">
        <v>9.0500000000000007</v>
      </c>
      <c r="E57" s="89">
        <v>8</v>
      </c>
      <c r="F57" s="93">
        <v>8.5399999999999991</v>
      </c>
      <c r="G57" s="120" t="s">
        <v>133</v>
      </c>
    </row>
    <row r="58" spans="1:7" x14ac:dyDescent="0.35">
      <c r="A58" s="118" t="s">
        <v>135</v>
      </c>
      <c r="B58" s="87" t="s">
        <v>176</v>
      </c>
      <c r="C58" s="91" t="s">
        <v>190</v>
      </c>
      <c r="D58" s="89">
        <v>4.29</v>
      </c>
      <c r="E58" s="89">
        <v>4.08</v>
      </c>
      <c r="F58" s="93">
        <v>4.6800000000000006</v>
      </c>
      <c r="G58" s="89" t="s">
        <v>53</v>
      </c>
    </row>
    <row r="59" spans="1:7" x14ac:dyDescent="0.35">
      <c r="A59" s="118" t="s">
        <v>135</v>
      </c>
      <c r="B59" s="87" t="s">
        <v>177</v>
      </c>
      <c r="C59" s="91" t="s">
        <v>199</v>
      </c>
      <c r="D59" s="89">
        <v>2.83</v>
      </c>
      <c r="E59" s="89">
        <v>2.44</v>
      </c>
      <c r="F59" s="93">
        <v>2.92</v>
      </c>
      <c r="G59" s="89" t="s">
        <v>53</v>
      </c>
    </row>
    <row r="60" spans="1:7" x14ac:dyDescent="0.35">
      <c r="A60" s="118" t="s">
        <v>135</v>
      </c>
      <c r="B60" s="87" t="s">
        <v>178</v>
      </c>
      <c r="C60" s="91" t="s">
        <v>198</v>
      </c>
      <c r="D60" s="89">
        <v>2.94</v>
      </c>
      <c r="E60" s="89">
        <v>4.76</v>
      </c>
      <c r="F60" s="93">
        <v>3.55</v>
      </c>
      <c r="G60" s="89" t="s">
        <v>53</v>
      </c>
    </row>
    <row r="61" spans="1:7" x14ac:dyDescent="0.35">
      <c r="A61" s="118" t="s">
        <v>135</v>
      </c>
      <c r="B61" s="87" t="s">
        <v>179</v>
      </c>
      <c r="C61" s="91" t="s">
        <v>190</v>
      </c>
      <c r="D61" s="89">
        <v>2.52</v>
      </c>
      <c r="E61" s="89">
        <v>2.14</v>
      </c>
      <c r="F61" s="93">
        <v>2.65</v>
      </c>
      <c r="G61" s="89" t="s">
        <v>53</v>
      </c>
    </row>
    <row r="62" spans="1:7" x14ac:dyDescent="0.35">
      <c r="A62" s="118" t="s">
        <v>135</v>
      </c>
      <c r="B62" s="87" t="s">
        <v>180</v>
      </c>
      <c r="C62" s="91" t="s">
        <v>197</v>
      </c>
      <c r="D62" s="89">
        <v>2.23</v>
      </c>
      <c r="E62" s="89">
        <v>1.67</v>
      </c>
      <c r="F62" s="93">
        <v>1.97</v>
      </c>
      <c r="G62" s="89" t="s">
        <v>53</v>
      </c>
    </row>
    <row r="63" spans="1:7" x14ac:dyDescent="0.35">
      <c r="A63" s="118" t="s">
        <v>135</v>
      </c>
      <c r="B63" s="87" t="s">
        <v>181</v>
      </c>
      <c r="C63" s="91" t="s">
        <v>196</v>
      </c>
      <c r="D63" s="89">
        <v>2.7</v>
      </c>
      <c r="E63" s="89">
        <v>2.91</v>
      </c>
      <c r="F63" s="93">
        <v>3.14</v>
      </c>
      <c r="G63" s="89" t="s">
        <v>53</v>
      </c>
    </row>
    <row r="64" spans="1:7" x14ac:dyDescent="0.35">
      <c r="A64" s="118" t="s">
        <v>135</v>
      </c>
      <c r="B64" s="87" t="s">
        <v>182</v>
      </c>
      <c r="C64" s="91" t="s">
        <v>195</v>
      </c>
      <c r="D64" s="89">
        <v>3.94</v>
      </c>
      <c r="E64" s="89">
        <v>3.2</v>
      </c>
      <c r="F64" s="93">
        <v>3.82</v>
      </c>
      <c r="G64" s="89" t="s">
        <v>53</v>
      </c>
    </row>
    <row r="65" spans="1:7" x14ac:dyDescent="0.35">
      <c r="A65" s="118" t="s">
        <v>135</v>
      </c>
      <c r="B65" s="87" t="s">
        <v>183</v>
      </c>
      <c r="C65" s="91" t="s">
        <v>190</v>
      </c>
      <c r="D65" s="89">
        <v>2.82</v>
      </c>
      <c r="E65" s="89">
        <v>2.29</v>
      </c>
      <c r="F65" s="93">
        <v>2.2899999999999996</v>
      </c>
      <c r="G65" s="89" t="s">
        <v>53</v>
      </c>
    </row>
    <row r="66" spans="1:7" x14ac:dyDescent="0.35">
      <c r="A66" s="118" t="s">
        <v>135</v>
      </c>
      <c r="B66" s="87" t="s">
        <v>184</v>
      </c>
      <c r="C66" s="91" t="s">
        <v>190</v>
      </c>
      <c r="D66" s="89">
        <v>2.41</v>
      </c>
      <c r="E66" s="89">
        <v>2.73</v>
      </c>
      <c r="F66" s="93">
        <v>2.5099999999999998</v>
      </c>
      <c r="G66" s="122" t="s">
        <v>201</v>
      </c>
    </row>
    <row r="67" spans="1:7" x14ac:dyDescent="0.35">
      <c r="A67" s="118" t="s">
        <v>135</v>
      </c>
      <c r="B67" s="87" t="s">
        <v>185</v>
      </c>
      <c r="C67" s="91" t="s">
        <v>194</v>
      </c>
      <c r="D67" s="89">
        <v>5</v>
      </c>
      <c r="E67" s="89">
        <v>4.17</v>
      </c>
      <c r="F67" s="93">
        <v>4.1399999999999997</v>
      </c>
      <c r="G67" s="123" t="s">
        <v>53</v>
      </c>
    </row>
    <row r="68" spans="1:7" x14ac:dyDescent="0.35">
      <c r="A68" s="118" t="s">
        <v>135</v>
      </c>
      <c r="B68" s="87" t="s">
        <v>186</v>
      </c>
      <c r="C68" s="91" t="s">
        <v>190</v>
      </c>
      <c r="D68" s="89">
        <v>3.88</v>
      </c>
      <c r="E68" s="89">
        <v>4.82</v>
      </c>
      <c r="F68" s="93">
        <v>4.46</v>
      </c>
      <c r="G68" s="122" t="s">
        <v>201</v>
      </c>
    </row>
    <row r="69" spans="1:7" x14ac:dyDescent="0.35">
      <c r="A69" s="118" t="s">
        <v>135</v>
      </c>
      <c r="B69" s="87" t="s">
        <v>187</v>
      </c>
      <c r="C69" s="91" t="s">
        <v>193</v>
      </c>
      <c r="D69" s="89">
        <v>3.35</v>
      </c>
      <c r="E69" s="89">
        <v>2.79</v>
      </c>
      <c r="F69" s="93">
        <v>3.25</v>
      </c>
      <c r="G69" s="122" t="s">
        <v>201</v>
      </c>
    </row>
    <row r="70" spans="1:7" x14ac:dyDescent="0.35">
      <c r="A70" s="118" t="s">
        <v>135</v>
      </c>
      <c r="B70" s="87" t="s">
        <v>188</v>
      </c>
      <c r="C70" s="91" t="s">
        <v>192</v>
      </c>
      <c r="D70" s="89">
        <v>4.2300000000000004</v>
      </c>
      <c r="E70" s="89">
        <v>3.61</v>
      </c>
      <c r="F70" s="93">
        <v>3.86</v>
      </c>
      <c r="G70" s="122" t="s">
        <v>201</v>
      </c>
    </row>
    <row r="71" spans="1:7" x14ac:dyDescent="0.35">
      <c r="A71" s="118" t="s">
        <v>135</v>
      </c>
      <c r="B71" s="87" t="s">
        <v>189</v>
      </c>
      <c r="C71" s="91" t="s">
        <v>190</v>
      </c>
      <c r="D71" s="89">
        <v>6.94</v>
      </c>
      <c r="E71" s="89">
        <v>6.11</v>
      </c>
      <c r="F71" s="93">
        <v>3.63</v>
      </c>
      <c r="G71" s="123" t="s">
        <v>53</v>
      </c>
    </row>
    <row r="72" spans="1:7" x14ac:dyDescent="0.35">
      <c r="A72" s="131">
        <f>SUBTOTAL(103,Table10[Etablissement])</f>
        <v>70</v>
      </c>
      <c r="B72" s="132"/>
      <c r="C72" s="133"/>
      <c r="D72" s="134"/>
      <c r="E72" s="134"/>
      <c r="F72" s="135"/>
      <c r="G72" s="136">
        <f>SUBTOTAL(103,Table10[Situations FINALES])</f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17"/>
  <sheetViews>
    <sheetView tabSelected="1" workbookViewId="0">
      <selection activeCell="I18" sqref="I18"/>
    </sheetView>
  </sheetViews>
  <sheetFormatPr defaultColWidth="10.90625" defaultRowHeight="14.5" x14ac:dyDescent="0.35"/>
  <cols>
    <col min="1" max="1" width="18.453125" bestFit="1" customWidth="1"/>
    <col min="2" max="2" width="12.1796875" bestFit="1" customWidth="1"/>
    <col min="3" max="3" width="16.81640625" bestFit="1" customWidth="1"/>
    <col min="4" max="4" width="15.6328125" bestFit="1" customWidth="1"/>
    <col min="5" max="5" width="14.6328125" bestFit="1" customWidth="1"/>
    <col min="6" max="6" width="17.6328125" bestFit="1" customWidth="1"/>
    <col min="7" max="7" width="17.36328125" bestFit="1" customWidth="1"/>
    <col min="8" max="8" width="15.1796875" bestFit="1" customWidth="1"/>
    <col min="9" max="9" width="18.1796875" bestFit="1" customWidth="1"/>
    <col min="10" max="10" width="15" bestFit="1" customWidth="1"/>
  </cols>
  <sheetData>
    <row r="3" spans="1:10" ht="26" x14ac:dyDescent="0.35">
      <c r="E3" s="147" t="s">
        <v>226</v>
      </c>
      <c r="F3" s="147"/>
    </row>
    <row r="5" spans="1:10" ht="15.5" x14ac:dyDescent="0.35">
      <c r="A5" s="68" t="s">
        <v>216</v>
      </c>
      <c r="B5" s="69" t="s">
        <v>217</v>
      </c>
      <c r="C5" s="69" t="s">
        <v>218</v>
      </c>
      <c r="D5" s="70" t="s">
        <v>227</v>
      </c>
      <c r="E5" s="68" t="s">
        <v>220</v>
      </c>
      <c r="F5" s="68" t="s">
        <v>221</v>
      </c>
      <c r="G5" s="68" t="s">
        <v>222</v>
      </c>
      <c r="H5" s="68" t="s">
        <v>223</v>
      </c>
      <c r="I5" s="68" t="s">
        <v>224</v>
      </c>
      <c r="J5" s="72" t="s">
        <v>225</v>
      </c>
    </row>
    <row r="6" spans="1:10" ht="21" x14ac:dyDescent="0.5">
      <c r="A6" s="3" t="s">
        <v>122</v>
      </c>
      <c r="B6" s="94">
        <v>8</v>
      </c>
      <c r="C6">
        <v>0</v>
      </c>
      <c r="D6" s="94">
        <v>8</v>
      </c>
      <c r="E6" s="95">
        <v>3</v>
      </c>
      <c r="F6">
        <f>Table556[[#This Row],[Presentes]]-Table556[[#This Row],[Admises '#]]</f>
        <v>5</v>
      </c>
      <c r="G6" s="96">
        <f>Table556[[#This Row],[Abandonee '#]]/Table556[[#This Row],[Insrites]]</f>
        <v>0</v>
      </c>
      <c r="H6" s="96">
        <f>Table556[[#This Row],[Admises '#]]/Table556[[#This Row],[Presentes]]</f>
        <v>0.375</v>
      </c>
      <c r="I6" s="96">
        <f>Table556[[#This Row],[Non Admise '#]]/Table556[[#This Row],[Presentes]]</f>
        <v>0.625</v>
      </c>
      <c r="J6" s="75"/>
    </row>
    <row r="7" spans="1:10" x14ac:dyDescent="0.35">
      <c r="A7" s="73" t="s">
        <v>105</v>
      </c>
      <c r="B7" s="97">
        <v>16</v>
      </c>
      <c r="C7">
        <v>0</v>
      </c>
      <c r="D7" s="97">
        <v>16</v>
      </c>
      <c r="E7" s="95">
        <v>12</v>
      </c>
      <c r="F7">
        <f>Table556[[#This Row],[Presentes]]-Table556[[#This Row],[Admises '#]]</f>
        <v>4</v>
      </c>
      <c r="G7" s="96">
        <f>Table556[[#This Row],[Abandonee '#]]/Table556[[#This Row],[Insrites]]</f>
        <v>0</v>
      </c>
      <c r="H7" s="96">
        <f>Table556[[#This Row],[Admises '#]]/Table556[[#This Row],[Presentes]]</f>
        <v>0.75</v>
      </c>
      <c r="I7" s="96">
        <f>Table556[[#This Row],[Non Admise '#]]/Table556[[#This Row],[Presentes]]</f>
        <v>0.25</v>
      </c>
    </row>
    <row r="8" spans="1:10" x14ac:dyDescent="0.35">
      <c r="A8" s="98" t="s">
        <v>83</v>
      </c>
      <c r="B8" s="94">
        <v>18</v>
      </c>
      <c r="C8">
        <v>1</v>
      </c>
      <c r="D8" s="94">
        <f>Table556[[#This Row],[Insrites]]-Table556[[#This Row],[Abandonee '#]]</f>
        <v>17</v>
      </c>
      <c r="E8" s="95">
        <v>12</v>
      </c>
      <c r="F8">
        <f>Table556[[#This Row],[Presentes]]-Table556[[#This Row],[Admises '#]]</f>
        <v>5</v>
      </c>
      <c r="G8" s="96">
        <f>Table556[[#This Row],[Abandonee '#]]/Table556[[#This Row],[Insrites]]</f>
        <v>5.5555555555555552E-2</v>
      </c>
      <c r="H8" s="96">
        <f>Table556[[#This Row],[Admises '#]]/Table556[[#This Row],[Presentes]]</f>
        <v>0.70588235294117652</v>
      </c>
      <c r="I8" s="96">
        <f>Table556[[#This Row],[Non Admise '#]]/Table556[[#This Row],[Presentes]]</f>
        <v>0.29411764705882354</v>
      </c>
    </row>
    <row r="9" spans="1:10" x14ac:dyDescent="0.35">
      <c r="A9" s="73" t="s">
        <v>14</v>
      </c>
      <c r="B9" s="97">
        <v>29</v>
      </c>
      <c r="C9">
        <v>0</v>
      </c>
      <c r="D9" s="97">
        <v>29</v>
      </c>
      <c r="E9" s="95">
        <v>15</v>
      </c>
      <c r="F9">
        <f>Table556[[#This Row],[Presentes]]-Table556[[#This Row],[Admises '#]]</f>
        <v>14</v>
      </c>
      <c r="G9" s="96">
        <f>Table556[[#This Row],[Abandonee '#]]/Table556[[#This Row],[Insrites]]</f>
        <v>0</v>
      </c>
      <c r="H9" s="96">
        <f>Table556[[#This Row],[Admises '#]]/Table556[[#This Row],[Presentes]]</f>
        <v>0.51724137931034486</v>
      </c>
      <c r="I9" s="96">
        <f>Table556[[#This Row],[Non Admise '#]]/Table556[[#This Row],[Presentes]]</f>
        <v>0.48275862068965519</v>
      </c>
    </row>
    <row r="10" spans="1:10" x14ac:dyDescent="0.35">
      <c r="A10" s="76"/>
      <c r="B10" s="77">
        <f>SUBTOTAL(109,Table556[Insrites])</f>
        <v>71</v>
      </c>
      <c r="C10" s="77">
        <f>SUBTOTAL(109,Table556[Abandonee '#])</f>
        <v>1</v>
      </c>
      <c r="D10" s="77">
        <f>SUBTOTAL(109,Table556[Presentes])</f>
        <v>70</v>
      </c>
      <c r="E10" s="77">
        <f>SUBTOTAL(109,Table556[Admises '#])</f>
        <v>42</v>
      </c>
      <c r="F10" s="77">
        <f>SUBTOTAL(109,Table556[Non Admise '#])</f>
        <v>28</v>
      </c>
      <c r="G10" s="99">
        <f>Table556[[#Totals],[Abandonee '#]]/Table556[[#Totals],[Insrites]]</f>
        <v>1.4084507042253521E-2</v>
      </c>
      <c r="H10" s="100">
        <f>Table556[[#Totals],[Admises '#]]/Table556[[#Totals],[Presentes]]</f>
        <v>0.6</v>
      </c>
      <c r="I10" s="100">
        <f>Table556[[#Totals],[Non Admise '#]]/Table556[[#Totals],[Presentes]]</f>
        <v>0.4</v>
      </c>
      <c r="J10" s="77"/>
    </row>
    <row r="11" spans="1:10" ht="26" x14ac:dyDescent="0.35">
      <c r="A11" s="67"/>
      <c r="B11" s="67"/>
      <c r="C11" s="67"/>
      <c r="D11" s="67"/>
      <c r="E11" s="147" t="s">
        <v>215</v>
      </c>
      <c r="F11" s="147"/>
      <c r="G11" s="67"/>
      <c r="H11" s="67"/>
      <c r="I11" s="67"/>
      <c r="J11" s="67"/>
    </row>
    <row r="12" spans="1:10" ht="15.5" x14ac:dyDescent="0.35">
      <c r="A12" s="68" t="s">
        <v>216</v>
      </c>
      <c r="B12" s="69" t="s">
        <v>217</v>
      </c>
      <c r="C12" s="69" t="s">
        <v>218</v>
      </c>
      <c r="D12" s="70" t="s">
        <v>219</v>
      </c>
      <c r="E12" s="68" t="s">
        <v>220</v>
      </c>
      <c r="F12" s="68" t="s">
        <v>221</v>
      </c>
      <c r="G12" s="71" t="s">
        <v>222</v>
      </c>
      <c r="H12" s="68" t="s">
        <v>223</v>
      </c>
      <c r="I12" s="68" t="s">
        <v>224</v>
      </c>
      <c r="J12" s="72" t="s">
        <v>225</v>
      </c>
    </row>
    <row r="13" spans="1:10" ht="21" x14ac:dyDescent="0.5">
      <c r="A13" s="73" t="s">
        <v>134</v>
      </c>
      <c r="B13">
        <v>16</v>
      </c>
      <c r="C13">
        <v>0</v>
      </c>
      <c r="D13">
        <v>16</v>
      </c>
      <c r="E13">
        <v>3</v>
      </c>
      <c r="F13">
        <f>Table545[[#This Row],[Presentes '#]]-Table545[[#This Row],[Admises '#]]</f>
        <v>13</v>
      </c>
      <c r="G13" s="74">
        <f>Table545[[#This Row],[Abandonee '#]]/Table545[[#This Row],[Insrites]]</f>
        <v>0</v>
      </c>
      <c r="H13" s="74">
        <f>Table545[[#This Row],[Admises '#]]/Table545[[#This Row],[Presentes '#]]</f>
        <v>0.1875</v>
      </c>
      <c r="I13" s="74">
        <f>Table545[[#This Row],[Non Admise '#]]/Table545[[#This Row],[Presentes '#]]</f>
        <v>0.8125</v>
      </c>
      <c r="J13" s="75"/>
    </row>
    <row r="14" spans="1:10" x14ac:dyDescent="0.35">
      <c r="A14" s="73" t="s">
        <v>135</v>
      </c>
      <c r="B14">
        <v>23</v>
      </c>
      <c r="C14">
        <v>0</v>
      </c>
      <c r="D14">
        <v>23</v>
      </c>
      <c r="E14">
        <v>2</v>
      </c>
      <c r="F14">
        <f>Table545[[#This Row],[Presentes '#]]-Table545[[#This Row],[Admises '#]]</f>
        <v>21</v>
      </c>
      <c r="G14" s="74">
        <f>Table545[[#This Row],[Abandonee '#]]/Table545[[#This Row],[Insrites]]</f>
        <v>0</v>
      </c>
      <c r="H14" s="74">
        <f>Table545[[#This Row],[Admises '#]]/Table545[[#This Row],[Presentes '#]]</f>
        <v>8.6956521739130432E-2</v>
      </c>
      <c r="I14" s="74">
        <f>Table545[[#This Row],[Non Admise '#]]/Table545[[#This Row],[Presentes '#]]</f>
        <v>0.91304347826086951</v>
      </c>
    </row>
    <row r="15" spans="1:10" x14ac:dyDescent="0.35">
      <c r="A15" s="73" t="s">
        <v>131</v>
      </c>
      <c r="B15">
        <v>7</v>
      </c>
      <c r="C15">
        <v>0</v>
      </c>
      <c r="D15">
        <v>7</v>
      </c>
      <c r="E15">
        <v>3</v>
      </c>
      <c r="F15">
        <f>Table545[[#This Row],[Presentes '#]]-Table545[[#This Row],[Admises '#]]</f>
        <v>4</v>
      </c>
      <c r="G15" s="74">
        <f>Table545[[#This Row],[Abandonee '#]]/Table545[[#This Row],[Insrites]]</f>
        <v>0</v>
      </c>
      <c r="H15" s="74">
        <f>Table545[[#This Row],[Admises '#]]/Table545[[#This Row],[Presentes '#]]</f>
        <v>0.42857142857142855</v>
      </c>
      <c r="I15" s="74">
        <f>Table545[[#This Row],[Non Admise '#]]/Table545[[#This Row],[Presentes '#]]</f>
        <v>0.5714285714285714</v>
      </c>
    </row>
    <row r="16" spans="1:10" x14ac:dyDescent="0.35">
      <c r="A16" s="73" t="s">
        <v>20</v>
      </c>
      <c r="B16">
        <v>24</v>
      </c>
      <c r="C16">
        <v>0</v>
      </c>
      <c r="D16">
        <v>24</v>
      </c>
      <c r="E16">
        <v>5</v>
      </c>
      <c r="F16">
        <f>Table545[[#This Row],[Presentes '#]]-Table545[[#This Row],[Admises '#]]</f>
        <v>19</v>
      </c>
      <c r="G16" s="74">
        <f>Table545[[#This Row],[Abandonee '#]]/Table545[[#This Row],[Insrites]]</f>
        <v>0</v>
      </c>
      <c r="H16" s="74">
        <f>Table545[[#This Row],[Admises '#]]/Table545[[#This Row],[Presentes '#]]</f>
        <v>0.20833333333333334</v>
      </c>
      <c r="I16" s="74">
        <f>Table545[[#This Row],[Non Admise '#]]/Table545[[#This Row],[Presentes '#]]</f>
        <v>0.79166666666666663</v>
      </c>
    </row>
    <row r="17" spans="1:10" x14ac:dyDescent="0.35">
      <c r="A17" s="76"/>
      <c r="B17" s="77">
        <f>SUBTOTAL(109,Table545[Insrites])</f>
        <v>70</v>
      </c>
      <c r="C17" s="77">
        <f>SUBTOTAL(109,Table545[Abandonee '#])</f>
        <v>0</v>
      </c>
      <c r="D17" s="77">
        <f>SUBTOTAL(109,Table545[Presentes '#])</f>
        <v>70</v>
      </c>
      <c r="E17" s="77">
        <f>SUBTOTAL(109,Table545[Admises '#])</f>
        <v>13</v>
      </c>
      <c r="F17" s="77">
        <f>SUBTOTAL(109,Table545[Non Admise '#])</f>
        <v>57</v>
      </c>
      <c r="G17" s="78"/>
      <c r="H17" s="78">
        <f>Table545[[#Totals],[Admises '#]]/Table545[[#Totals],[Presentes '#]]</f>
        <v>0.18571428571428572</v>
      </c>
      <c r="I17" s="78">
        <f>Table545[[#Totals],[Non Admise '#]]/Table545[[#Totals],[Presentes '#]]</f>
        <v>0.81428571428571428</v>
      </c>
      <c r="J17" s="77"/>
    </row>
  </sheetData>
  <mergeCells count="2">
    <mergeCell ref="E3:F3"/>
    <mergeCell ref="E11:F1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showFormulas="1" topLeftCell="C1" workbookViewId="0">
      <selection activeCell="G7" sqref="G7:M83"/>
    </sheetView>
  </sheetViews>
  <sheetFormatPr defaultColWidth="10.90625" defaultRowHeight="14.5" x14ac:dyDescent="0.35"/>
  <cols>
    <col min="8" max="8" width="10.81640625" customWidth="1"/>
    <col min="9" max="11" width="11.453125" customWidth="1"/>
    <col min="12" max="12" width="11.453125" style="33" customWidth="1"/>
    <col min="13" max="13" width="9.453125" customWidth="1"/>
  </cols>
  <sheetData>
    <row r="1" spans="1:13" x14ac:dyDescent="0.35">
      <c r="A1" t="s">
        <v>0</v>
      </c>
    </row>
    <row r="3" spans="1:13" x14ac:dyDescent="0.35">
      <c r="B3" t="s">
        <v>1</v>
      </c>
    </row>
    <row r="4" spans="1:13" x14ac:dyDescent="0.35">
      <c r="B4" s="1"/>
      <c r="C4" t="s">
        <v>2</v>
      </c>
    </row>
    <row r="5" spans="1:13" x14ac:dyDescent="0.35">
      <c r="A5" s="137" t="s">
        <v>3</v>
      </c>
      <c r="B5" s="138" t="s">
        <v>4</v>
      </c>
      <c r="C5" s="141" t="s">
        <v>5</v>
      </c>
      <c r="D5" s="2" t="s">
        <v>6</v>
      </c>
      <c r="E5" s="142" t="s">
        <v>7</v>
      </c>
      <c r="G5" t="s">
        <v>8</v>
      </c>
      <c r="H5" t="s">
        <v>205</v>
      </c>
    </row>
    <row r="6" spans="1:13" x14ac:dyDescent="0.35">
      <c r="A6" s="137"/>
      <c r="B6" s="139"/>
      <c r="C6" s="141"/>
      <c r="D6" s="145" t="s">
        <v>9</v>
      </c>
      <c r="E6" s="143"/>
      <c r="H6" s="148"/>
      <c r="I6" s="148"/>
    </row>
    <row r="7" spans="1:13" x14ac:dyDescent="0.35">
      <c r="A7" s="137"/>
      <c r="B7" s="140"/>
      <c r="C7" s="141"/>
      <c r="D7" s="146"/>
      <c r="E7" s="144"/>
      <c r="G7" s="48" t="s">
        <v>206</v>
      </c>
      <c r="H7" s="15" t="s">
        <v>207</v>
      </c>
      <c r="I7" s="49" t="s">
        <v>208</v>
      </c>
      <c r="J7" s="42" t="s">
        <v>209</v>
      </c>
      <c r="K7" s="42" t="s">
        <v>210</v>
      </c>
      <c r="L7" s="42" t="s">
        <v>211</v>
      </c>
      <c r="M7" s="16" t="s">
        <v>212</v>
      </c>
    </row>
    <row r="8" spans="1:13" x14ac:dyDescent="0.35">
      <c r="A8" s="58" t="s">
        <v>206</v>
      </c>
      <c r="B8" s="31" t="s">
        <v>207</v>
      </c>
      <c r="C8" s="31" t="s">
        <v>208</v>
      </c>
      <c r="D8" s="59" t="s">
        <v>209</v>
      </c>
      <c r="E8" s="60" t="s">
        <v>210</v>
      </c>
      <c r="G8" s="14" t="s">
        <v>3</v>
      </c>
      <c r="H8" s="38" t="s">
        <v>4</v>
      </c>
      <c r="I8" s="39" t="s">
        <v>10</v>
      </c>
      <c r="J8" s="40" t="s">
        <v>11</v>
      </c>
      <c r="K8" s="40" t="s">
        <v>12</v>
      </c>
      <c r="L8" s="40" t="s">
        <v>13</v>
      </c>
      <c r="M8" s="41" t="s">
        <v>7</v>
      </c>
    </row>
    <row r="9" spans="1:13" x14ac:dyDescent="0.35">
      <c r="A9" s="54" t="s">
        <v>14</v>
      </c>
      <c r="B9" s="3" t="s">
        <v>15</v>
      </c>
      <c r="C9" s="3" t="s">
        <v>16</v>
      </c>
      <c r="D9" s="4">
        <v>7.43</v>
      </c>
      <c r="E9" s="57" t="s">
        <v>17</v>
      </c>
      <c r="G9" s="14"/>
      <c r="H9" s="38"/>
      <c r="I9" s="39"/>
      <c r="J9" s="42"/>
      <c r="K9" s="42"/>
      <c r="L9" s="42"/>
      <c r="M9" s="41"/>
    </row>
    <row r="10" spans="1:13" x14ac:dyDescent="0.35">
      <c r="A10" s="54" t="s">
        <v>14</v>
      </c>
      <c r="B10" s="3" t="s">
        <v>18</v>
      </c>
      <c r="C10" s="3" t="s">
        <v>16</v>
      </c>
      <c r="D10" s="4">
        <v>7.69</v>
      </c>
      <c r="E10" s="57" t="s">
        <v>17</v>
      </c>
      <c r="G10" s="14"/>
      <c r="H10" s="38"/>
      <c r="I10" s="39"/>
      <c r="J10" s="43"/>
      <c r="K10" s="43"/>
      <c r="L10" s="43"/>
      <c r="M10" s="41"/>
    </row>
    <row r="11" spans="1:13" x14ac:dyDescent="0.35">
      <c r="A11" s="54" t="s">
        <v>14</v>
      </c>
      <c r="B11" s="3" t="s">
        <v>19</v>
      </c>
      <c r="C11" s="3" t="s">
        <v>16</v>
      </c>
      <c r="D11" s="4">
        <v>3.76</v>
      </c>
      <c r="E11" s="57" t="s">
        <v>213</v>
      </c>
      <c r="G11" s="29" t="s">
        <v>20</v>
      </c>
      <c r="H11" s="30" t="s">
        <v>21</v>
      </c>
      <c r="I11" s="8" t="s">
        <v>22</v>
      </c>
      <c r="J11" s="31">
        <v>8.67</v>
      </c>
      <c r="K11" s="31">
        <v>7.61</v>
      </c>
      <c r="L11" s="36">
        <v>7.36</v>
      </c>
      <c r="M11" s="32" t="s">
        <v>23</v>
      </c>
    </row>
    <row r="12" spans="1:13" x14ac:dyDescent="0.35">
      <c r="A12" s="54" t="s">
        <v>14</v>
      </c>
      <c r="B12" s="3" t="s">
        <v>24</v>
      </c>
      <c r="C12" s="3" t="s">
        <v>16</v>
      </c>
      <c r="D12" s="4">
        <v>1.84</v>
      </c>
      <c r="E12" s="57" t="s">
        <v>213</v>
      </c>
      <c r="G12" s="5" t="s">
        <v>20</v>
      </c>
      <c r="H12" s="6" t="s">
        <v>25</v>
      </c>
      <c r="I12" s="8" t="s">
        <v>26</v>
      </c>
      <c r="J12" s="3">
        <v>8.41</v>
      </c>
      <c r="K12" s="3">
        <v>8.08</v>
      </c>
      <c r="L12" s="37">
        <v>6.86</v>
      </c>
      <c r="M12" s="7" t="s">
        <v>23</v>
      </c>
    </row>
    <row r="13" spans="1:13" x14ac:dyDescent="0.35">
      <c r="A13" s="54" t="s">
        <v>14</v>
      </c>
      <c r="B13" s="3" t="s">
        <v>27</v>
      </c>
      <c r="C13" s="3" t="s">
        <v>16</v>
      </c>
      <c r="D13" s="4">
        <v>6.23</v>
      </c>
      <c r="E13" s="57" t="s">
        <v>17</v>
      </c>
      <c r="G13" s="5" t="s">
        <v>20</v>
      </c>
      <c r="H13" s="6" t="s">
        <v>28</v>
      </c>
      <c r="I13" s="8" t="s">
        <v>29</v>
      </c>
      <c r="J13" s="3">
        <v>6.91</v>
      </c>
      <c r="K13" s="9">
        <v>5.95</v>
      </c>
      <c r="L13" s="37">
        <v>6.7</v>
      </c>
      <c r="M13" s="7" t="s">
        <v>23</v>
      </c>
    </row>
    <row r="14" spans="1:13" x14ac:dyDescent="0.35">
      <c r="A14" s="54" t="s">
        <v>14</v>
      </c>
      <c r="B14" s="3" t="s">
        <v>30</v>
      </c>
      <c r="C14" s="3" t="s">
        <v>16</v>
      </c>
      <c r="D14" s="4">
        <v>5.07</v>
      </c>
      <c r="E14" s="57" t="s">
        <v>17</v>
      </c>
      <c r="G14" s="5" t="s">
        <v>20</v>
      </c>
      <c r="H14" s="6" t="s">
        <v>31</v>
      </c>
      <c r="I14" s="8" t="s">
        <v>22</v>
      </c>
      <c r="J14" s="10">
        <v>6.65</v>
      </c>
      <c r="K14" s="10">
        <v>5.64</v>
      </c>
      <c r="L14" s="37">
        <v>6.16</v>
      </c>
      <c r="M14" s="7" t="s">
        <v>23</v>
      </c>
    </row>
    <row r="15" spans="1:13" x14ac:dyDescent="0.35">
      <c r="A15" s="54" t="s">
        <v>14</v>
      </c>
      <c r="B15" s="3" t="s">
        <v>32</v>
      </c>
      <c r="C15" s="3" t="s">
        <v>16</v>
      </c>
      <c r="D15" s="4">
        <v>2.23</v>
      </c>
      <c r="E15" s="57" t="s">
        <v>213</v>
      </c>
      <c r="G15" s="5" t="s">
        <v>20</v>
      </c>
      <c r="H15" s="6" t="s">
        <v>33</v>
      </c>
      <c r="I15" s="8" t="s">
        <v>29</v>
      </c>
      <c r="J15" s="3">
        <v>8.5</v>
      </c>
      <c r="K15" s="3">
        <v>9.0500000000000007</v>
      </c>
      <c r="L15" s="37">
        <v>5.74</v>
      </c>
      <c r="M15" s="7" t="s">
        <v>23</v>
      </c>
    </row>
    <row r="16" spans="1:13" x14ac:dyDescent="0.35">
      <c r="A16" s="54" t="s">
        <v>14</v>
      </c>
      <c r="B16" s="3" t="s">
        <v>34</v>
      </c>
      <c r="C16" s="3" t="s">
        <v>16</v>
      </c>
      <c r="D16" s="4">
        <v>4.03</v>
      </c>
      <c r="E16" s="57" t="s">
        <v>213</v>
      </c>
      <c r="G16" s="5" t="s">
        <v>20</v>
      </c>
      <c r="H16" s="6" t="s">
        <v>35</v>
      </c>
      <c r="I16" s="8" t="s">
        <v>29</v>
      </c>
      <c r="J16" s="3">
        <v>6.08</v>
      </c>
      <c r="K16" s="3">
        <v>5.67</v>
      </c>
      <c r="L16" s="34" t="s">
        <v>44</v>
      </c>
      <c r="M16" s="7" t="s">
        <v>45</v>
      </c>
    </row>
    <row r="17" spans="1:13" x14ac:dyDescent="0.35">
      <c r="A17" s="54" t="s">
        <v>14</v>
      </c>
      <c r="B17" s="3" t="s">
        <v>36</v>
      </c>
      <c r="C17" s="3" t="s">
        <v>16</v>
      </c>
      <c r="D17" s="4">
        <v>1.61</v>
      </c>
      <c r="E17" s="57" t="s">
        <v>213</v>
      </c>
      <c r="G17" s="5" t="s">
        <v>20</v>
      </c>
      <c r="H17" s="6" t="s">
        <v>37</v>
      </c>
      <c r="I17" s="8" t="s">
        <v>29</v>
      </c>
      <c r="J17" s="3">
        <v>7.5</v>
      </c>
      <c r="K17" s="3">
        <v>8.8800000000000008</v>
      </c>
      <c r="L17" s="34" t="s">
        <v>44</v>
      </c>
      <c r="M17" s="7" t="s">
        <v>45</v>
      </c>
    </row>
    <row r="18" spans="1:13" x14ac:dyDescent="0.35">
      <c r="A18" s="54" t="s">
        <v>14</v>
      </c>
      <c r="B18" s="3" t="s">
        <v>38</v>
      </c>
      <c r="C18" s="3" t="s">
        <v>16</v>
      </c>
      <c r="D18" s="4">
        <v>7.46</v>
      </c>
      <c r="E18" s="57" t="s">
        <v>17</v>
      </c>
      <c r="G18" s="5" t="s">
        <v>20</v>
      </c>
      <c r="H18" s="6" t="s">
        <v>39</v>
      </c>
      <c r="I18" s="8" t="s">
        <v>29</v>
      </c>
      <c r="J18" s="3">
        <v>5.94</v>
      </c>
      <c r="K18" s="3">
        <v>5.7</v>
      </c>
      <c r="L18" s="34" t="s">
        <v>44</v>
      </c>
      <c r="M18" s="7" t="s">
        <v>45</v>
      </c>
    </row>
    <row r="19" spans="1:13" x14ac:dyDescent="0.35">
      <c r="A19" s="54" t="s">
        <v>14</v>
      </c>
      <c r="B19" s="3" t="s">
        <v>40</v>
      </c>
      <c r="C19" s="3" t="s">
        <v>16</v>
      </c>
      <c r="D19" s="4">
        <v>4.53</v>
      </c>
      <c r="E19" s="57" t="s">
        <v>17</v>
      </c>
      <c r="G19" s="5" t="s">
        <v>20</v>
      </c>
      <c r="H19" s="6" t="s">
        <v>41</v>
      </c>
      <c r="I19" s="8" t="s">
        <v>22</v>
      </c>
      <c r="J19" s="3">
        <v>5.52</v>
      </c>
      <c r="K19" s="3">
        <v>5.76</v>
      </c>
      <c r="L19" s="34" t="s">
        <v>44</v>
      </c>
      <c r="M19" s="7" t="s">
        <v>45</v>
      </c>
    </row>
    <row r="20" spans="1:13" x14ac:dyDescent="0.35">
      <c r="A20" s="54" t="s">
        <v>14</v>
      </c>
      <c r="B20" s="3" t="s">
        <v>42</v>
      </c>
      <c r="C20" s="3" t="s">
        <v>16</v>
      </c>
      <c r="D20" s="4">
        <v>5.07</v>
      </c>
      <c r="E20" s="57" t="s">
        <v>17</v>
      </c>
      <c r="G20" s="5" t="s">
        <v>20</v>
      </c>
      <c r="H20" s="6" t="s">
        <v>43</v>
      </c>
      <c r="I20" s="8" t="s">
        <v>22</v>
      </c>
      <c r="J20" s="3">
        <v>4.6100000000000003</v>
      </c>
      <c r="K20" s="3">
        <v>5.08</v>
      </c>
      <c r="L20" s="34" t="s">
        <v>44</v>
      </c>
      <c r="M20" s="7" t="s">
        <v>45</v>
      </c>
    </row>
    <row r="21" spans="1:13" x14ac:dyDescent="0.35">
      <c r="A21" s="54" t="s">
        <v>14</v>
      </c>
      <c r="B21" s="3" t="s">
        <v>46</v>
      </c>
      <c r="C21" s="3" t="s">
        <v>16</v>
      </c>
      <c r="D21" s="4">
        <v>4.9000000000000004</v>
      </c>
      <c r="E21" s="57" t="s">
        <v>17</v>
      </c>
      <c r="G21" s="5" t="s">
        <v>20</v>
      </c>
      <c r="H21" s="6" t="s">
        <v>47</v>
      </c>
      <c r="I21" s="8" t="s">
        <v>48</v>
      </c>
      <c r="J21" s="3">
        <v>5.7</v>
      </c>
      <c r="K21" s="3">
        <v>5.05</v>
      </c>
      <c r="L21" s="34" t="s">
        <v>44</v>
      </c>
      <c r="M21" s="7" t="s">
        <v>45</v>
      </c>
    </row>
    <row r="22" spans="1:13" x14ac:dyDescent="0.35">
      <c r="A22" s="54" t="s">
        <v>14</v>
      </c>
      <c r="B22" s="3" t="s">
        <v>49</v>
      </c>
      <c r="C22" s="3" t="s">
        <v>16</v>
      </c>
      <c r="D22" s="4">
        <v>4.95</v>
      </c>
      <c r="E22" s="57" t="s">
        <v>17</v>
      </c>
      <c r="G22" s="5" t="s">
        <v>20</v>
      </c>
      <c r="H22" s="6" t="s">
        <v>50</v>
      </c>
      <c r="I22" s="8" t="s">
        <v>22</v>
      </c>
      <c r="J22" s="3">
        <v>5.26</v>
      </c>
      <c r="K22" s="3">
        <v>4.5</v>
      </c>
      <c r="L22" s="34" t="s">
        <v>44</v>
      </c>
      <c r="M22" s="7" t="s">
        <v>45</v>
      </c>
    </row>
    <row r="23" spans="1:13" x14ac:dyDescent="0.35">
      <c r="A23" s="54" t="s">
        <v>14</v>
      </c>
      <c r="B23" s="3" t="s">
        <v>51</v>
      </c>
      <c r="C23" s="3" t="s">
        <v>16</v>
      </c>
      <c r="D23" s="4">
        <v>5.69</v>
      </c>
      <c r="E23" s="57" t="s">
        <v>17</v>
      </c>
      <c r="G23" s="5" t="s">
        <v>20</v>
      </c>
      <c r="H23" s="11" t="s">
        <v>52</v>
      </c>
      <c r="I23" s="8" t="s">
        <v>29</v>
      </c>
      <c r="J23" s="3">
        <v>4.29</v>
      </c>
      <c r="K23" s="3">
        <v>2.4700000000000002</v>
      </c>
      <c r="L23" s="34" t="s">
        <v>44</v>
      </c>
      <c r="M23" s="7" t="s">
        <v>45</v>
      </c>
    </row>
    <row r="24" spans="1:13" x14ac:dyDescent="0.35">
      <c r="A24" s="54" t="s">
        <v>14</v>
      </c>
      <c r="B24" s="3" t="s">
        <v>54</v>
      </c>
      <c r="C24" s="3" t="s">
        <v>16</v>
      </c>
      <c r="D24" s="4">
        <v>4.66</v>
      </c>
      <c r="E24" s="57" t="s">
        <v>17</v>
      </c>
      <c r="G24" s="5" t="s">
        <v>20</v>
      </c>
      <c r="H24" s="6" t="s">
        <v>55</v>
      </c>
      <c r="I24" s="8" t="s">
        <v>56</v>
      </c>
      <c r="J24" s="3">
        <v>5.64</v>
      </c>
      <c r="K24" s="3">
        <v>3.73</v>
      </c>
      <c r="L24" s="34" t="s">
        <v>44</v>
      </c>
      <c r="M24" s="7" t="s">
        <v>45</v>
      </c>
    </row>
    <row r="25" spans="1:13" x14ac:dyDescent="0.35">
      <c r="A25" s="54" t="s">
        <v>14</v>
      </c>
      <c r="B25" s="3" t="s">
        <v>57</v>
      </c>
      <c r="C25" s="3" t="s">
        <v>16</v>
      </c>
      <c r="D25" s="4">
        <v>2.4700000000000002</v>
      </c>
      <c r="E25" s="57" t="s">
        <v>213</v>
      </c>
      <c r="G25" s="5" t="s">
        <v>20</v>
      </c>
      <c r="H25" s="6" t="s">
        <v>58</v>
      </c>
      <c r="I25" s="8" t="s">
        <v>59</v>
      </c>
      <c r="J25" s="12">
        <v>0</v>
      </c>
      <c r="K25" s="3">
        <v>5.05</v>
      </c>
      <c r="L25" s="34" t="s">
        <v>44</v>
      </c>
      <c r="M25" s="7" t="s">
        <v>45</v>
      </c>
    </row>
    <row r="26" spans="1:13" x14ac:dyDescent="0.35">
      <c r="A26" s="54" t="s">
        <v>14</v>
      </c>
      <c r="B26" s="3" t="s">
        <v>60</v>
      </c>
      <c r="C26" s="3" t="s">
        <v>16</v>
      </c>
      <c r="D26" s="4">
        <v>4.88</v>
      </c>
      <c r="E26" s="57" t="s">
        <v>17</v>
      </c>
      <c r="G26" s="5" t="s">
        <v>20</v>
      </c>
      <c r="H26" s="6" t="s">
        <v>61</v>
      </c>
      <c r="I26" s="8" t="s">
        <v>29</v>
      </c>
      <c r="J26" s="3">
        <v>3.76</v>
      </c>
      <c r="K26" s="3">
        <v>3.97</v>
      </c>
      <c r="L26" s="34" t="s">
        <v>44</v>
      </c>
      <c r="M26" s="7" t="s">
        <v>45</v>
      </c>
    </row>
    <row r="27" spans="1:13" x14ac:dyDescent="0.35">
      <c r="A27" s="54" t="s">
        <v>14</v>
      </c>
      <c r="B27" s="3" t="s">
        <v>62</v>
      </c>
      <c r="C27" s="3" t="s">
        <v>16</v>
      </c>
      <c r="D27" s="4">
        <v>7.55</v>
      </c>
      <c r="E27" s="57" t="s">
        <v>17</v>
      </c>
      <c r="G27" s="5" t="s">
        <v>20</v>
      </c>
      <c r="H27" s="6" t="s">
        <v>63</v>
      </c>
      <c r="I27" s="8" t="s">
        <v>29</v>
      </c>
      <c r="J27" s="3">
        <v>3.44</v>
      </c>
      <c r="K27" s="3">
        <v>4.41</v>
      </c>
      <c r="L27" s="34" t="s">
        <v>44</v>
      </c>
      <c r="M27" s="7" t="s">
        <v>45</v>
      </c>
    </row>
    <row r="28" spans="1:13" x14ac:dyDescent="0.35">
      <c r="A28" s="54" t="s">
        <v>14</v>
      </c>
      <c r="B28" s="3" t="s">
        <v>64</v>
      </c>
      <c r="C28" s="3" t="s">
        <v>16</v>
      </c>
      <c r="D28" s="4">
        <v>1.5</v>
      </c>
      <c r="E28" s="57" t="s">
        <v>213</v>
      </c>
      <c r="G28" s="5" t="s">
        <v>20</v>
      </c>
      <c r="H28" s="6" t="s">
        <v>65</v>
      </c>
      <c r="I28" s="8" t="s">
        <v>29</v>
      </c>
      <c r="J28" s="3">
        <v>3.94</v>
      </c>
      <c r="K28" s="3">
        <v>0</v>
      </c>
      <c r="L28" s="34" t="s">
        <v>44</v>
      </c>
      <c r="M28" s="7" t="s">
        <v>45</v>
      </c>
    </row>
    <row r="29" spans="1:13" x14ac:dyDescent="0.35">
      <c r="A29" s="54" t="s">
        <v>14</v>
      </c>
      <c r="B29" s="3" t="s">
        <v>66</v>
      </c>
      <c r="C29" s="3" t="s">
        <v>16</v>
      </c>
      <c r="D29" s="4">
        <v>4.9000000000000004</v>
      </c>
      <c r="E29" s="57" t="s">
        <v>17</v>
      </c>
      <c r="G29" s="5" t="s">
        <v>20</v>
      </c>
      <c r="H29" s="6" t="s">
        <v>67</v>
      </c>
      <c r="I29" s="8" t="s">
        <v>29</v>
      </c>
      <c r="J29" s="3">
        <v>3.76</v>
      </c>
      <c r="K29" s="3">
        <v>3.88</v>
      </c>
      <c r="L29" s="34" t="s">
        <v>44</v>
      </c>
      <c r="M29" s="7" t="s">
        <v>45</v>
      </c>
    </row>
    <row r="30" spans="1:13" x14ac:dyDescent="0.35">
      <c r="A30" s="54" t="s">
        <v>14</v>
      </c>
      <c r="B30" s="3" t="s">
        <v>68</v>
      </c>
      <c r="C30" s="3" t="s">
        <v>16</v>
      </c>
      <c r="D30" s="4">
        <v>4.59</v>
      </c>
      <c r="E30" s="57" t="s">
        <v>17</v>
      </c>
      <c r="G30" s="5" t="s">
        <v>20</v>
      </c>
      <c r="H30" s="6" t="s">
        <v>69</v>
      </c>
      <c r="I30" s="8" t="s">
        <v>29</v>
      </c>
      <c r="J30" s="3">
        <v>3.88</v>
      </c>
      <c r="K30" s="3">
        <v>0</v>
      </c>
      <c r="L30" s="34" t="s">
        <v>44</v>
      </c>
      <c r="M30" s="7" t="s">
        <v>45</v>
      </c>
    </row>
    <row r="31" spans="1:13" x14ac:dyDescent="0.35">
      <c r="A31" s="54" t="s">
        <v>14</v>
      </c>
      <c r="B31" s="3" t="s">
        <v>70</v>
      </c>
      <c r="C31" s="3" t="s">
        <v>16</v>
      </c>
      <c r="D31" s="4">
        <v>5.75</v>
      </c>
      <c r="E31" s="57" t="s">
        <v>17</v>
      </c>
      <c r="G31" s="5" t="s">
        <v>20</v>
      </c>
      <c r="H31" s="6" t="s">
        <v>71</v>
      </c>
      <c r="I31" s="8" t="s">
        <v>29</v>
      </c>
      <c r="J31" s="3">
        <v>3.79</v>
      </c>
      <c r="K31" s="3">
        <v>0</v>
      </c>
      <c r="L31" s="34" t="s">
        <v>44</v>
      </c>
      <c r="M31" s="7" t="s">
        <v>45</v>
      </c>
    </row>
    <row r="32" spans="1:13" x14ac:dyDescent="0.35">
      <c r="A32" s="54" t="s">
        <v>14</v>
      </c>
      <c r="B32" s="3" t="s">
        <v>72</v>
      </c>
      <c r="C32" s="3" t="s">
        <v>16</v>
      </c>
      <c r="D32" s="4">
        <v>3.32</v>
      </c>
      <c r="E32" s="57" t="s">
        <v>213</v>
      </c>
      <c r="G32" s="5" t="s">
        <v>20</v>
      </c>
      <c r="H32" s="6" t="s">
        <v>73</v>
      </c>
      <c r="I32" s="8" t="s">
        <v>74</v>
      </c>
      <c r="J32" s="3">
        <v>0</v>
      </c>
      <c r="K32" s="3">
        <v>0</v>
      </c>
      <c r="L32" s="34" t="s">
        <v>44</v>
      </c>
      <c r="M32" s="7" t="s">
        <v>45</v>
      </c>
    </row>
    <row r="33" spans="1:13" x14ac:dyDescent="0.35">
      <c r="A33" s="54" t="s">
        <v>14</v>
      </c>
      <c r="B33" s="3" t="s">
        <v>75</v>
      </c>
      <c r="C33" s="3" t="s">
        <v>16</v>
      </c>
      <c r="D33" s="4">
        <v>3.94</v>
      </c>
      <c r="E33" s="57" t="s">
        <v>213</v>
      </c>
      <c r="G33" s="5" t="s">
        <v>20</v>
      </c>
      <c r="H33" s="6" t="s">
        <v>76</v>
      </c>
      <c r="I33" s="8" t="s">
        <v>22</v>
      </c>
      <c r="J33" s="3">
        <v>3.7</v>
      </c>
      <c r="K33" s="10">
        <v>4.08</v>
      </c>
      <c r="L33" s="34" t="s">
        <v>44</v>
      </c>
      <c r="M33" s="7" t="s">
        <v>45</v>
      </c>
    </row>
    <row r="34" spans="1:13" x14ac:dyDescent="0.35">
      <c r="A34" s="54" t="s">
        <v>14</v>
      </c>
      <c r="B34" s="3" t="s">
        <v>77</v>
      </c>
      <c r="C34" s="3" t="s">
        <v>16</v>
      </c>
      <c r="D34" s="4">
        <v>2.64</v>
      </c>
      <c r="E34" s="57" t="s">
        <v>213</v>
      </c>
      <c r="G34" s="5" t="s">
        <v>20</v>
      </c>
      <c r="H34" s="6" t="s">
        <v>78</v>
      </c>
      <c r="I34" s="13" t="s">
        <v>22</v>
      </c>
      <c r="J34" s="3">
        <v>3.73</v>
      </c>
      <c r="K34" s="3">
        <v>0</v>
      </c>
      <c r="L34" s="34" t="s">
        <v>44</v>
      </c>
      <c r="M34" s="7" t="s">
        <v>45</v>
      </c>
    </row>
    <row r="35" spans="1:13" x14ac:dyDescent="0.35">
      <c r="A35" s="54" t="s">
        <v>14</v>
      </c>
      <c r="B35" s="3" t="s">
        <v>79</v>
      </c>
      <c r="C35" s="3" t="s">
        <v>16</v>
      </c>
      <c r="D35" s="4">
        <v>1.05</v>
      </c>
      <c r="E35" s="57" t="s">
        <v>213</v>
      </c>
      <c r="G35" s="44" t="s">
        <v>204</v>
      </c>
      <c r="H35" s="44"/>
      <c r="I35" s="44"/>
      <c r="J35" s="44"/>
      <c r="K35" s="44"/>
      <c r="L35" s="44"/>
      <c r="M35" s="44"/>
    </row>
    <row r="36" spans="1:13" x14ac:dyDescent="0.35">
      <c r="A36" s="54" t="s">
        <v>14</v>
      </c>
      <c r="B36" s="3" t="s">
        <v>80</v>
      </c>
      <c r="C36" s="3" t="s">
        <v>16</v>
      </c>
      <c r="D36" s="4">
        <v>1.1000000000000001</v>
      </c>
      <c r="E36" s="57" t="s">
        <v>213</v>
      </c>
      <c r="G36" s="17" t="s">
        <v>131</v>
      </c>
      <c r="H36" s="23" t="s">
        <v>132</v>
      </c>
      <c r="I36" s="19" t="s">
        <v>142</v>
      </c>
      <c r="J36" s="20">
        <v>9</v>
      </c>
      <c r="K36" s="20">
        <v>7.64</v>
      </c>
      <c r="L36" s="25">
        <v>7.94</v>
      </c>
      <c r="M36" s="27" t="s">
        <v>133</v>
      </c>
    </row>
    <row r="37" spans="1:13" x14ac:dyDescent="0.35">
      <c r="A37" s="54" t="s">
        <v>14</v>
      </c>
      <c r="B37" s="3" t="s">
        <v>81</v>
      </c>
      <c r="C37" s="3" t="s">
        <v>16</v>
      </c>
      <c r="D37" s="4">
        <v>1.3</v>
      </c>
      <c r="E37" s="57" t="s">
        <v>213</v>
      </c>
      <c r="G37" s="17" t="s">
        <v>131</v>
      </c>
      <c r="H37" s="18" t="s">
        <v>136</v>
      </c>
      <c r="I37" s="24" t="s">
        <v>143</v>
      </c>
      <c r="J37" s="20">
        <v>7.6</v>
      </c>
      <c r="K37" s="20">
        <v>6.25</v>
      </c>
      <c r="L37" s="25">
        <v>6.97</v>
      </c>
      <c r="M37" s="27" t="s">
        <v>133</v>
      </c>
    </row>
    <row r="38" spans="1:13" x14ac:dyDescent="0.35">
      <c r="A38" s="54" t="s">
        <v>14</v>
      </c>
      <c r="B38" s="3" t="s">
        <v>82</v>
      </c>
      <c r="C38" s="3" t="s">
        <v>16</v>
      </c>
      <c r="D38" s="4">
        <v>2.57</v>
      </c>
      <c r="E38" s="57" t="s">
        <v>213</v>
      </c>
      <c r="G38" s="17" t="s">
        <v>131</v>
      </c>
      <c r="H38" s="18" t="s">
        <v>137</v>
      </c>
      <c r="I38" s="24" t="s">
        <v>144</v>
      </c>
      <c r="J38" s="20">
        <v>4.4000000000000004</v>
      </c>
      <c r="K38" s="20">
        <v>4.47</v>
      </c>
      <c r="L38" s="25">
        <v>5.0599999999999996</v>
      </c>
      <c r="M38" s="27" t="s">
        <v>133</v>
      </c>
    </row>
    <row r="39" spans="1:13" x14ac:dyDescent="0.35">
      <c r="A39" s="54"/>
      <c r="B39" s="3"/>
      <c r="C39" s="3"/>
      <c r="D39" s="4"/>
      <c r="E39" s="57"/>
      <c r="G39" s="17" t="s">
        <v>131</v>
      </c>
      <c r="H39" s="18" t="s">
        <v>138</v>
      </c>
      <c r="I39" s="24" t="s">
        <v>145</v>
      </c>
      <c r="J39" s="20">
        <v>4.4000000000000004</v>
      </c>
      <c r="K39" s="20">
        <v>5.5</v>
      </c>
      <c r="L39" s="25">
        <v>4.13</v>
      </c>
      <c r="M39" s="26" t="s">
        <v>53</v>
      </c>
    </row>
    <row r="40" spans="1:13" x14ac:dyDescent="0.35">
      <c r="A40" s="55" t="s">
        <v>83</v>
      </c>
      <c r="B40" s="3" t="s">
        <v>84</v>
      </c>
      <c r="C40" s="3" t="s">
        <v>16</v>
      </c>
      <c r="D40" s="4">
        <v>7</v>
      </c>
      <c r="E40" s="57" t="s">
        <v>17</v>
      </c>
      <c r="G40" s="17" t="s">
        <v>131</v>
      </c>
      <c r="H40" s="18" t="s">
        <v>139</v>
      </c>
      <c r="I40" s="24" t="s">
        <v>146</v>
      </c>
      <c r="J40" s="20">
        <v>3.3</v>
      </c>
      <c r="K40" s="22">
        <v>2.2000000000000002</v>
      </c>
      <c r="L40" s="25">
        <v>2.8800000000000003</v>
      </c>
      <c r="M40" s="26" t="s">
        <v>53</v>
      </c>
    </row>
    <row r="41" spans="1:13" x14ac:dyDescent="0.35">
      <c r="A41" s="55" t="s">
        <v>83</v>
      </c>
      <c r="B41" s="3" t="s">
        <v>85</v>
      </c>
      <c r="C41" s="3" t="s">
        <v>16</v>
      </c>
      <c r="D41" s="4">
        <v>7.8</v>
      </c>
      <c r="E41" s="57" t="s">
        <v>17</v>
      </c>
      <c r="G41" s="17" t="s">
        <v>131</v>
      </c>
      <c r="H41" s="18" t="s">
        <v>140</v>
      </c>
      <c r="I41" s="24" t="s">
        <v>147</v>
      </c>
      <c r="J41" s="20">
        <v>3.06</v>
      </c>
      <c r="K41" s="20">
        <v>0</v>
      </c>
      <c r="L41" s="25">
        <v>1.02</v>
      </c>
      <c r="M41" s="26" t="s">
        <v>53</v>
      </c>
    </row>
    <row r="42" spans="1:13" x14ac:dyDescent="0.35">
      <c r="A42" s="55" t="s">
        <v>83</v>
      </c>
      <c r="B42" s="3" t="s">
        <v>86</v>
      </c>
      <c r="C42" s="3" t="s">
        <v>16</v>
      </c>
      <c r="D42" s="4">
        <v>7.4</v>
      </c>
      <c r="E42" s="57" t="s">
        <v>17</v>
      </c>
      <c r="G42" s="17" t="s">
        <v>131</v>
      </c>
      <c r="H42" s="18" t="s">
        <v>141</v>
      </c>
      <c r="I42" s="24" t="s">
        <v>148</v>
      </c>
      <c r="J42" s="20">
        <v>2.8</v>
      </c>
      <c r="K42" s="20">
        <v>2.52</v>
      </c>
      <c r="L42" s="25">
        <v>3.14</v>
      </c>
      <c r="M42" s="26" t="s">
        <v>53</v>
      </c>
    </row>
    <row r="43" spans="1:13" x14ac:dyDescent="0.35">
      <c r="A43" s="55" t="s">
        <v>83</v>
      </c>
      <c r="B43" s="3" t="s">
        <v>87</v>
      </c>
      <c r="C43" s="3" t="s">
        <v>16</v>
      </c>
      <c r="D43" s="4">
        <v>7.4</v>
      </c>
      <c r="E43" s="57" t="s">
        <v>17</v>
      </c>
      <c r="G43" s="44" t="s">
        <v>203</v>
      </c>
      <c r="H43" s="44"/>
      <c r="I43" s="44"/>
      <c r="J43" s="44"/>
      <c r="K43" s="44"/>
      <c r="L43" s="44"/>
      <c r="M43" s="44"/>
    </row>
    <row r="44" spans="1:13" x14ac:dyDescent="0.35">
      <c r="A44" s="55" t="s">
        <v>83</v>
      </c>
      <c r="B44" s="3" t="s">
        <v>88</v>
      </c>
      <c r="C44" s="3" t="s">
        <v>16</v>
      </c>
      <c r="D44" s="4">
        <v>6.9</v>
      </c>
      <c r="E44" s="57" t="s">
        <v>17</v>
      </c>
      <c r="G44" s="18" t="s">
        <v>134</v>
      </c>
      <c r="H44" s="18" t="s">
        <v>149</v>
      </c>
      <c r="I44" s="24" t="s">
        <v>165</v>
      </c>
      <c r="J44" s="20">
        <v>8.6300000000000008</v>
      </c>
      <c r="K44" s="20">
        <v>9.7200000000000006</v>
      </c>
      <c r="L44" s="35">
        <v>7.45</v>
      </c>
      <c r="M44" s="21" t="s">
        <v>133</v>
      </c>
    </row>
    <row r="45" spans="1:13" x14ac:dyDescent="0.35">
      <c r="A45" s="55" t="s">
        <v>83</v>
      </c>
      <c r="B45" s="3" t="s">
        <v>89</v>
      </c>
      <c r="C45" s="3" t="s">
        <v>16</v>
      </c>
      <c r="D45" s="4">
        <v>6.7</v>
      </c>
      <c r="E45" s="57" t="s">
        <v>17</v>
      </c>
      <c r="G45" s="18" t="s">
        <v>134</v>
      </c>
      <c r="H45" s="18" t="s">
        <v>150</v>
      </c>
      <c r="I45" s="24" t="s">
        <v>165</v>
      </c>
      <c r="J45" s="20">
        <v>3.36</v>
      </c>
      <c r="K45" s="20">
        <v>2.4500000000000002</v>
      </c>
      <c r="L45" s="35">
        <v>3.3000000000000003</v>
      </c>
      <c r="M45" s="26" t="s">
        <v>53</v>
      </c>
    </row>
    <row r="46" spans="1:13" x14ac:dyDescent="0.35">
      <c r="A46" s="55" t="s">
        <v>83</v>
      </c>
      <c r="B46" s="3" t="s">
        <v>90</v>
      </c>
      <c r="C46" s="3" t="s">
        <v>16</v>
      </c>
      <c r="D46" s="4">
        <v>6.5</v>
      </c>
      <c r="E46" s="57" t="s">
        <v>17</v>
      </c>
      <c r="G46" s="18" t="s">
        <v>134</v>
      </c>
      <c r="H46" s="18" t="s">
        <v>151</v>
      </c>
      <c r="I46" s="24" t="s">
        <v>165</v>
      </c>
      <c r="J46" s="20">
        <v>8.27</v>
      </c>
      <c r="K46" s="20">
        <v>5.72</v>
      </c>
      <c r="L46" s="35">
        <v>6.5699999999999994</v>
      </c>
      <c r="M46" s="27" t="s">
        <v>133</v>
      </c>
    </row>
    <row r="47" spans="1:13" x14ac:dyDescent="0.35">
      <c r="A47" s="55" t="s">
        <v>83</v>
      </c>
      <c r="B47" s="3" t="s">
        <v>91</v>
      </c>
      <c r="C47" s="3" t="s">
        <v>16</v>
      </c>
      <c r="D47" s="4">
        <v>5.6</v>
      </c>
      <c r="E47" s="57" t="s">
        <v>17</v>
      </c>
      <c r="G47" s="18" t="s">
        <v>134</v>
      </c>
      <c r="H47" s="18" t="s">
        <v>152</v>
      </c>
      <c r="I47" s="24" t="s">
        <v>165</v>
      </c>
      <c r="J47" s="20">
        <v>8.83</v>
      </c>
      <c r="K47" s="20">
        <v>9.81</v>
      </c>
      <c r="L47" s="35">
        <v>7.09</v>
      </c>
      <c r="M47" s="27" t="s">
        <v>133</v>
      </c>
    </row>
    <row r="48" spans="1:13" x14ac:dyDescent="0.35">
      <c r="A48" s="55" t="s">
        <v>83</v>
      </c>
      <c r="B48" s="3" t="s">
        <v>92</v>
      </c>
      <c r="C48" s="3" t="s">
        <v>16</v>
      </c>
      <c r="D48" s="4">
        <v>5.09</v>
      </c>
      <c r="E48" s="57" t="s">
        <v>17</v>
      </c>
      <c r="G48" s="18" t="s">
        <v>134</v>
      </c>
      <c r="H48" s="18" t="s">
        <v>153</v>
      </c>
      <c r="I48" s="24" t="s">
        <v>165</v>
      </c>
      <c r="J48" s="20">
        <v>0</v>
      </c>
      <c r="K48" s="20">
        <v>3.54</v>
      </c>
      <c r="L48" s="35">
        <v>2.81</v>
      </c>
      <c r="M48" s="26" t="s">
        <v>53</v>
      </c>
    </row>
    <row r="49" spans="1:13" x14ac:dyDescent="0.35">
      <c r="A49" s="55" t="s">
        <v>83</v>
      </c>
      <c r="B49" s="3" t="s">
        <v>93</v>
      </c>
      <c r="C49" s="3" t="s">
        <v>16</v>
      </c>
      <c r="D49" s="4">
        <v>5.07</v>
      </c>
      <c r="E49" s="57" t="s">
        <v>17</v>
      </c>
      <c r="G49" s="18" t="s">
        <v>134</v>
      </c>
      <c r="H49" s="18" t="s">
        <v>154</v>
      </c>
      <c r="I49" s="24" t="s">
        <v>165</v>
      </c>
      <c r="J49" s="20">
        <v>4.63</v>
      </c>
      <c r="K49" s="20">
        <v>3</v>
      </c>
      <c r="L49" s="35">
        <v>4.45</v>
      </c>
      <c r="M49" s="26" t="s">
        <v>53</v>
      </c>
    </row>
    <row r="50" spans="1:13" x14ac:dyDescent="0.35">
      <c r="A50" s="55" t="s">
        <v>83</v>
      </c>
      <c r="B50" s="3" t="s">
        <v>94</v>
      </c>
      <c r="C50" s="3" t="s">
        <v>16</v>
      </c>
      <c r="D50" s="4">
        <v>5</v>
      </c>
      <c r="E50" s="57" t="s">
        <v>17</v>
      </c>
      <c r="G50" s="18" t="s">
        <v>134</v>
      </c>
      <c r="H50" s="18" t="s">
        <v>155</v>
      </c>
      <c r="I50" s="24" t="s">
        <v>165</v>
      </c>
      <c r="J50" s="20">
        <v>0</v>
      </c>
      <c r="K50" s="20">
        <v>3.54</v>
      </c>
      <c r="L50" s="35">
        <v>2.96</v>
      </c>
      <c r="M50" s="26" t="s">
        <v>53</v>
      </c>
    </row>
    <row r="51" spans="1:13" x14ac:dyDescent="0.35">
      <c r="A51" s="55" t="s">
        <v>83</v>
      </c>
      <c r="B51" s="3" t="s">
        <v>95</v>
      </c>
      <c r="C51" s="3" t="s">
        <v>16</v>
      </c>
      <c r="D51" s="4">
        <v>5</v>
      </c>
      <c r="E51" s="57" t="s">
        <v>17</v>
      </c>
      <c r="G51" s="18" t="s">
        <v>134</v>
      </c>
      <c r="H51" s="18" t="s">
        <v>156</v>
      </c>
      <c r="I51" s="24" t="s">
        <v>165</v>
      </c>
      <c r="J51" s="20">
        <v>9.27</v>
      </c>
      <c r="K51" s="20">
        <v>9.4499999999999993</v>
      </c>
      <c r="L51" s="35">
        <v>4.03</v>
      </c>
      <c r="M51" s="26" t="s">
        <v>53</v>
      </c>
    </row>
    <row r="52" spans="1:13" x14ac:dyDescent="0.35">
      <c r="A52" s="55" t="s">
        <v>83</v>
      </c>
      <c r="B52" s="3" t="s">
        <v>96</v>
      </c>
      <c r="C52" s="3" t="s">
        <v>16</v>
      </c>
      <c r="D52" s="4">
        <v>3.5</v>
      </c>
      <c r="E52" s="57" t="s">
        <v>214</v>
      </c>
      <c r="G52" s="18" t="s">
        <v>134</v>
      </c>
      <c r="H52" s="18" t="s">
        <v>157</v>
      </c>
      <c r="I52" s="24" t="s">
        <v>165</v>
      </c>
      <c r="J52" s="20">
        <v>8.81</v>
      </c>
      <c r="K52" s="20">
        <v>9.81</v>
      </c>
      <c r="L52" s="35">
        <v>3.75</v>
      </c>
      <c r="M52" s="26" t="s">
        <v>53</v>
      </c>
    </row>
    <row r="53" spans="1:13" x14ac:dyDescent="0.35">
      <c r="A53" s="55" t="s">
        <v>83</v>
      </c>
      <c r="B53" s="3" t="s">
        <v>97</v>
      </c>
      <c r="C53" s="3" t="s">
        <v>16</v>
      </c>
      <c r="D53" s="4">
        <v>1.97</v>
      </c>
      <c r="E53" s="57" t="s">
        <v>98</v>
      </c>
      <c r="G53" s="18" t="s">
        <v>134</v>
      </c>
      <c r="H53" s="18" t="s">
        <v>158</v>
      </c>
      <c r="I53" s="24" t="s">
        <v>165</v>
      </c>
      <c r="J53" s="20">
        <v>0</v>
      </c>
      <c r="K53" s="20">
        <v>0</v>
      </c>
      <c r="L53" s="35">
        <v>0</v>
      </c>
      <c r="M53" s="26" t="s">
        <v>53</v>
      </c>
    </row>
    <row r="54" spans="1:13" x14ac:dyDescent="0.35">
      <c r="A54" s="55" t="s">
        <v>83</v>
      </c>
      <c r="B54" s="3" t="s">
        <v>99</v>
      </c>
      <c r="C54" s="3" t="s">
        <v>16</v>
      </c>
      <c r="D54" s="4">
        <v>1.8</v>
      </c>
      <c r="E54" s="57" t="s">
        <v>98</v>
      </c>
      <c r="G54" s="18" t="s">
        <v>134</v>
      </c>
      <c r="H54" s="18" t="s">
        <v>159</v>
      </c>
      <c r="I54" s="24" t="s">
        <v>165</v>
      </c>
      <c r="J54" s="20">
        <v>6.81</v>
      </c>
      <c r="K54" s="20">
        <v>3.27</v>
      </c>
      <c r="L54" s="35">
        <v>3.36</v>
      </c>
      <c r="M54" s="26" t="s">
        <v>53</v>
      </c>
    </row>
    <row r="55" spans="1:13" x14ac:dyDescent="0.35">
      <c r="A55" s="55" t="s">
        <v>83</v>
      </c>
      <c r="B55" s="3" t="s">
        <v>100</v>
      </c>
      <c r="C55" s="3" t="s">
        <v>16</v>
      </c>
      <c r="D55" s="4">
        <v>1.5</v>
      </c>
      <c r="E55" s="57" t="s">
        <v>101</v>
      </c>
      <c r="G55" s="18" t="s">
        <v>134</v>
      </c>
      <c r="H55" s="18" t="s">
        <v>160</v>
      </c>
      <c r="I55" s="24" t="s">
        <v>166</v>
      </c>
      <c r="J55" s="20">
        <v>0</v>
      </c>
      <c r="K55" s="20">
        <v>3.45</v>
      </c>
      <c r="L55" s="35">
        <v>2.5099999999999998</v>
      </c>
      <c r="M55" s="28" t="s">
        <v>201</v>
      </c>
    </row>
    <row r="56" spans="1:13" x14ac:dyDescent="0.35">
      <c r="A56" s="55" t="s">
        <v>83</v>
      </c>
      <c r="B56" s="3" t="s">
        <v>102</v>
      </c>
      <c r="C56" s="3" t="s">
        <v>16</v>
      </c>
      <c r="D56" s="3">
        <v>1</v>
      </c>
      <c r="E56" s="57" t="s">
        <v>101</v>
      </c>
      <c r="G56" s="18" t="s">
        <v>134</v>
      </c>
      <c r="H56" s="18" t="s">
        <v>161</v>
      </c>
      <c r="I56" s="24" t="s">
        <v>166</v>
      </c>
      <c r="J56" s="20">
        <v>0</v>
      </c>
      <c r="K56" s="20">
        <v>6.72</v>
      </c>
      <c r="L56" s="35">
        <v>4.03</v>
      </c>
      <c r="M56" s="64" t="s">
        <v>53</v>
      </c>
    </row>
    <row r="57" spans="1:13" x14ac:dyDescent="0.35">
      <c r="A57" s="55" t="s">
        <v>83</v>
      </c>
      <c r="B57" s="3" t="s">
        <v>103</v>
      </c>
      <c r="C57" s="3" t="s">
        <v>16</v>
      </c>
      <c r="D57" s="3">
        <v>0</v>
      </c>
      <c r="E57" s="57" t="s">
        <v>104</v>
      </c>
      <c r="G57" s="18" t="s">
        <v>134</v>
      </c>
      <c r="H57" s="18" t="s">
        <v>162</v>
      </c>
      <c r="I57" s="24" t="s">
        <v>166</v>
      </c>
      <c r="J57" s="20">
        <v>0</v>
      </c>
      <c r="K57" s="20">
        <v>6.9</v>
      </c>
      <c r="L57" s="35">
        <v>4.0599999999999996</v>
      </c>
      <c r="M57" s="64" t="s">
        <v>53</v>
      </c>
    </row>
    <row r="58" spans="1:13" x14ac:dyDescent="0.35">
      <c r="A58" s="56"/>
      <c r="B58" s="3"/>
      <c r="C58" s="3"/>
      <c r="D58" s="3"/>
      <c r="E58" s="57"/>
      <c r="G58" s="18" t="s">
        <v>134</v>
      </c>
      <c r="H58" s="18" t="s">
        <v>163</v>
      </c>
      <c r="I58" s="24" t="s">
        <v>166</v>
      </c>
      <c r="J58" s="20">
        <v>0</v>
      </c>
      <c r="K58" s="20">
        <v>0</v>
      </c>
      <c r="L58" s="35">
        <v>0</v>
      </c>
      <c r="M58" s="28" t="s">
        <v>201</v>
      </c>
    </row>
    <row r="59" spans="1:13" x14ac:dyDescent="0.35">
      <c r="A59" s="56" t="s">
        <v>105</v>
      </c>
      <c r="B59" s="3" t="s">
        <v>106</v>
      </c>
      <c r="C59" s="3" t="s">
        <v>16</v>
      </c>
      <c r="D59" s="3">
        <v>7.5</v>
      </c>
      <c r="E59" s="57" t="s">
        <v>17</v>
      </c>
      <c r="G59" s="18" t="s">
        <v>134</v>
      </c>
      <c r="H59" s="18" t="s">
        <v>164</v>
      </c>
      <c r="I59" s="24" t="s">
        <v>166</v>
      </c>
      <c r="J59" s="20">
        <v>8.18</v>
      </c>
      <c r="K59" s="20">
        <v>0</v>
      </c>
      <c r="L59" s="35">
        <v>2.73</v>
      </c>
      <c r="M59" s="28" t="s">
        <v>201</v>
      </c>
    </row>
    <row r="60" spans="1:13" x14ac:dyDescent="0.35">
      <c r="A60" s="56" t="s">
        <v>105</v>
      </c>
      <c r="B60" s="3" t="s">
        <v>107</v>
      </c>
      <c r="C60" s="3" t="s">
        <v>16</v>
      </c>
      <c r="D60" s="3">
        <v>7.18</v>
      </c>
      <c r="E60" s="57" t="s">
        <v>17</v>
      </c>
      <c r="G60" s="45" t="s">
        <v>202</v>
      </c>
      <c r="H60" s="46"/>
      <c r="I60" s="46"/>
      <c r="J60" s="46"/>
      <c r="K60" s="46"/>
      <c r="L60" s="46"/>
      <c r="M60" s="47"/>
    </row>
    <row r="61" spans="1:13" x14ac:dyDescent="0.35">
      <c r="A61" s="56" t="s">
        <v>105</v>
      </c>
      <c r="B61" s="3" t="s">
        <v>108</v>
      </c>
      <c r="C61" s="3" t="s">
        <v>16</v>
      </c>
      <c r="D61" s="3">
        <v>7.75</v>
      </c>
      <c r="E61" s="57" t="s">
        <v>17</v>
      </c>
      <c r="G61" s="18" t="s">
        <v>135</v>
      </c>
      <c r="H61" s="18" t="s">
        <v>167</v>
      </c>
      <c r="I61" s="24" t="s">
        <v>190</v>
      </c>
      <c r="J61" s="20">
        <v>3.94</v>
      </c>
      <c r="K61" s="20">
        <v>3.61</v>
      </c>
      <c r="L61" s="35">
        <v>3.93</v>
      </c>
      <c r="M61" s="26" t="s">
        <v>53</v>
      </c>
    </row>
    <row r="62" spans="1:13" x14ac:dyDescent="0.35">
      <c r="A62" s="56" t="s">
        <v>105</v>
      </c>
      <c r="B62" s="3" t="s">
        <v>109</v>
      </c>
      <c r="C62" s="3" t="s">
        <v>16</v>
      </c>
      <c r="D62" s="3">
        <v>4.75</v>
      </c>
      <c r="E62" s="57" t="s">
        <v>17</v>
      </c>
      <c r="G62" s="18" t="s">
        <v>135</v>
      </c>
      <c r="H62" s="18" t="s">
        <v>168</v>
      </c>
      <c r="I62" s="24" t="s">
        <v>191</v>
      </c>
      <c r="J62" s="20">
        <v>6.41</v>
      </c>
      <c r="K62" s="20">
        <v>5.91</v>
      </c>
      <c r="L62" s="35">
        <v>6.43</v>
      </c>
      <c r="M62" s="27" t="s">
        <v>133</v>
      </c>
    </row>
    <row r="63" spans="1:13" x14ac:dyDescent="0.35">
      <c r="A63" s="56" t="s">
        <v>105</v>
      </c>
      <c r="B63" s="3" t="s">
        <v>110</v>
      </c>
      <c r="C63" s="3" t="s">
        <v>16</v>
      </c>
      <c r="D63" s="3">
        <v>6.55</v>
      </c>
      <c r="E63" s="57" t="s">
        <v>17</v>
      </c>
      <c r="G63" s="18" t="s">
        <v>135</v>
      </c>
      <c r="H63" s="18" t="s">
        <v>169</v>
      </c>
      <c r="I63" s="24" t="s">
        <v>190</v>
      </c>
      <c r="J63" s="20">
        <v>2.29</v>
      </c>
      <c r="K63" s="20">
        <v>2.91</v>
      </c>
      <c r="L63" s="35">
        <v>3.06</v>
      </c>
      <c r="M63" s="26" t="s">
        <v>53</v>
      </c>
    </row>
    <row r="64" spans="1:13" x14ac:dyDescent="0.35">
      <c r="A64" s="56" t="s">
        <v>105</v>
      </c>
      <c r="B64" s="3" t="s">
        <v>111</v>
      </c>
      <c r="C64" s="3" t="s">
        <v>16</v>
      </c>
      <c r="D64" s="3">
        <v>5.5</v>
      </c>
      <c r="E64" s="57" t="s">
        <v>17</v>
      </c>
      <c r="G64" s="18" t="s">
        <v>135</v>
      </c>
      <c r="H64" s="18" t="s">
        <v>170</v>
      </c>
      <c r="I64" s="24" t="s">
        <v>190</v>
      </c>
      <c r="J64" s="20">
        <v>2.76</v>
      </c>
      <c r="K64" s="20">
        <v>2.11</v>
      </c>
      <c r="L64" s="35">
        <v>2.4099999999999997</v>
      </c>
      <c r="M64" s="26" t="s">
        <v>53</v>
      </c>
    </row>
    <row r="65" spans="1:13" x14ac:dyDescent="0.35">
      <c r="A65" s="56" t="s">
        <v>105</v>
      </c>
      <c r="B65" s="3" t="s">
        <v>112</v>
      </c>
      <c r="C65" s="3" t="s">
        <v>16</v>
      </c>
      <c r="D65" s="3">
        <v>6.33</v>
      </c>
      <c r="E65" s="57" t="s">
        <v>17</v>
      </c>
      <c r="G65" s="18" t="s">
        <v>135</v>
      </c>
      <c r="H65" s="18" t="s">
        <v>171</v>
      </c>
      <c r="I65" s="24" t="s">
        <v>190</v>
      </c>
      <c r="J65" s="20">
        <v>2.64</v>
      </c>
      <c r="K65" s="20">
        <v>2.38</v>
      </c>
      <c r="L65" s="35">
        <v>2.5499999999999998</v>
      </c>
      <c r="M65" s="26" t="s">
        <v>53</v>
      </c>
    </row>
    <row r="66" spans="1:13" x14ac:dyDescent="0.35">
      <c r="A66" s="56" t="s">
        <v>105</v>
      </c>
      <c r="B66" s="3" t="s">
        <v>113</v>
      </c>
      <c r="C66" s="3" t="s">
        <v>16</v>
      </c>
      <c r="D66" s="3">
        <v>5.58</v>
      </c>
      <c r="E66" s="57" t="s">
        <v>17</v>
      </c>
      <c r="G66" s="18" t="s">
        <v>135</v>
      </c>
      <c r="H66" s="18" t="s">
        <v>172</v>
      </c>
      <c r="I66" s="24" t="s">
        <v>200</v>
      </c>
      <c r="J66" s="20">
        <v>1.82</v>
      </c>
      <c r="K66" s="20">
        <v>1.88</v>
      </c>
      <c r="L66" s="35">
        <v>2</v>
      </c>
      <c r="M66" s="26" t="s">
        <v>53</v>
      </c>
    </row>
    <row r="67" spans="1:13" x14ac:dyDescent="0.35">
      <c r="A67" s="56" t="s">
        <v>105</v>
      </c>
      <c r="B67" s="3" t="s">
        <v>114</v>
      </c>
      <c r="C67" s="3" t="s">
        <v>16</v>
      </c>
      <c r="D67" s="3">
        <v>5.25</v>
      </c>
      <c r="E67" s="57" t="s">
        <v>17</v>
      </c>
      <c r="G67" s="18" t="s">
        <v>135</v>
      </c>
      <c r="H67" s="18" t="s">
        <v>173</v>
      </c>
      <c r="I67" s="24" t="s">
        <v>190</v>
      </c>
      <c r="J67" s="20">
        <v>3.17</v>
      </c>
      <c r="K67" s="20">
        <v>2.38</v>
      </c>
      <c r="L67" s="35">
        <v>2.97</v>
      </c>
      <c r="M67" s="26" t="s">
        <v>53</v>
      </c>
    </row>
    <row r="68" spans="1:13" x14ac:dyDescent="0.35">
      <c r="A68" s="56" t="s">
        <v>105</v>
      </c>
      <c r="B68" s="3" t="s">
        <v>115</v>
      </c>
      <c r="C68" s="3" t="s">
        <v>16</v>
      </c>
      <c r="D68" s="3">
        <v>6.91</v>
      </c>
      <c r="E68" s="57" t="s">
        <v>17</v>
      </c>
      <c r="G68" s="18" t="s">
        <v>135</v>
      </c>
      <c r="H68" s="18" t="s">
        <v>174</v>
      </c>
      <c r="I68" s="24" t="s">
        <v>190</v>
      </c>
      <c r="J68" s="20">
        <v>5.1100000000000003</v>
      </c>
      <c r="K68" s="20">
        <v>5.7</v>
      </c>
      <c r="L68" s="35">
        <v>3.61</v>
      </c>
      <c r="M68" s="26" t="s">
        <v>53</v>
      </c>
    </row>
    <row r="69" spans="1:13" x14ac:dyDescent="0.35">
      <c r="A69" s="56" t="s">
        <v>105</v>
      </c>
      <c r="B69" s="3" t="s">
        <v>116</v>
      </c>
      <c r="C69" s="3" t="s">
        <v>16</v>
      </c>
      <c r="D69" s="3">
        <v>4.66</v>
      </c>
      <c r="E69" s="57" t="s">
        <v>17</v>
      </c>
      <c r="G69" s="18" t="s">
        <v>135</v>
      </c>
      <c r="H69" s="18" t="s">
        <v>175</v>
      </c>
      <c r="I69" s="24" t="s">
        <v>194</v>
      </c>
      <c r="J69" s="20">
        <v>9.0500000000000007</v>
      </c>
      <c r="K69" s="20">
        <v>8</v>
      </c>
      <c r="L69" s="35">
        <v>8.5399999999999991</v>
      </c>
      <c r="M69" s="27" t="s">
        <v>133</v>
      </c>
    </row>
    <row r="70" spans="1:13" x14ac:dyDescent="0.35">
      <c r="A70" s="56" t="s">
        <v>105</v>
      </c>
      <c r="B70" s="3" t="s">
        <v>117</v>
      </c>
      <c r="C70" s="3" t="s">
        <v>16</v>
      </c>
      <c r="D70" s="3">
        <v>4.66</v>
      </c>
      <c r="E70" s="57" t="s">
        <v>17</v>
      </c>
      <c r="G70" s="18" t="s">
        <v>135</v>
      </c>
      <c r="H70" s="18" t="s">
        <v>176</v>
      </c>
      <c r="I70" s="24" t="s">
        <v>190</v>
      </c>
      <c r="J70" s="20">
        <v>4.29</v>
      </c>
      <c r="K70" s="20">
        <v>4.08</v>
      </c>
      <c r="L70" s="35">
        <v>4.6800000000000006</v>
      </c>
      <c r="M70" s="26" t="s">
        <v>53</v>
      </c>
    </row>
    <row r="71" spans="1:13" x14ac:dyDescent="0.35">
      <c r="A71" s="56" t="s">
        <v>105</v>
      </c>
      <c r="B71" s="3" t="s">
        <v>118</v>
      </c>
      <c r="C71" s="3" t="s">
        <v>16</v>
      </c>
      <c r="D71" s="3">
        <v>3.75</v>
      </c>
      <c r="E71" s="57" t="s">
        <v>53</v>
      </c>
      <c r="G71" s="18" t="s">
        <v>135</v>
      </c>
      <c r="H71" s="18" t="s">
        <v>177</v>
      </c>
      <c r="I71" s="24" t="s">
        <v>199</v>
      </c>
      <c r="J71" s="20">
        <v>2.83</v>
      </c>
      <c r="K71" s="20">
        <v>2.44</v>
      </c>
      <c r="L71" s="35">
        <v>2.92</v>
      </c>
      <c r="M71" s="26" t="s">
        <v>53</v>
      </c>
    </row>
    <row r="72" spans="1:13" x14ac:dyDescent="0.35">
      <c r="A72" s="56" t="s">
        <v>105</v>
      </c>
      <c r="B72" s="3" t="s">
        <v>119</v>
      </c>
      <c r="C72" s="3" t="s">
        <v>16</v>
      </c>
      <c r="D72" s="3">
        <v>3.5</v>
      </c>
      <c r="E72" s="57" t="s">
        <v>53</v>
      </c>
      <c r="G72" s="18" t="s">
        <v>135</v>
      </c>
      <c r="H72" s="18" t="s">
        <v>178</v>
      </c>
      <c r="I72" s="24" t="s">
        <v>198</v>
      </c>
      <c r="J72" s="20">
        <v>2.94</v>
      </c>
      <c r="K72" s="20">
        <v>4.76</v>
      </c>
      <c r="L72" s="35">
        <v>3.55</v>
      </c>
      <c r="M72" s="26" t="s">
        <v>53</v>
      </c>
    </row>
    <row r="73" spans="1:13" x14ac:dyDescent="0.35">
      <c r="A73" s="56" t="s">
        <v>105</v>
      </c>
      <c r="B73" s="3" t="s">
        <v>120</v>
      </c>
      <c r="C73" s="3" t="s">
        <v>16</v>
      </c>
      <c r="D73" s="3">
        <v>3.43</v>
      </c>
      <c r="E73" s="57" t="s">
        <v>53</v>
      </c>
      <c r="G73" s="18" t="s">
        <v>135</v>
      </c>
      <c r="H73" s="18" t="s">
        <v>179</v>
      </c>
      <c r="I73" s="24" t="s">
        <v>190</v>
      </c>
      <c r="J73" s="20">
        <v>2.52</v>
      </c>
      <c r="K73" s="20">
        <v>2.14</v>
      </c>
      <c r="L73" s="35">
        <v>2.65</v>
      </c>
      <c r="M73" s="26" t="s">
        <v>53</v>
      </c>
    </row>
    <row r="74" spans="1:13" x14ac:dyDescent="0.35">
      <c r="A74" s="56" t="s">
        <v>105</v>
      </c>
      <c r="B74" s="3" t="s">
        <v>121</v>
      </c>
      <c r="C74" s="3" t="s">
        <v>16</v>
      </c>
      <c r="D74" s="3">
        <v>2.75</v>
      </c>
      <c r="E74" s="57" t="s">
        <v>53</v>
      </c>
      <c r="G74" s="18" t="s">
        <v>135</v>
      </c>
      <c r="H74" s="18" t="s">
        <v>180</v>
      </c>
      <c r="I74" s="24" t="s">
        <v>197</v>
      </c>
      <c r="J74" s="20">
        <v>2.23</v>
      </c>
      <c r="K74" s="20">
        <v>1.67</v>
      </c>
      <c r="L74" s="35">
        <v>1.97</v>
      </c>
      <c r="M74" s="26" t="s">
        <v>53</v>
      </c>
    </row>
    <row r="75" spans="1:13" x14ac:dyDescent="0.35">
      <c r="A75" s="56"/>
      <c r="B75" s="3"/>
      <c r="C75" s="3"/>
      <c r="D75" s="3"/>
      <c r="E75" s="57"/>
      <c r="G75" s="18" t="s">
        <v>135</v>
      </c>
      <c r="H75" s="18" t="s">
        <v>181</v>
      </c>
      <c r="I75" s="24" t="s">
        <v>196</v>
      </c>
      <c r="J75" s="20">
        <v>2.7</v>
      </c>
      <c r="K75" s="20">
        <v>2.91</v>
      </c>
      <c r="L75" s="35">
        <v>3.14</v>
      </c>
      <c r="M75" s="26" t="s">
        <v>53</v>
      </c>
    </row>
    <row r="76" spans="1:13" x14ac:dyDescent="0.35">
      <c r="A76" s="56" t="s">
        <v>122</v>
      </c>
      <c r="B76" s="3" t="s">
        <v>123</v>
      </c>
      <c r="C76" s="3" t="s">
        <v>16</v>
      </c>
      <c r="D76" s="3">
        <v>3.7</v>
      </c>
      <c r="E76" s="57" t="s">
        <v>53</v>
      </c>
      <c r="G76" s="18" t="s">
        <v>135</v>
      </c>
      <c r="H76" s="18" t="s">
        <v>182</v>
      </c>
      <c r="I76" s="24" t="s">
        <v>195</v>
      </c>
      <c r="J76" s="20">
        <v>3.94</v>
      </c>
      <c r="K76" s="20">
        <v>3.2</v>
      </c>
      <c r="L76" s="35">
        <v>3.82</v>
      </c>
      <c r="M76" s="26" t="s">
        <v>53</v>
      </c>
    </row>
    <row r="77" spans="1:13" x14ac:dyDescent="0.35">
      <c r="A77" s="56" t="s">
        <v>122</v>
      </c>
      <c r="B77" s="3" t="s">
        <v>124</v>
      </c>
      <c r="C77" s="3" t="s">
        <v>16</v>
      </c>
      <c r="D77" s="3">
        <v>6.4</v>
      </c>
      <c r="E77" s="57" t="s">
        <v>17</v>
      </c>
      <c r="G77" s="18" t="s">
        <v>135</v>
      </c>
      <c r="H77" s="18" t="s">
        <v>183</v>
      </c>
      <c r="I77" s="24" t="s">
        <v>190</v>
      </c>
      <c r="J77" s="20">
        <v>2.82</v>
      </c>
      <c r="K77" s="20">
        <v>2.29</v>
      </c>
      <c r="L77" s="35">
        <v>2.2899999999999996</v>
      </c>
      <c r="M77" s="26" t="s">
        <v>53</v>
      </c>
    </row>
    <row r="78" spans="1:13" x14ac:dyDescent="0.35">
      <c r="A78" s="56" t="s">
        <v>122</v>
      </c>
      <c r="B78" s="3" t="s">
        <v>125</v>
      </c>
      <c r="C78" s="3" t="s">
        <v>16</v>
      </c>
      <c r="D78" s="3">
        <v>4.9800000000000004</v>
      </c>
      <c r="E78" s="57" t="s">
        <v>17</v>
      </c>
      <c r="G78" s="18" t="s">
        <v>135</v>
      </c>
      <c r="H78" s="18" t="s">
        <v>184</v>
      </c>
      <c r="I78" s="24" t="s">
        <v>190</v>
      </c>
      <c r="J78" s="20">
        <v>2.41</v>
      </c>
      <c r="K78" s="20">
        <v>2.73</v>
      </c>
      <c r="L78" s="35">
        <v>2.5099999999999998</v>
      </c>
      <c r="M78" s="28" t="s">
        <v>201</v>
      </c>
    </row>
    <row r="79" spans="1:13" x14ac:dyDescent="0.35">
      <c r="A79" s="56" t="s">
        <v>122</v>
      </c>
      <c r="B79" s="3" t="s">
        <v>126</v>
      </c>
      <c r="C79" s="3" t="s">
        <v>16</v>
      </c>
      <c r="D79" s="3">
        <v>3.99</v>
      </c>
      <c r="E79" s="57" t="s">
        <v>53</v>
      </c>
      <c r="G79" s="18" t="s">
        <v>135</v>
      </c>
      <c r="H79" s="18" t="s">
        <v>185</v>
      </c>
      <c r="I79" s="24" t="s">
        <v>194</v>
      </c>
      <c r="J79" s="20">
        <v>5</v>
      </c>
      <c r="K79" s="20">
        <v>4.17</v>
      </c>
      <c r="L79" s="35">
        <v>4.1399999999999997</v>
      </c>
      <c r="M79" s="66" t="s">
        <v>53</v>
      </c>
    </row>
    <row r="80" spans="1:13" x14ac:dyDescent="0.35">
      <c r="A80" s="56" t="s">
        <v>122</v>
      </c>
      <c r="B80" s="3" t="s">
        <v>127</v>
      </c>
      <c r="C80" s="3" t="s">
        <v>16</v>
      </c>
      <c r="D80" s="3">
        <v>3.53</v>
      </c>
      <c r="E80" s="57" t="s">
        <v>53</v>
      </c>
      <c r="G80" s="18" t="s">
        <v>135</v>
      </c>
      <c r="H80" s="18" t="s">
        <v>186</v>
      </c>
      <c r="I80" s="24" t="s">
        <v>190</v>
      </c>
      <c r="J80" s="20">
        <v>3.88</v>
      </c>
      <c r="K80" s="20">
        <v>4.82</v>
      </c>
      <c r="L80" s="35">
        <v>4.46</v>
      </c>
      <c r="M80" s="28" t="s">
        <v>201</v>
      </c>
    </row>
    <row r="81" spans="1:13" x14ac:dyDescent="0.35">
      <c r="A81" s="56" t="s">
        <v>122</v>
      </c>
      <c r="B81" s="3" t="s">
        <v>128</v>
      </c>
      <c r="C81" s="3" t="s">
        <v>16</v>
      </c>
      <c r="D81" s="3">
        <v>3</v>
      </c>
      <c r="E81" s="57" t="s">
        <v>53</v>
      </c>
      <c r="G81" s="18" t="s">
        <v>135</v>
      </c>
      <c r="H81" s="18" t="s">
        <v>187</v>
      </c>
      <c r="I81" s="24" t="s">
        <v>193</v>
      </c>
      <c r="J81" s="20">
        <v>3.35</v>
      </c>
      <c r="K81" s="20">
        <v>2.79</v>
      </c>
      <c r="L81" s="35">
        <v>3.25</v>
      </c>
      <c r="M81" s="28" t="s">
        <v>201</v>
      </c>
    </row>
    <row r="82" spans="1:13" x14ac:dyDescent="0.35">
      <c r="A82" s="56" t="s">
        <v>122</v>
      </c>
      <c r="B82" s="3" t="s">
        <v>129</v>
      </c>
      <c r="C82" s="3" t="s">
        <v>16</v>
      </c>
      <c r="D82" s="3">
        <v>3.22</v>
      </c>
      <c r="E82" s="57" t="s">
        <v>53</v>
      </c>
      <c r="G82" s="18" t="s">
        <v>135</v>
      </c>
      <c r="H82" s="18" t="s">
        <v>188</v>
      </c>
      <c r="I82" s="24" t="s">
        <v>192</v>
      </c>
      <c r="J82" s="20">
        <v>4.2300000000000004</v>
      </c>
      <c r="K82" s="20">
        <v>3.61</v>
      </c>
      <c r="L82" s="35">
        <v>3.86</v>
      </c>
      <c r="M82" s="28" t="s">
        <v>201</v>
      </c>
    </row>
    <row r="83" spans="1:13" x14ac:dyDescent="0.35">
      <c r="A83" s="61" t="s">
        <v>122</v>
      </c>
      <c r="B83" s="62" t="s">
        <v>130</v>
      </c>
      <c r="C83" s="62" t="s">
        <v>16</v>
      </c>
      <c r="D83" s="62">
        <v>6.77</v>
      </c>
      <c r="E83" s="63" t="s">
        <v>17</v>
      </c>
      <c r="G83" s="50" t="s">
        <v>135</v>
      </c>
      <c r="H83" s="50" t="s">
        <v>189</v>
      </c>
      <c r="I83" s="51" t="s">
        <v>190</v>
      </c>
      <c r="J83" s="52">
        <v>6.94</v>
      </c>
      <c r="K83" s="52">
        <v>6.11</v>
      </c>
      <c r="L83" s="53">
        <v>3.63</v>
      </c>
      <c r="M83" s="65" t="s">
        <v>53</v>
      </c>
    </row>
  </sheetData>
  <mergeCells count="6">
    <mergeCell ref="H6:I6"/>
    <mergeCell ref="A5:A7"/>
    <mergeCell ref="B5:B7"/>
    <mergeCell ref="C5:C7"/>
    <mergeCell ref="E5:E7"/>
    <mergeCell ref="D6:D7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CM1</vt:lpstr>
      <vt:lpstr>CM2</vt:lpstr>
      <vt:lpstr>CM1 &amp; CM2 Metrics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H-TECH</dc:creator>
  <cp:lastModifiedBy>Meghan Gauthier</cp:lastModifiedBy>
  <dcterms:created xsi:type="dcterms:W3CDTF">2024-09-29T07:23:48Z</dcterms:created>
  <dcterms:modified xsi:type="dcterms:W3CDTF">2024-11-05T20:39:13Z</dcterms:modified>
</cp:coreProperties>
</file>