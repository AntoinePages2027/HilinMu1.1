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7a5568e1ef3ca4c6/Documents/OASIS assignment/Hilin Mu/Cohort 7/"/>
    </mc:Choice>
  </mc:AlternateContent>
  <xr:revisionPtr revIDLastSave="0" documentId="8_{C078BC9D-DB7D-4AFB-B4C0-7A97325081D7}" xr6:coauthVersionLast="47" xr6:coauthVersionMax="47" xr10:uidLastSave="{00000000-0000-0000-0000-000000000000}"/>
  <bookViews>
    <workbookView xWindow="-21885" yWindow="3165" windowWidth="21600" windowHeight="11055" xr2:uid="{00000000-000D-0000-FFFF-FFFF00000000}"/>
  </bookViews>
  <sheets>
    <sheet name="CM1" sheetId="3" r:id="rId1"/>
    <sheet name="CM2" sheetId="2" r:id="rId2"/>
    <sheet name="CM1 &amp; CM2 Metric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4" l="1"/>
  <c r="H25" i="4"/>
  <c r="G25" i="4"/>
  <c r="F25" i="4"/>
  <c r="E25" i="4"/>
  <c r="D25" i="4"/>
  <c r="C25" i="4"/>
  <c r="B25" i="4"/>
  <c r="G24" i="4"/>
  <c r="D24" i="4"/>
  <c r="H24" i="4" s="1"/>
  <c r="G23" i="4"/>
  <c r="D23" i="4"/>
  <c r="H23" i="4" s="1"/>
  <c r="G22" i="4"/>
  <c r="D22" i="4"/>
  <c r="H22" i="4" s="1"/>
  <c r="G21" i="4"/>
  <c r="D21" i="4"/>
  <c r="H21" i="4" s="1"/>
  <c r="G20" i="4"/>
  <c r="D20" i="4"/>
  <c r="H20" i="4" s="1"/>
  <c r="G19" i="4"/>
  <c r="D19" i="4"/>
  <c r="H19" i="4" s="1"/>
  <c r="G18" i="4"/>
  <c r="D18" i="4"/>
  <c r="H18" i="4" s="1"/>
  <c r="G17" i="4"/>
  <c r="D17" i="4"/>
  <c r="H17" i="4" s="1"/>
  <c r="G16" i="4"/>
  <c r="D16" i="4"/>
  <c r="H16" i="4" s="1"/>
  <c r="E12" i="4"/>
  <c r="C12" i="4"/>
  <c r="B12" i="4"/>
  <c r="G12" i="4" s="1"/>
  <c r="G8" i="4"/>
  <c r="D4" i="4"/>
  <c r="F4" i="4" s="1"/>
  <c r="I4" i="4" s="1"/>
  <c r="D5" i="4"/>
  <c r="H5" i="4" s="1"/>
  <c r="D6" i="4"/>
  <c r="H6" i="4" s="1"/>
  <c r="D7" i="4"/>
  <c r="F7" i="4" s="1"/>
  <c r="I7" i="4" s="1"/>
  <c r="D8" i="4"/>
  <c r="H8" i="4" s="1"/>
  <c r="D9" i="4"/>
  <c r="H9" i="4" s="1"/>
  <c r="D10" i="4"/>
  <c r="H10" i="4" s="1"/>
  <c r="D11" i="4"/>
  <c r="F11" i="4" s="1"/>
  <c r="I11" i="4" s="1"/>
  <c r="H11" i="4"/>
  <c r="G11" i="4"/>
  <c r="G10" i="4"/>
  <c r="E237" i="3"/>
  <c r="E308" i="3"/>
  <c r="E272" i="3"/>
  <c r="H4" i="4"/>
  <c r="G4" i="4"/>
  <c r="A224" i="3"/>
  <c r="E224" i="3"/>
  <c r="G9" i="4"/>
  <c r="E195" i="3"/>
  <c r="G7" i="4"/>
  <c r="A141" i="3"/>
  <c r="E141" i="3"/>
  <c r="G5" i="4"/>
  <c r="A99" i="3"/>
  <c r="E99" i="3"/>
  <c r="G6" i="4"/>
  <c r="A46" i="3"/>
  <c r="E46" i="3"/>
  <c r="D12" i="4" l="1"/>
  <c r="H12" i="4" s="1"/>
  <c r="F17" i="4"/>
  <c r="I17" i="4" s="1"/>
  <c r="F19" i="4"/>
  <c r="I19" i="4" s="1"/>
  <c r="F21" i="4"/>
  <c r="I21" i="4" s="1"/>
  <c r="F23" i="4"/>
  <c r="I23" i="4" s="1"/>
  <c r="F24" i="4"/>
  <c r="I24" i="4" s="1"/>
  <c r="F16" i="4"/>
  <c r="I16" i="4" s="1"/>
  <c r="F18" i="4"/>
  <c r="I18" i="4" s="1"/>
  <c r="F20" i="4"/>
  <c r="I20" i="4" s="1"/>
  <c r="F22" i="4"/>
  <c r="I22" i="4" s="1"/>
  <c r="F8" i="4"/>
  <c r="I8" i="4" s="1"/>
  <c r="F10" i="4"/>
  <c r="I10" i="4" s="1"/>
  <c r="H7" i="4"/>
  <c r="F9" i="4"/>
  <c r="I9" i="4" s="1"/>
  <c r="F5" i="4"/>
  <c r="F6" i="4"/>
  <c r="I6" i="4" s="1"/>
  <c r="I5" i="4" l="1"/>
  <c r="F12" i="4"/>
  <c r="I12" i="4" s="1"/>
  <c r="A25" i="2" l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40" i="2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7" i="2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8" i="2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60" i="2" s="1"/>
  <c r="A261" i="2" s="1"/>
  <c r="A262" i="2" s="1"/>
  <c r="A263" i="2" s="1"/>
  <c r="A264" i="2" s="1"/>
  <c r="A265" i="2" s="1"/>
  <c r="A270" i="2" l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66" i="2"/>
  <c r="A267" i="2" s="1"/>
  <c r="A268" i="2" s="1"/>
  <c r="A11" i="2" l="1"/>
  <c r="A12" i="2" l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83" i="2"/>
</calcChain>
</file>

<file path=xl/sharedStrings.xml><?xml version="1.0" encoding="utf-8"?>
<sst xmlns="http://schemas.openxmlformats.org/spreadsheetml/2006/main" count="1777" uniqueCount="695">
  <si>
    <t>Fraternité-Travail-Progrès</t>
  </si>
  <si>
    <t>REGION DE MARADI</t>
  </si>
  <si>
    <t>DREN DE MARADI</t>
  </si>
  <si>
    <t>IREPP DE MARADI</t>
  </si>
  <si>
    <t>N°</t>
  </si>
  <si>
    <t>Garin Magé</t>
  </si>
  <si>
    <t>Sarkin Aski</t>
  </si>
  <si>
    <t>Yan Zango</t>
  </si>
  <si>
    <t>REPUBLIQUE DU NIGER</t>
  </si>
  <si>
    <t>IEPP DE MARADI</t>
  </si>
  <si>
    <t xml:space="preserve">                           </t>
  </si>
  <si>
    <t>Ecoles</t>
  </si>
  <si>
    <t>Noms et Prenoms</t>
  </si>
  <si>
    <t>Lieu d'orientation</t>
  </si>
  <si>
    <t>Garin Daouré I</t>
  </si>
  <si>
    <t>CEG II Tibri</t>
  </si>
  <si>
    <t>Imbelbelou III</t>
  </si>
  <si>
    <t>Maza Tsayé I</t>
  </si>
  <si>
    <t>Mariam Souleymane</t>
  </si>
  <si>
    <t xml:space="preserve"> RESULTATS DES ELEVES FILLES DES ECOLE CONTROLES  DE L'ANNEE 2023-2024</t>
  </si>
  <si>
    <t>Rachida Idi</t>
  </si>
  <si>
    <t>Zeinabou Samaila</t>
  </si>
  <si>
    <t>Firdaoussi Chaibou</t>
  </si>
  <si>
    <t>Safiya Sani</t>
  </si>
  <si>
    <t>Chikeira Ousseini</t>
  </si>
  <si>
    <t>Aicha Rabiou</t>
  </si>
  <si>
    <t>Nousseiba Moutari</t>
  </si>
  <si>
    <t>Chamsiya Saidou</t>
  </si>
  <si>
    <t>Naima Kassimou</t>
  </si>
  <si>
    <t>Bassira Sanoussi</t>
  </si>
  <si>
    <t>Kadidja Hadi</t>
  </si>
  <si>
    <t>Halissa Balla</t>
  </si>
  <si>
    <t>Lawissa saâdou</t>
  </si>
  <si>
    <t>Rachida Amadou</t>
  </si>
  <si>
    <t>Halissa Abdoulaye</t>
  </si>
  <si>
    <t>Haouaou Abdou</t>
  </si>
  <si>
    <t>Moufida Adamou</t>
  </si>
  <si>
    <t>Sakina Yahaya</t>
  </si>
  <si>
    <t>Massaouda Moudi</t>
  </si>
  <si>
    <t>Nana Nasseiba Bahari</t>
  </si>
  <si>
    <t>Nassiba Laminou</t>
  </si>
  <si>
    <t>Aichatou Nouhou</t>
  </si>
  <si>
    <t>Zaliha Yahaya</t>
  </si>
  <si>
    <t>Zeinab Idrissa</t>
  </si>
  <si>
    <t>Nana firdaoussi Daouda</t>
  </si>
  <si>
    <t>Aichatou Ibrahim</t>
  </si>
  <si>
    <t>Fatouma Zara Halarou</t>
  </si>
  <si>
    <t>Hadjara Issaka</t>
  </si>
  <si>
    <t>Kadidja Issa</t>
  </si>
  <si>
    <t>Aliya Maâzou</t>
  </si>
  <si>
    <t>Fatima Hassan</t>
  </si>
  <si>
    <t>Mouhoussina Inoussa</t>
  </si>
  <si>
    <t>Halissa Harouna</t>
  </si>
  <si>
    <t>Roukaya Abdoul Moumouni</t>
  </si>
  <si>
    <t>Nadiya Bassirou</t>
  </si>
  <si>
    <t>Habsatou Hamissou</t>
  </si>
  <si>
    <t>Roukaya Adamou</t>
  </si>
  <si>
    <t>Habsat Assoumane</t>
  </si>
  <si>
    <t>Rabila Chaibou</t>
  </si>
  <si>
    <t>Marfoua Chaibou</t>
  </si>
  <si>
    <t>Zeinab Ayouba</t>
  </si>
  <si>
    <t>Roumanatou Souleymane</t>
  </si>
  <si>
    <t xml:space="preserve">Nana Farida Rabiou </t>
  </si>
  <si>
    <t>Habsatou Chaibou</t>
  </si>
  <si>
    <t>Mariam Seydou</t>
  </si>
  <si>
    <t>Mariama Maman</t>
  </si>
  <si>
    <t>Rahinatou Mahaman Awal</t>
  </si>
  <si>
    <t>Roufaida Abdou Razak</t>
  </si>
  <si>
    <t>Nadiya Sabiou</t>
  </si>
  <si>
    <t>Nana Kadija Issa</t>
  </si>
  <si>
    <t>Souraya Chaibou</t>
  </si>
  <si>
    <t>Mariama Issoufou</t>
  </si>
  <si>
    <t>Nazipa Ousmane</t>
  </si>
  <si>
    <t>Hassaou Adamou</t>
  </si>
  <si>
    <t>Saâdatou Iro Ali</t>
  </si>
  <si>
    <t>Chapaâtou Maâzou</t>
  </si>
  <si>
    <t>Nana Siyama Abdoulaye</t>
  </si>
  <si>
    <t>Mouhoussina Sani</t>
  </si>
  <si>
    <t>Mariam Adamou</t>
  </si>
  <si>
    <t>Najaâtou Sani</t>
  </si>
  <si>
    <t>Aida Maman Moustapha</t>
  </si>
  <si>
    <t>Roufaida Yahaya</t>
  </si>
  <si>
    <t>Ousseina Tassiou</t>
  </si>
  <si>
    <t>Kadidja Zakari Yaou</t>
  </si>
  <si>
    <t>Aicha Saâdou</t>
  </si>
  <si>
    <t>Manira Sani</t>
  </si>
  <si>
    <t>Firdaoussi Harouna</t>
  </si>
  <si>
    <t>Samira Bachir</t>
  </si>
  <si>
    <t>Hadiza Saidou</t>
  </si>
  <si>
    <t>Ramatou Oumarou</t>
  </si>
  <si>
    <t>Saadiya Rabiou</t>
  </si>
  <si>
    <t>Fati Ayouba</t>
  </si>
  <si>
    <t>Aminatou Sani</t>
  </si>
  <si>
    <t>Zeinab Ibrahim Adamou</t>
  </si>
  <si>
    <t>Ouma Salma Samaila</t>
  </si>
  <si>
    <t>Hassana Oumarou</t>
  </si>
  <si>
    <t>Ouma Kair Tahirou</t>
  </si>
  <si>
    <t>Mariam Hassan Allassan</t>
  </si>
  <si>
    <t>Fatima Zara Aboubacar</t>
  </si>
  <si>
    <t>Nana Fatchima Abdoul Malik</t>
  </si>
  <si>
    <t>Mounira Maman Tadjo</t>
  </si>
  <si>
    <t>Nana Farida Adamou</t>
  </si>
  <si>
    <t>Mariam Salissou</t>
  </si>
  <si>
    <t>Ousseina Sani Chaibou</t>
  </si>
  <si>
    <t>Zilkifilou Chitou</t>
  </si>
  <si>
    <t>Nana Faiza Amadou Nayou</t>
  </si>
  <si>
    <t>Fati Chaibou</t>
  </si>
  <si>
    <t>Saoudat Moussa</t>
  </si>
  <si>
    <t>Fatima Laouali</t>
  </si>
  <si>
    <t>Nana Aminatou Agada</t>
  </si>
  <si>
    <t>Aminatou Salissou Abdou</t>
  </si>
  <si>
    <t>Kadidja Saâdou</t>
  </si>
  <si>
    <t>Maimouna Soumaila</t>
  </si>
  <si>
    <t>Charifa Amadou</t>
  </si>
  <si>
    <t>Ramatou Souley</t>
  </si>
  <si>
    <t>Chapaâtou Laouali</t>
  </si>
  <si>
    <t>Zeinab Abdoul Karim</t>
  </si>
  <si>
    <t>Nana Firdaoussi Ibrahim</t>
  </si>
  <si>
    <t>Sahiba Ali Saley</t>
  </si>
  <si>
    <t>Kadija Rabiou</t>
  </si>
  <si>
    <t>Farissa Hassan</t>
  </si>
  <si>
    <t>Hapiza Adamou</t>
  </si>
  <si>
    <t>Firdaoussi Salissou</t>
  </si>
  <si>
    <t>Kadija Nafiou</t>
  </si>
  <si>
    <t>Saâdatou Idi</t>
  </si>
  <si>
    <t>Zeinab Abdourahamane</t>
  </si>
  <si>
    <t>Charifa Inoussa</t>
  </si>
  <si>
    <t>Soumaya Abdoul Hadi</t>
  </si>
  <si>
    <t>Haoua Laouali</t>
  </si>
  <si>
    <t>Zakiya Saminou</t>
  </si>
  <si>
    <t>Firdaoussi Abdou Razak</t>
  </si>
  <si>
    <t>Oumaima Oumarou</t>
  </si>
  <si>
    <t>Kadija Hamissou</t>
  </si>
  <si>
    <t>Mahibatou Salissou</t>
  </si>
  <si>
    <t>Ramlatou Saidou</t>
  </si>
  <si>
    <t>Nana Firdaoussi Sani</t>
  </si>
  <si>
    <t>Zeinab Saidou</t>
  </si>
  <si>
    <t>Zeinab Rabé</t>
  </si>
  <si>
    <t>Zeinab Mahamadou</t>
  </si>
  <si>
    <t>Nana Aicha Laouali</t>
  </si>
  <si>
    <t>Balkissa Laouali</t>
  </si>
  <si>
    <t>Mariam Maman</t>
  </si>
  <si>
    <t>Kadija Abdourahamane</t>
  </si>
  <si>
    <t>Massaouda Nouhou</t>
  </si>
  <si>
    <t>Oumalkair Salissou</t>
  </si>
  <si>
    <t>Safaraou Amadou</t>
  </si>
  <si>
    <t>Raya Halirou</t>
  </si>
  <si>
    <t>Moyenne Annuelle</t>
  </si>
  <si>
    <t>Moyenne CFEPD</t>
  </si>
  <si>
    <t>Raya Gambo</t>
  </si>
  <si>
    <t>Kadidja Souley</t>
  </si>
  <si>
    <t>Amira Rabiou</t>
  </si>
  <si>
    <t>Haouaou Ibrahim</t>
  </si>
  <si>
    <t>Chaawa Gambo</t>
  </si>
  <si>
    <t>Nisseiba Illia</t>
  </si>
  <si>
    <t xml:space="preserve">Safiya Mamane </t>
  </si>
  <si>
    <t>Chamsiya Salissou</t>
  </si>
  <si>
    <t>Halissa Alassan</t>
  </si>
  <si>
    <t>Mariama Ousmane</t>
  </si>
  <si>
    <t>Aziza Salissou</t>
  </si>
  <si>
    <t>Zeinab Harouna</t>
  </si>
  <si>
    <t>Soumaya Salissou</t>
  </si>
  <si>
    <t>Habsatou Salissou</t>
  </si>
  <si>
    <t>Zeinab Laouali</t>
  </si>
  <si>
    <t>Aichatou Salissou</t>
  </si>
  <si>
    <t>Kadidja Abdoul Aziz</t>
  </si>
  <si>
    <t>Ramatou Kabirou</t>
  </si>
  <si>
    <t>Zaharadine Djafar</t>
  </si>
  <si>
    <t>Christine Habou</t>
  </si>
  <si>
    <t>Bibata Idrissa</t>
  </si>
  <si>
    <t>Mabarouka Ibrahim</t>
  </si>
  <si>
    <t>Ramatou Abdoullahi</t>
  </si>
  <si>
    <t>Kadija Yahaya</t>
  </si>
  <si>
    <t>Zeinab Samaila</t>
  </si>
  <si>
    <t>Chamsiya Ibrahim</t>
  </si>
  <si>
    <t>Zeinab Ousmane</t>
  </si>
  <si>
    <t>Farissa Noura</t>
  </si>
  <si>
    <t>Harira Amadou</t>
  </si>
  <si>
    <t>Rabi Abdou</t>
  </si>
  <si>
    <t>Ouma Djamila Ousmane</t>
  </si>
  <si>
    <t>Fatouma Zara Ali</t>
  </si>
  <si>
    <t>Nana Naima Habibou</t>
  </si>
  <si>
    <t>Zeinab Yawalé</t>
  </si>
  <si>
    <t xml:space="preserve">Aicha Maman </t>
  </si>
  <si>
    <t>Mahibatou Maman Siradji</t>
  </si>
  <si>
    <t>Mouhoussina Ousmane</t>
  </si>
  <si>
    <t>Yousra Mahamadou</t>
  </si>
  <si>
    <t>Charifa Ibrahim</t>
  </si>
  <si>
    <t>Rachida Maman</t>
  </si>
  <si>
    <t>Habsat Baraou</t>
  </si>
  <si>
    <t>Nana Aicha Inoussa</t>
  </si>
  <si>
    <t>Nana mariama Moussa</t>
  </si>
  <si>
    <t>Nousseiba zabeirou</t>
  </si>
  <si>
    <t>Ramatou Siradji</t>
  </si>
  <si>
    <t>Saâdatou Salissou</t>
  </si>
  <si>
    <t>Yasmina Abdou Raouf</t>
  </si>
  <si>
    <t>Zeinab Ibbo</t>
  </si>
  <si>
    <t>Marwa Salissou</t>
  </si>
  <si>
    <t>Nafissa Illa</t>
  </si>
  <si>
    <t>Aichatou Moussa</t>
  </si>
  <si>
    <t>Hadiza Issa</t>
  </si>
  <si>
    <t>Haouaou Sani</t>
  </si>
  <si>
    <t>Mariama Adamou</t>
  </si>
  <si>
    <t>Faiza Laouali</t>
  </si>
  <si>
    <t>Chamsiya Souley</t>
  </si>
  <si>
    <t>Ouma Djamila Adamou</t>
  </si>
  <si>
    <t>Soumaya Inoussa</t>
  </si>
  <si>
    <t>Mariama Sani</t>
  </si>
  <si>
    <t>Nana Oumeissa Salissou</t>
  </si>
  <si>
    <t>Badaria Yaou</t>
  </si>
  <si>
    <t>Kadija Yacouba</t>
  </si>
  <si>
    <t>Mourjanatou Samaila</t>
  </si>
  <si>
    <t>Chappa Aminou</t>
  </si>
  <si>
    <t>Kamaliya Chitou</t>
  </si>
  <si>
    <t>Hannatou Sani</t>
  </si>
  <si>
    <t>Lantana Saidou</t>
  </si>
  <si>
    <t>Yasmina Laouali</t>
  </si>
  <si>
    <t>Saadatou Saidou</t>
  </si>
  <si>
    <t>Anissa Ibrahim</t>
  </si>
  <si>
    <t>Fatouma Illia</t>
  </si>
  <si>
    <t>Izzatou Roufai</t>
  </si>
  <si>
    <t>Marfoua Bachari</t>
  </si>
  <si>
    <t>Nana Chawouda Loura</t>
  </si>
  <si>
    <t>Rakiya Chaaibou</t>
  </si>
  <si>
    <t>Hadjara Ayouba</t>
  </si>
  <si>
    <t>Choukouria Noura</t>
  </si>
  <si>
    <t>Nana Na'ima Idrissa</t>
  </si>
  <si>
    <t>Yassira Sabiou</t>
  </si>
  <si>
    <t>Fadila Sani</t>
  </si>
  <si>
    <t>Souraya Issoufou</t>
  </si>
  <si>
    <t>Fatima Chaibou</t>
  </si>
  <si>
    <t>Aicha Malan Bassirou</t>
  </si>
  <si>
    <t>Chamsiya Inoussa</t>
  </si>
  <si>
    <t>Hannatou Abou</t>
  </si>
  <si>
    <t>Haouaou Moussa</t>
  </si>
  <si>
    <t>Aichatou Ousmane</t>
  </si>
  <si>
    <t>Yasmina Ousmane</t>
  </si>
  <si>
    <t>Charifa Tassiou</t>
  </si>
  <si>
    <t>Zeinab Ibrahim</t>
  </si>
  <si>
    <t>Amira Abdoul Hadi</t>
  </si>
  <si>
    <t>Mansoura Kadri</t>
  </si>
  <si>
    <t>Amira Ousmane</t>
  </si>
  <si>
    <t>Aicha Mahamadou</t>
  </si>
  <si>
    <t>Hassana Aboubacar</t>
  </si>
  <si>
    <t>Hassana Tsayabou</t>
  </si>
  <si>
    <t>Kara kara I</t>
  </si>
  <si>
    <t>Kara kara II</t>
  </si>
  <si>
    <t>Nana Moulaissatou Moussa</t>
  </si>
  <si>
    <t>Hassia Miko</t>
  </si>
  <si>
    <t>Fatouma  Aboubacar</t>
  </si>
  <si>
    <t>Zeinab Chaibou</t>
  </si>
  <si>
    <t>Habsatou Laouali</t>
  </si>
  <si>
    <t>Mouhoussina Salissou</t>
  </si>
  <si>
    <t>Zouleyhatou Souley</t>
  </si>
  <si>
    <t>Habiba Kabirou</t>
  </si>
  <si>
    <t>Haouaou Hamani</t>
  </si>
  <si>
    <t>Hanifa Idi</t>
  </si>
  <si>
    <t>Aicha Amadou</t>
  </si>
  <si>
    <t>Hadiza Ali</t>
  </si>
  <si>
    <t>Haouaou Moussa Amadou</t>
  </si>
  <si>
    <t>Hassana Sani</t>
  </si>
  <si>
    <t>Housseina Aboubacar</t>
  </si>
  <si>
    <t>Mouhoussinatou Souley</t>
  </si>
  <si>
    <t>Nadia Maman</t>
  </si>
  <si>
    <t>Nana Firdaoussi Harouna</t>
  </si>
  <si>
    <t>Nana Zeinab Kabirou</t>
  </si>
  <si>
    <t>Ousseina Tsayabou</t>
  </si>
  <si>
    <t>Kara kara III</t>
  </si>
  <si>
    <t>Nisseiba Rabé</t>
  </si>
  <si>
    <t>Nana Saâdiya Issoufou</t>
  </si>
  <si>
    <t>Nana Aicha Idi</t>
  </si>
  <si>
    <t>Djamila Salifou</t>
  </si>
  <si>
    <t>Nana Hadiza EL Moussa</t>
  </si>
  <si>
    <t>Salamatou Yahouza</t>
  </si>
  <si>
    <t>Nana Aicha Ousmane</t>
  </si>
  <si>
    <t>Nana Nazira Yahaya</t>
  </si>
  <si>
    <t>Mouhoussina Souley</t>
  </si>
  <si>
    <t>Nana Malika Sani</t>
  </si>
  <si>
    <t>Chamsia Laouali</t>
  </si>
  <si>
    <t>Halima Moussa</t>
  </si>
  <si>
    <t>Fatchima Kabirou</t>
  </si>
  <si>
    <t>Amira Sadissou</t>
  </si>
  <si>
    <t>Djamila Aboubacar</t>
  </si>
  <si>
    <t>Ainaou Rabé</t>
  </si>
  <si>
    <t>Fatchima Salissou</t>
  </si>
  <si>
    <t>Firdaoussi Issa</t>
  </si>
  <si>
    <t>Kadija Idi</t>
  </si>
  <si>
    <t>Yasmina Moustpha</t>
  </si>
  <si>
    <t>Hassira Ibrahim</t>
  </si>
  <si>
    <t>Nana Roukaya Aboubacar Sadik</t>
  </si>
  <si>
    <t>Amina Souleymane</t>
  </si>
  <si>
    <t>Kadidja Adamou</t>
  </si>
  <si>
    <t>Abadon</t>
  </si>
  <si>
    <t>Rédouble</t>
  </si>
  <si>
    <t>CEG</t>
  </si>
  <si>
    <t>CFM</t>
  </si>
  <si>
    <t>CET</t>
  </si>
  <si>
    <t>Rebublique du Nger</t>
  </si>
  <si>
    <t>Region de Maradi</t>
  </si>
  <si>
    <t>Inspection de Tibiri</t>
  </si>
  <si>
    <t>Les écoles controles niveau CM1 de la commune de Tibiri</t>
  </si>
  <si>
    <t>N</t>
  </si>
  <si>
    <t>Dates et lieu de naissance</t>
  </si>
  <si>
    <t>Observation</t>
  </si>
  <si>
    <t>Passe</t>
  </si>
  <si>
    <t>M.G</t>
  </si>
  <si>
    <t>Kadidja Sadissou</t>
  </si>
  <si>
    <t>01/12/2011 à Maradi</t>
  </si>
  <si>
    <t>Aminatou Laouali</t>
  </si>
  <si>
    <t>31/12/12 à Kara Kara</t>
  </si>
  <si>
    <t>Choukouria Djamilou</t>
  </si>
  <si>
    <t xml:space="preserve"> Amira Souley</t>
  </si>
  <si>
    <t>01/01/11 à Maradi</t>
  </si>
  <si>
    <t>Habsat Ali</t>
  </si>
  <si>
    <t>07/01/12 à Kara Kara</t>
  </si>
  <si>
    <t>Ecole Kara Kara 2</t>
  </si>
  <si>
    <t>Fatima Mahamadou</t>
  </si>
  <si>
    <t>Roufeida Seydou</t>
  </si>
  <si>
    <t>Zeinab Moussa</t>
  </si>
  <si>
    <t>Ihsane Moudi</t>
  </si>
  <si>
    <t>Vers 2010 à Kara Kara</t>
  </si>
  <si>
    <t>Farida Illa</t>
  </si>
  <si>
    <t>Fati Abdou</t>
  </si>
  <si>
    <t xml:space="preserve">Mariama Samaila </t>
  </si>
  <si>
    <t>30/01/13 à Maradi</t>
  </si>
  <si>
    <t xml:space="preserve">Kadidja Adamou </t>
  </si>
  <si>
    <t>Hassana Mourtala</t>
  </si>
  <si>
    <t>Vers 2011 à Kara Kara</t>
  </si>
  <si>
    <t>Oumma Salma Illiyassou</t>
  </si>
  <si>
    <t>Firdaoussi Ousseini</t>
  </si>
  <si>
    <t>31/12/11 à Kara Kara</t>
  </si>
  <si>
    <t>Mariama Salissou</t>
  </si>
  <si>
    <t>31/12/12 à Maradi</t>
  </si>
  <si>
    <t>Youssoura Hamissou</t>
  </si>
  <si>
    <t>Imane Abdou Bachir</t>
  </si>
  <si>
    <t xml:space="preserve"> Djamila Abdou</t>
  </si>
  <si>
    <t>Oumma Djamila Ammani</t>
  </si>
  <si>
    <t>Zeinab Yahouza</t>
  </si>
  <si>
    <t>Nana Firdaoussi Abdou</t>
  </si>
  <si>
    <t>17/10/12 à Maradi</t>
  </si>
  <si>
    <t>Elève cedée</t>
  </si>
  <si>
    <t>Samira Idi</t>
  </si>
  <si>
    <t>Aminatou Illa</t>
  </si>
  <si>
    <t>Aminatou Idi</t>
  </si>
  <si>
    <t>Nissaiba Sani</t>
  </si>
  <si>
    <t>01/01/2012 à Maradi</t>
  </si>
  <si>
    <t>Zeinabou Saadou</t>
  </si>
  <si>
    <t>Salamatou Abdou</t>
  </si>
  <si>
    <t>04/06/13 à Maradi</t>
  </si>
  <si>
    <t>Halimatou Abdou</t>
  </si>
  <si>
    <t>Kadija Issoufou</t>
  </si>
  <si>
    <t>Halima Nafiou</t>
  </si>
  <si>
    <t>Ramlatou Mourtala</t>
  </si>
  <si>
    <t>06/07/2009 à kara kara</t>
  </si>
  <si>
    <t>Ousseina Mourtala</t>
  </si>
  <si>
    <t>Oumma Maman</t>
  </si>
  <si>
    <t>Nana Chahouda Ado</t>
  </si>
  <si>
    <t>11/07/11 à Maradi</t>
  </si>
  <si>
    <t>Nana Latifa Harouna</t>
  </si>
  <si>
    <t>28/06/12 à Maijirgui</t>
  </si>
  <si>
    <t>Kaoussar Sani</t>
  </si>
  <si>
    <t>Fatouma Oumarou</t>
  </si>
  <si>
    <t>Ecole Kara Kara 1</t>
  </si>
  <si>
    <t>Hadjara Ali</t>
  </si>
  <si>
    <t>Fatima Zara laouali</t>
  </si>
  <si>
    <t>29/11/11 à Maradi</t>
  </si>
  <si>
    <t>Oumma Djamila Tanimoune</t>
  </si>
  <si>
    <t>Roufeida Hamissou</t>
  </si>
  <si>
    <t>Maniratou Saminou</t>
  </si>
  <si>
    <t>Nana fatchima Saidou</t>
  </si>
  <si>
    <t>Youssoura Mahamadou</t>
  </si>
  <si>
    <t>Nassaiba Mahaman Rabiou</t>
  </si>
  <si>
    <t>Fatouma Zakari</t>
  </si>
  <si>
    <t>Hassana Adamou</t>
  </si>
  <si>
    <t>Faiza Abou</t>
  </si>
  <si>
    <t>Fatima yaou</t>
  </si>
  <si>
    <t>19/08/12 à Maradi</t>
  </si>
  <si>
    <t>Zeinab Abdou</t>
  </si>
  <si>
    <t>Zeinab Maman Nassirou</t>
  </si>
  <si>
    <t>Habsatou Aliyou</t>
  </si>
  <si>
    <t>Ousseina Adamou</t>
  </si>
  <si>
    <t>Roukaya Bassirou</t>
  </si>
  <si>
    <t>18/11/13 à Maradi</t>
  </si>
  <si>
    <t>Amina Bassirou</t>
  </si>
  <si>
    <t>Fatouma Amani</t>
  </si>
  <si>
    <t>31/12/12 à Kara kara</t>
  </si>
  <si>
    <t>Ramatou Ibrahim</t>
  </si>
  <si>
    <t>Yasmina Yaou</t>
  </si>
  <si>
    <t>Fadila laouali</t>
  </si>
  <si>
    <t>Nafissa Moussa</t>
  </si>
  <si>
    <t>Redouble</t>
  </si>
  <si>
    <t>Nadia Abdouaziz</t>
  </si>
  <si>
    <t>Abandon</t>
  </si>
  <si>
    <t>Zeina Ibrahim</t>
  </si>
  <si>
    <t>Nana Hamida Hamission</t>
  </si>
  <si>
    <t>11/07/11 à Kara kara</t>
  </si>
  <si>
    <t xml:space="preserve">Nazifa Soumana </t>
  </si>
  <si>
    <t xml:space="preserve">Roufaida Souley </t>
  </si>
  <si>
    <t>31/12/12 à kara kara</t>
  </si>
  <si>
    <t>Fatima Hamission</t>
  </si>
  <si>
    <t>Aicha Yahaya</t>
  </si>
  <si>
    <t>22/10/12 à Maradi</t>
  </si>
  <si>
    <t>Malika Boukari</t>
  </si>
  <si>
    <t>Kadidja Abou Soufiane</t>
  </si>
  <si>
    <t>Azima Maman Sani</t>
  </si>
  <si>
    <t>31/12/12 à Darai</t>
  </si>
  <si>
    <t>Mouchtayada Yahaya</t>
  </si>
  <si>
    <t>Noutratoul Houda Hamissou</t>
  </si>
  <si>
    <t>18/08/12 à Matradi</t>
  </si>
  <si>
    <t>Aminatou Aboubacar</t>
  </si>
  <si>
    <t>Salima Boukari</t>
  </si>
  <si>
    <t>Faiza Rabé</t>
  </si>
  <si>
    <t>Habsat Salissou</t>
  </si>
  <si>
    <t>Siraya Lawali</t>
  </si>
  <si>
    <t>Faiza Abdoul-Karim</t>
  </si>
  <si>
    <t>Kadija Adamou</t>
  </si>
  <si>
    <t>Racha Hamisson</t>
  </si>
  <si>
    <t>Yasmina Sanoussi</t>
  </si>
  <si>
    <t>Kadjia Chitoiu</t>
  </si>
  <si>
    <t>20/02/12 à Maradi</t>
  </si>
  <si>
    <t>Hadiza Sanoussi</t>
  </si>
  <si>
    <t>Nana Aichja Djibril</t>
  </si>
  <si>
    <t>Mariama mahamadou</t>
  </si>
  <si>
    <t>Oumaira Habibou</t>
  </si>
  <si>
    <t>Ecole Kara Kara 3</t>
  </si>
  <si>
    <t>Balkissa Sani</t>
  </si>
  <si>
    <t>Fatiha Oumarou</t>
  </si>
  <si>
    <t>Moufida Larwanou</t>
  </si>
  <si>
    <t>31/12/13 à Kara Kara</t>
  </si>
  <si>
    <t>Soumaya Saadou</t>
  </si>
  <si>
    <t>Aicha Chaibou</t>
  </si>
  <si>
    <t>20/12/10 à Kara kara</t>
  </si>
  <si>
    <t>Roukaya Abdou</t>
  </si>
  <si>
    <t>31/12/10 à Kara Kara</t>
  </si>
  <si>
    <t>Ramlatou Yahaya</t>
  </si>
  <si>
    <t>17/04/12 à Mareadi</t>
  </si>
  <si>
    <t>Aicha Sabiou</t>
  </si>
  <si>
    <t>vers 2012 à Kara Kara</t>
  </si>
  <si>
    <t>Youssira Ousmane</t>
  </si>
  <si>
    <t>13/12/13 à kara kara</t>
  </si>
  <si>
    <t>Razina Moustapha</t>
  </si>
  <si>
    <t>Firdaoussi Bassirou</t>
  </si>
  <si>
    <t>Malika Ousmne</t>
  </si>
  <si>
    <t>Chapiya Souleymane</t>
  </si>
  <si>
    <t>Anissa vSouleymane</t>
  </si>
  <si>
    <t>Nana Aichatou Issadou</t>
  </si>
  <si>
    <t>Marfou'a Hamza</t>
  </si>
  <si>
    <t>Nafissa Achirou</t>
  </si>
  <si>
    <t>Roukaya Souleymane</t>
  </si>
  <si>
    <t>10/07/10 à Kara kara</t>
  </si>
  <si>
    <t>Binta Jao</t>
  </si>
  <si>
    <t>Kadidja Jamilou</t>
  </si>
  <si>
    <t>Roufaida Salissou</t>
  </si>
  <si>
    <t>Farissa Issa</t>
  </si>
  <si>
    <t>Izzatou Abdpoul rahamane</t>
  </si>
  <si>
    <t>Faiza Soumaila</t>
  </si>
  <si>
    <t>Nana Charifa Hassan</t>
  </si>
  <si>
    <t>Zoulha Rabé</t>
  </si>
  <si>
    <t>Halima Yahaya</t>
  </si>
  <si>
    <t>Aisha Mahamadou</t>
  </si>
  <si>
    <t>fadila Djafar</t>
  </si>
  <si>
    <t>Nafissa Habibou</t>
  </si>
  <si>
    <t>Mounao Wara salissou</t>
  </si>
  <si>
    <t>Najaatou hassan</t>
  </si>
  <si>
    <t>Hanifa mamouda</t>
  </si>
  <si>
    <t>Nana Fiordaoussi Ichaou</t>
  </si>
  <si>
    <t>Aichatou Hadi</t>
  </si>
  <si>
    <t>Farida Maman</t>
  </si>
  <si>
    <t>Habiba Laouali</t>
  </si>
  <si>
    <t>Firdaoussi Sanoussi</t>
  </si>
  <si>
    <t>2013 à Maradi</t>
  </si>
  <si>
    <t>Nabila Sani</t>
  </si>
  <si>
    <t>2013 à Kabaoua</t>
  </si>
  <si>
    <t>Assamou Rabioyu</t>
  </si>
  <si>
    <t>2013 à Ajiya</t>
  </si>
  <si>
    <t>Rabi Ousmane</t>
  </si>
  <si>
    <t xml:space="preserve">Hawaou Moustapha </t>
  </si>
  <si>
    <t>2013 à Mazan Tsayé</t>
  </si>
  <si>
    <t>Farida Sanoi</t>
  </si>
  <si>
    <t>Mahafouza Illa</t>
  </si>
  <si>
    <t>Maimouna Yahaya</t>
  </si>
  <si>
    <t>Roufaida Moussa</t>
  </si>
  <si>
    <t xml:space="preserve">Farida Mansour </t>
  </si>
  <si>
    <t>Nana bassira Moutari</t>
  </si>
  <si>
    <t>Hadiza Amani</t>
  </si>
  <si>
    <t>Nana Sahiba Rabiou</t>
  </si>
  <si>
    <t>Laila Adamou</t>
  </si>
  <si>
    <t>Nana Firdaoussi Issa</t>
  </si>
  <si>
    <t>Halima Soumaila</t>
  </si>
  <si>
    <t>Zeinab Aboubacar</t>
  </si>
  <si>
    <t>Fadila Oumarou</t>
  </si>
  <si>
    <t>Rouhaimatou Awal</t>
  </si>
  <si>
    <t>Mariam Tanimoune</t>
  </si>
  <si>
    <t>Fatima Sani</t>
  </si>
  <si>
    <t>Mariam Aboubacar</t>
  </si>
  <si>
    <t>Fatima Rabiou</t>
  </si>
  <si>
    <t>Fadila Souley</t>
  </si>
  <si>
    <t>Nissaiba Chaibou</t>
  </si>
  <si>
    <t>Mariama Tassiou</t>
  </si>
  <si>
    <t>Fatima Haladou</t>
  </si>
  <si>
    <t>Fatima Achirou</t>
  </si>
  <si>
    <t>30/01/2013 à Maradi</t>
  </si>
  <si>
    <t>Sabaraou Souley</t>
  </si>
  <si>
    <t>Mariam achirou</t>
  </si>
  <si>
    <t>Safiya Oumarou</t>
  </si>
  <si>
    <t xml:space="preserve">Aicha Noura </t>
  </si>
  <si>
    <t>31/11/13 à Kaboua</t>
  </si>
  <si>
    <t>Zeinab Yahaya</t>
  </si>
  <si>
    <t>Mainra Oumarou</t>
  </si>
  <si>
    <t>31/12/13 àMazan Tsayé</t>
  </si>
  <si>
    <t>Aichatou Hassan</t>
  </si>
  <si>
    <t>Charifa Aminou</t>
  </si>
  <si>
    <t>30/01/13 àMazan Tsayé</t>
  </si>
  <si>
    <t>Nafissa Sabiou</t>
  </si>
  <si>
    <t>31/12/13 à Maradi</t>
  </si>
  <si>
    <t>Noufoura Idrissa</t>
  </si>
  <si>
    <t>Sabiya Tanimoune</t>
  </si>
  <si>
    <t>Aicha Boubacar</t>
  </si>
  <si>
    <t>30/01/13 à Mazan Tsayé</t>
  </si>
  <si>
    <t>Aicha Abdou</t>
  </si>
  <si>
    <t>Bouchira Hawa</t>
  </si>
  <si>
    <t>Nazifa Kabirou</t>
  </si>
  <si>
    <t>Nijaatou Kabirou</t>
  </si>
  <si>
    <t>Nabila Hamissou</t>
  </si>
  <si>
    <t>Ousseina Sani</t>
  </si>
  <si>
    <t>30/06/13 à Mazan Tsayé</t>
  </si>
  <si>
    <t>Ramatou Illa</t>
  </si>
  <si>
    <t>31/12.12 à Maradi</t>
  </si>
  <si>
    <t>Roufaida Garba</t>
  </si>
  <si>
    <t>Aichatou Souleymane</t>
  </si>
  <si>
    <t>Aicha Mamadou</t>
  </si>
  <si>
    <t>Ecole Garin Daouré</t>
  </si>
  <si>
    <t>2013 à kabaoua</t>
  </si>
  <si>
    <t>31/12/13 à Kabaoua</t>
  </si>
  <si>
    <t>30/11/13 à Kabaoua</t>
  </si>
  <si>
    <t>30/11/2013 à kabaoua</t>
  </si>
  <si>
    <t>31/01/13 à Kabaoua</t>
  </si>
  <si>
    <t>30/01/13 à kabaoua</t>
  </si>
  <si>
    <t>30/01/13 à Kabaoua</t>
  </si>
  <si>
    <t xml:space="preserve">Farissa Yacouba </t>
  </si>
  <si>
    <t>22/02/12 à Maradi</t>
  </si>
  <si>
    <t>Bassira hamissou</t>
  </si>
  <si>
    <t>20213 à garin daouré</t>
  </si>
  <si>
    <t>Islama Laouali</t>
  </si>
  <si>
    <t>10/06/14 à Dosso</t>
  </si>
  <si>
    <t xml:space="preserve">Chamssiya Aminou </t>
  </si>
  <si>
    <t>2013 à Garin daouré</t>
  </si>
  <si>
    <t>Nana Hadiza Abdoullaye</t>
  </si>
  <si>
    <t>27/11/13 àGarin Daouré</t>
  </si>
  <si>
    <t>Soumaya Mahamadou</t>
  </si>
  <si>
    <t>Safiya Toukour</t>
  </si>
  <si>
    <t>Choukouriya Chapiou</t>
  </si>
  <si>
    <t>Rachida Salissou</t>
  </si>
  <si>
    <t>Aichatou Laouali</t>
  </si>
  <si>
    <t>Zeinab hamissou</t>
  </si>
  <si>
    <t>Safaraou Hamidou</t>
  </si>
  <si>
    <t>Housseina Abdou</t>
  </si>
  <si>
    <t>Aichatou Abdoullaye</t>
  </si>
  <si>
    <t>Salima Souley</t>
  </si>
  <si>
    <t>saadiya Abdou</t>
  </si>
  <si>
    <t>Koubriya Idi</t>
  </si>
  <si>
    <t>Yasmina mani</t>
  </si>
  <si>
    <t>Roufaida Laminou</t>
  </si>
  <si>
    <t>Naiima Moustapha</t>
  </si>
  <si>
    <t>Zeinab Achirou</t>
  </si>
  <si>
    <t>Faousiya Inoussa</t>
  </si>
  <si>
    <t>Kadidja Abdoulkarim</t>
  </si>
  <si>
    <t>Ramlate Abdoulmalik</t>
  </si>
  <si>
    <t>Zalika Salaou</t>
  </si>
  <si>
    <t>Vers 2013 à Garin Daouré</t>
  </si>
  <si>
    <t xml:space="preserve">Aichatou Yahouza </t>
  </si>
  <si>
    <t>01/01/2013 à Sarkin Aski</t>
  </si>
  <si>
    <t>Firdaoussi hamissou</t>
  </si>
  <si>
    <t>01/01/2013 à Dina</t>
  </si>
  <si>
    <t>Farida Salifou</t>
  </si>
  <si>
    <t>Fatima Samaila</t>
  </si>
  <si>
    <t>Hannatou Hamza</t>
  </si>
  <si>
    <t>Mounazafa Souleyman</t>
  </si>
  <si>
    <t>Nassiba Kabirou</t>
  </si>
  <si>
    <t>Salmina Hamedine</t>
  </si>
  <si>
    <t>Zeinab Sanoussi</t>
  </si>
  <si>
    <t>Oumaira hadi</t>
  </si>
  <si>
    <t>Ecole Yan Zango</t>
  </si>
  <si>
    <t>Machatoura Maharazou</t>
  </si>
  <si>
    <t>2012 à Yan Zango</t>
  </si>
  <si>
    <t>Rachida mani</t>
  </si>
  <si>
    <t>Chapaatou Salifou</t>
  </si>
  <si>
    <t>Mansoura Issa</t>
  </si>
  <si>
    <t>Rachida maman</t>
  </si>
  <si>
    <t>Sakina Zouldeini</t>
  </si>
  <si>
    <t>2012 à Garin Kiabaye</t>
  </si>
  <si>
    <t>2013 à Yan Zango</t>
  </si>
  <si>
    <t>2014 à Yan Zango</t>
  </si>
  <si>
    <t>Haouaou Illa</t>
  </si>
  <si>
    <t>Souraya Souley</t>
  </si>
  <si>
    <t>Manira Salissou</t>
  </si>
  <si>
    <t>Latifa Aboubacar</t>
  </si>
  <si>
    <t>Zahariya Idi</t>
  </si>
  <si>
    <t>Faouziya Bassirou</t>
  </si>
  <si>
    <t>Rachida Hamidou</t>
  </si>
  <si>
    <t>Nana Rafia Mourtala</t>
  </si>
  <si>
    <t>Kadija Tassiou</t>
  </si>
  <si>
    <t>Charifa Mourtala</t>
  </si>
  <si>
    <t>Marssila Saadou</t>
  </si>
  <si>
    <t>Mariama Maharazou</t>
  </si>
  <si>
    <t>Nana Nissaiba Souley</t>
  </si>
  <si>
    <t>Mansoura Aboubacar</t>
  </si>
  <si>
    <t>Oumaira Souley</t>
  </si>
  <si>
    <t xml:space="preserve">Baraatou Issoufou </t>
  </si>
  <si>
    <t>Yassira yacouba</t>
  </si>
  <si>
    <t>Chemaou Chiitou</t>
  </si>
  <si>
    <t>Firdaoudaoussi Sabiou</t>
  </si>
  <si>
    <t>2012 à Garin Kessa</t>
  </si>
  <si>
    <t>Hassiya Laouali</t>
  </si>
  <si>
    <t>2012 à Dan gao</t>
  </si>
  <si>
    <t>massaouda Moutari</t>
  </si>
  <si>
    <t>Saadiya Ousmane</t>
  </si>
  <si>
    <t>Zahariya Maman</t>
  </si>
  <si>
    <t>Aichatou Salifou</t>
  </si>
  <si>
    <t>Sahoura Hachimou</t>
  </si>
  <si>
    <t>Malika Daouda</t>
  </si>
  <si>
    <t>Ecole Imbelbelou 3</t>
  </si>
  <si>
    <t>Colonne1</t>
  </si>
  <si>
    <t>Colonne2</t>
  </si>
  <si>
    <t>Colonne3</t>
  </si>
  <si>
    <t>Colonne4</t>
  </si>
  <si>
    <t>01/O1/2012 à Maradi</t>
  </si>
  <si>
    <t>Kadija Saidou</t>
  </si>
  <si>
    <t>Nana Kadidja Yacouba</t>
  </si>
  <si>
    <t>Ainaou Chaibou</t>
  </si>
  <si>
    <t>Soumaya Harouna</t>
  </si>
  <si>
    <t>Fati Noura</t>
  </si>
  <si>
    <t>Ramatou Zakari</t>
  </si>
  <si>
    <t>Nana Houmaira Amadou</t>
  </si>
  <si>
    <t>Salima Mourtala</t>
  </si>
  <si>
    <t>Salima Issoufou</t>
  </si>
  <si>
    <t>Kadija Siradji</t>
  </si>
  <si>
    <t>mansoura Ousmane</t>
  </si>
  <si>
    <t>Firdaoussi Rabiou</t>
  </si>
  <si>
    <t>Nadia mahamadou</t>
  </si>
  <si>
    <t>Yasmine hamissou</t>
  </si>
  <si>
    <t>Naima Siradji</t>
  </si>
  <si>
    <t>kadidja Tassiou</t>
  </si>
  <si>
    <t>Nana Aicha Tsayabou</t>
  </si>
  <si>
    <t>Azima Abdoullahi</t>
  </si>
  <si>
    <t>Ouma Hani Abdoul</t>
  </si>
  <si>
    <t>Fatouma Zara Abdoul Karim</t>
  </si>
  <si>
    <t>Haouaou Ichaou</t>
  </si>
  <si>
    <t>Nafissa Abdoul Aziz</t>
  </si>
  <si>
    <t>12/09/12 à Maradi</t>
  </si>
  <si>
    <t>Kadidja Massaoudou</t>
  </si>
  <si>
    <t>13/01/12 à Maradi</t>
  </si>
  <si>
    <t>07/04/13 à Maradi</t>
  </si>
  <si>
    <t>Nana Aicha Siradji</t>
  </si>
  <si>
    <t>5, 61</t>
  </si>
  <si>
    <t>Majazia Abdoul</t>
  </si>
  <si>
    <t>Souraya Abass</t>
  </si>
  <si>
    <t>Aminatou Hassan</t>
  </si>
  <si>
    <t>31/12/11 à Maradi</t>
  </si>
  <si>
    <t>Roufaida Hachimou</t>
  </si>
  <si>
    <t>12/11/12 à Maradi</t>
  </si>
  <si>
    <t>Soumaya Habibou</t>
  </si>
  <si>
    <t>12/10/12 à imbelbelou</t>
  </si>
  <si>
    <t>Souweidatou Abdourahamne</t>
  </si>
  <si>
    <t>30/10/12 à Imbelbelou</t>
  </si>
  <si>
    <t>Yousra Alassan</t>
  </si>
  <si>
    <t>24/10/12 à Maradi</t>
  </si>
  <si>
    <t>Rabi Rabiou</t>
  </si>
  <si>
    <t>Ecole Sarkin Aski</t>
  </si>
  <si>
    <t>Aminatou Issaka</t>
  </si>
  <si>
    <t xml:space="preserve">CEG </t>
  </si>
  <si>
    <t>Abnadon</t>
  </si>
  <si>
    <t xml:space="preserve">Ecole Mazan Tsayé </t>
  </si>
  <si>
    <t xml:space="preserve"> </t>
  </si>
  <si>
    <t>CM1</t>
  </si>
  <si>
    <t>Ecole</t>
  </si>
  <si>
    <t>Insrites</t>
  </si>
  <si>
    <t>Abandonee #</t>
  </si>
  <si>
    <t>Presentes</t>
  </si>
  <si>
    <t>Admises #</t>
  </si>
  <si>
    <t>Non Admise #</t>
  </si>
  <si>
    <t>Abandonee %</t>
  </si>
  <si>
    <t>Admises %</t>
  </si>
  <si>
    <t>Non Admise %</t>
  </si>
  <si>
    <t>Comments</t>
  </si>
  <si>
    <t>CM2</t>
  </si>
  <si>
    <t>Presentes #</t>
  </si>
  <si>
    <t xml:space="preserve"> Kara Kara 2</t>
  </si>
  <si>
    <t xml:space="preserve"> Kara Kara 1</t>
  </si>
  <si>
    <t xml:space="preserve"> Kara Kara 3</t>
  </si>
  <si>
    <t xml:space="preserve">Mazan Tsayé </t>
  </si>
  <si>
    <t>Garin Daouré</t>
  </si>
  <si>
    <t>Imbelbelou 3</t>
  </si>
  <si>
    <t>Total</t>
  </si>
  <si>
    <t xml:space="preserve">The Abandon was actual a transfer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</si>
</sst>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8"/>
      <color rgb="FFFF0000"/>
      <name val="Calibri"/>
      <family val="2"/>
      <scheme val="minor"/>
    </font>
    <font>
      <sz val="9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0" fillId="0" borderId="0"/>
    <xf numFmtId="9" fontId="14" fillId="0" borderId="0" applyFont="0" applyFill="0" applyBorder="0" applyAlignment="0" applyProtection="0"/>
  </cellStyleXfs>
  <cellXfs count="104">
    <xf numFmtId="0" fontId="0" fillId="0" borderId="0" xfId="0"/>
    <xf numFmtId="0" fontId="4" fillId="0" borderId="0" xfId="0" applyFont="1"/>
    <xf numFmtId="0" fontId="5" fillId="0" borderId="0" xfId="0" applyFont="1"/>
    <xf numFmtId="2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9" fillId="0" borderId="0" xfId="0" applyFont="1" applyAlignment="1">
      <alignment vertical="center"/>
    </xf>
    <xf numFmtId="0" fontId="0" fillId="5" borderId="5" xfId="0" applyFill="1" applyBorder="1"/>
    <xf numFmtId="0" fontId="0" fillId="0" borderId="5" xfId="0" applyBorder="1"/>
    <xf numFmtId="0" fontId="15" fillId="3" borderId="6" xfId="0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5" fillId="3" borderId="8" xfId="0" applyFont="1" applyFill="1" applyBorder="1" applyAlignment="1">
      <alignment horizontal="center"/>
    </xf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5" borderId="7" xfId="0" applyFont="1" applyFill="1" applyBorder="1"/>
    <xf numFmtId="0" fontId="1" fillId="5" borderId="7" xfId="0" applyFont="1" applyFill="1" applyBorder="1" applyAlignment="1">
      <alignment horizontal="center"/>
    </xf>
    <xf numFmtId="14" fontId="1" fillId="5" borderId="7" xfId="0" applyNumberFormat="1" applyFont="1" applyFill="1" applyBorder="1"/>
    <xf numFmtId="0" fontId="13" fillId="4" borderId="0" xfId="0" applyFont="1" applyFill="1" applyAlignment="1">
      <alignment horizontal="center"/>
    </xf>
    <xf numFmtId="0" fontId="13" fillId="4" borderId="10" xfId="0" applyFont="1" applyFill="1" applyBorder="1" applyAlignment="1">
      <alignment horizontal="center"/>
    </xf>
    <xf numFmtId="0" fontId="0" fillId="5" borderId="13" xfId="0" applyFill="1" applyBorder="1"/>
    <xf numFmtId="0" fontId="0" fillId="5" borderId="7" xfId="0" applyFill="1" applyBorder="1"/>
    <xf numFmtId="0" fontId="0" fillId="5" borderId="7" xfId="0" applyFill="1" applyBorder="1" applyAlignment="1">
      <alignment horizontal="right"/>
    </xf>
    <xf numFmtId="10" fontId="16" fillId="5" borderId="7" xfId="2" applyNumberFormat="1" applyFont="1" applyFill="1" applyBorder="1"/>
    <xf numFmtId="0" fontId="2" fillId="0" borderId="2" xfId="0" applyFont="1" applyBorder="1"/>
    <xf numFmtId="0" fontId="0" fillId="0" borderId="13" xfId="0" applyBorder="1"/>
    <xf numFmtId="0" fontId="0" fillId="0" borderId="7" xfId="0" applyBorder="1"/>
    <xf numFmtId="0" fontId="0" fillId="0" borderId="7" xfId="0" applyBorder="1" applyAlignment="1">
      <alignment horizontal="right"/>
    </xf>
    <xf numFmtId="10" fontId="16" fillId="0" borderId="7" xfId="2" applyNumberFormat="1" applyFont="1" applyBorder="1"/>
    <xf numFmtId="0" fontId="0" fillId="0" borderId="8" xfId="0" applyBorder="1"/>
    <xf numFmtId="0" fontId="2" fillId="5" borderId="2" xfId="0" applyFont="1" applyFill="1" applyBorder="1"/>
    <xf numFmtId="10" fontId="0" fillId="5" borderId="7" xfId="2" applyNumberFormat="1" applyFont="1" applyFill="1" applyBorder="1"/>
    <xf numFmtId="10" fontId="0" fillId="0" borderId="7" xfId="2" applyNumberFormat="1" applyFont="1" applyBorder="1"/>
    <xf numFmtId="0" fontId="15" fillId="6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20" fillId="5" borderId="7" xfId="0" applyFont="1" applyFill="1" applyBorder="1"/>
    <xf numFmtId="0" fontId="13" fillId="3" borderId="9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13" fillId="3" borderId="10" xfId="0" applyFont="1" applyFill="1" applyBorder="1" applyAlignment="1">
      <alignment horizontal="center"/>
    </xf>
    <xf numFmtId="0" fontId="13" fillId="4" borderId="9" xfId="0" applyFont="1" applyFill="1" applyBorder="1" applyAlignment="1">
      <alignment horizontal="center"/>
    </xf>
    <xf numFmtId="0" fontId="18" fillId="5" borderId="7" xfId="0" applyFont="1" applyFill="1" applyBorder="1"/>
    <xf numFmtId="0" fontId="20" fillId="5" borderId="7" xfId="0" applyFont="1" applyFill="1" applyBorder="1" applyAlignment="1">
      <alignment horizontal="center"/>
    </xf>
    <xf numFmtId="0" fontId="15" fillId="6" borderId="9" xfId="0" applyFont="1" applyFill="1" applyBorder="1" applyAlignment="1">
      <alignment horizontal="center"/>
    </xf>
    <xf numFmtId="0" fontId="15" fillId="6" borderId="0" xfId="1" applyFont="1" applyFill="1" applyAlignment="1">
      <alignment horizontal="center" vertical="center" wrapText="1"/>
    </xf>
    <xf numFmtId="0" fontId="1" fillId="5" borderId="10" xfId="0" applyFont="1" applyFill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9" fillId="2" borderId="2" xfId="0" applyFont="1" applyFill="1" applyBorder="1"/>
    <xf numFmtId="2" fontId="9" fillId="5" borderId="2" xfId="0" applyNumberFormat="1" applyFont="1" applyFill="1" applyBorder="1"/>
    <xf numFmtId="2" fontId="9" fillId="0" borderId="2" xfId="0" applyNumberFormat="1" applyFont="1" applyBorder="1"/>
    <xf numFmtId="0" fontId="6" fillId="5" borderId="2" xfId="0" applyFont="1" applyFill="1" applyBorder="1" applyAlignment="1">
      <alignment horizontal="right"/>
    </xf>
    <xf numFmtId="2" fontId="12" fillId="5" borderId="2" xfId="0" applyNumberFormat="1" applyFont="1" applyFill="1" applyBorder="1"/>
    <xf numFmtId="0" fontId="6" fillId="0" borderId="2" xfId="0" applyFont="1" applyBorder="1" applyAlignment="1">
      <alignment horizontal="right"/>
    </xf>
    <xf numFmtId="2" fontId="12" fillId="0" borderId="2" xfId="0" applyNumberFormat="1" applyFont="1" applyBorder="1"/>
    <xf numFmtId="0" fontId="9" fillId="5" borderId="2" xfId="0" applyFont="1" applyFill="1" applyBorder="1"/>
    <xf numFmtId="0" fontId="9" fillId="0" borderId="2" xfId="0" applyFont="1" applyBorder="1"/>
    <xf numFmtId="2" fontId="6" fillId="0" borderId="2" xfId="0" applyNumberFormat="1" applyFont="1" applyBorder="1"/>
    <xf numFmtId="2" fontId="6" fillId="5" borderId="2" xfId="0" applyNumberFormat="1" applyFont="1" applyFill="1" applyBorder="1"/>
    <xf numFmtId="0" fontId="6" fillId="2" borderId="2" xfId="0" applyFont="1" applyFill="1" applyBorder="1"/>
    <xf numFmtId="2" fontId="6" fillId="2" borderId="2" xfId="0" applyNumberFormat="1" applyFont="1" applyFill="1" applyBorder="1"/>
    <xf numFmtId="2" fontId="8" fillId="0" borderId="2" xfId="0" applyNumberFormat="1" applyFont="1" applyBorder="1"/>
    <xf numFmtId="2" fontId="8" fillId="5" borderId="2" xfId="0" applyNumberFormat="1" applyFont="1" applyFill="1" applyBorder="1" applyAlignment="1">
      <alignment horizontal="right"/>
    </xf>
    <xf numFmtId="2" fontId="8" fillId="5" borderId="2" xfId="0" applyNumberFormat="1" applyFont="1" applyFill="1" applyBorder="1"/>
    <xf numFmtId="2" fontId="8" fillId="0" borderId="2" xfId="0" applyNumberFormat="1" applyFont="1" applyBorder="1" applyAlignment="1">
      <alignment horizontal="right"/>
    </xf>
    <xf numFmtId="2" fontId="7" fillId="5" borderId="2" xfId="0" applyNumberFormat="1" applyFont="1" applyFill="1" applyBorder="1" applyAlignment="1">
      <alignment horizontal="right"/>
    </xf>
    <xf numFmtId="2" fontId="7" fillId="0" borderId="2" xfId="0" applyNumberFormat="1" applyFont="1" applyBorder="1" applyAlignment="1">
      <alignment horizontal="right"/>
    </xf>
    <xf numFmtId="0" fontId="3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6" fillId="5" borderId="2" xfId="0" applyFont="1" applyFill="1" applyBorder="1"/>
    <xf numFmtId="0" fontId="6" fillId="0" borderId="2" xfId="0" applyFont="1" applyBorder="1"/>
    <xf numFmtId="0" fontId="4" fillId="5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3" fillId="5" borderId="0" xfId="0" applyFont="1" applyFill="1" applyAlignment="1">
      <alignment horizontal="center"/>
    </xf>
    <xf numFmtId="0" fontId="9" fillId="2" borderId="3" xfId="0" applyFont="1" applyFill="1" applyBorder="1"/>
    <xf numFmtId="0" fontId="6" fillId="5" borderId="3" xfId="0" applyFont="1" applyFill="1" applyBorder="1"/>
    <xf numFmtId="0" fontId="2" fillId="0" borderId="14" xfId="0" applyFont="1" applyBorder="1"/>
    <xf numFmtId="0" fontId="0" fillId="0" borderId="15" xfId="0" applyBorder="1"/>
    <xf numFmtId="0" fontId="0" fillId="0" borderId="5" xfId="0" applyBorder="1" applyAlignment="1">
      <alignment horizontal="right"/>
    </xf>
    <xf numFmtId="10" fontId="16" fillId="0" borderId="5" xfId="2" applyNumberFormat="1" applyFont="1" applyBorder="1"/>
    <xf numFmtId="0" fontId="2" fillId="5" borderId="14" xfId="0" applyFont="1" applyFill="1" applyBorder="1"/>
    <xf numFmtId="0" fontId="0" fillId="5" borderId="15" xfId="0" applyFill="1" applyBorder="1"/>
    <xf numFmtId="0" fontId="0" fillId="5" borderId="5" xfId="0" applyFill="1" applyBorder="1" applyAlignment="1">
      <alignment horizontal="right"/>
    </xf>
    <xf numFmtId="10" fontId="16" fillId="5" borderId="5" xfId="2" applyNumberFormat="1" applyFont="1" applyFill="1" applyBorder="1"/>
    <xf numFmtId="0" fontId="20" fillId="5" borderId="5" xfId="0" applyFont="1" applyFill="1" applyBorder="1" applyAlignment="1">
      <alignment horizontal="center"/>
    </xf>
    <xf numFmtId="10" fontId="15" fillId="6" borderId="0" xfId="2" applyNumberFormat="1" applyFont="1" applyFill="1" applyBorder="1" applyAlignment="1">
      <alignment horizontal="center"/>
    </xf>
    <xf numFmtId="0" fontId="2" fillId="7" borderId="3" xfId="0" applyFont="1" applyFill="1" applyBorder="1"/>
    <xf numFmtId="0" fontId="0" fillId="7" borderId="3" xfId="0" applyFill="1" applyBorder="1"/>
    <xf numFmtId="0" fontId="0" fillId="7" borderId="0" xfId="0" applyFill="1"/>
    <xf numFmtId="0" fontId="0" fillId="7" borderId="0" xfId="0" applyFill="1" applyAlignment="1">
      <alignment horizontal="right"/>
    </xf>
    <xf numFmtId="10" fontId="16" fillId="7" borderId="0" xfId="2" applyNumberFormat="1" applyFont="1" applyFill="1" applyBorder="1"/>
    <xf numFmtId="0" fontId="17" fillId="0" borderId="0" xfId="0" applyFont="1" applyAlignment="1">
      <alignment horizontal="center" vertical="center"/>
    </xf>
  </cellXfs>
  <cellStyles count="3">
    <cellStyle name="Normal" xfId="0" builtinId="0"/>
    <cellStyle name="Normal 4" xfId="1" xr:uid="{00000000-0005-0000-0000-000001000000}"/>
    <cellStyle name="Percent" xfId="2" builtinId="5"/>
  </cellStyles>
  <dxfs count="18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00B05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rgb="FF00B05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F273340-4CD5-7043-8799-FC3A797C03DF}" name="Table7" displayName="Table7" ref="A6:E46" totalsRowCount="1" headerRowDxfId="180" dataDxfId="179" tableBorderDxfId="178">
  <autoFilter ref="A6:E45" xr:uid="{0F273340-4CD5-7043-8799-FC3A797C03DF}"/>
  <tableColumns count="5">
    <tableColumn id="1" xr3:uid="{BECF607F-CC7E-CE41-A07E-2CB49FA1F68A}" name="N" totalsRowFunction="count" dataDxfId="177" totalsRowDxfId="176"/>
    <tableColumn id="2" xr3:uid="{E760D4C9-AF3E-D845-BF5A-E7B16BB39DE2}" name="Noms et Prenoms" dataDxfId="175" totalsRowDxfId="174"/>
    <tableColumn id="3" xr3:uid="{F067ED84-A66D-7046-A4F4-8B851599A0F0}" name="Dates et lieu de naissance" dataDxfId="173" totalsRowDxfId="172"/>
    <tableColumn id="4" xr3:uid="{5BC295C8-E172-9F40-B42B-8C51A58A6D7F}" name="M.G" dataDxfId="171" totalsRowDxfId="170"/>
    <tableColumn id="5" xr3:uid="{C740E39B-3611-A946-B580-2B1FC5839743}" name="Observation" totalsRowFunction="count" dataDxfId="169" totalsRowDxfId="16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86622C-6F60-0F46-AC79-DDDAB4B99407}" name="Table9" displayName="Table9" ref="A48:E99" totalsRowCount="1" headerRowDxfId="167" dataDxfId="165" headerRowBorderDxfId="166" tableBorderDxfId="164" totalsRowBorderDxfId="163">
  <autoFilter ref="A48:E98" xr:uid="{C386622C-6F60-0F46-AC79-DDDAB4B99407}"/>
  <tableColumns count="5">
    <tableColumn id="1" xr3:uid="{94C67FA6-B43C-E740-8B71-BCAA47CDF2DE}" name="N" totalsRowFunction="count" dataDxfId="162" totalsRowDxfId="161"/>
    <tableColumn id="2" xr3:uid="{11838A96-B48A-2040-BA51-E9A7AD44F3C0}" name="Noms et Prenoms" dataDxfId="160" totalsRowDxfId="159"/>
    <tableColumn id="3" xr3:uid="{58D8B968-B36F-B84A-96FC-A6859F93E3DA}" name="Dates et lieu de naissance" dataDxfId="158" totalsRowDxfId="157"/>
    <tableColumn id="4" xr3:uid="{EB40E18E-E156-2644-83B6-F15416DCD580}" name="M.G" dataDxfId="156" totalsRowDxfId="155"/>
    <tableColumn id="5" xr3:uid="{F3AAF0C7-7FD1-3346-9579-7C5B7EE14D90}" name="Observation" totalsRowFunction="count" dataDxfId="154" totalsRowDxfId="15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8A5E570-1623-F34C-8FCD-5E9D8FCC593B}" name="Table11" displayName="Table11" ref="A101:E141" totalsRowCount="1" headerRowDxfId="152" dataDxfId="150" headerRowBorderDxfId="151" tableBorderDxfId="149" totalsRowBorderDxfId="148">
  <autoFilter ref="A101:E140" xr:uid="{88A5E570-1623-F34C-8FCD-5E9D8FCC593B}"/>
  <tableColumns count="5">
    <tableColumn id="1" xr3:uid="{BD432761-89FB-8D47-AB44-EF6A71A76D1F}" name="N" totalsRowFunction="count" dataDxfId="147" totalsRowDxfId="146"/>
    <tableColumn id="2" xr3:uid="{EE7A178E-009C-A842-BC23-1C0E97E5150B}" name="Noms et Prenoms" dataDxfId="145" totalsRowDxfId="144"/>
    <tableColumn id="3" xr3:uid="{18A5D864-133F-3C47-9EE3-4E03CE935121}" name="Dates et lieu de naissance" dataDxfId="143" totalsRowDxfId="142"/>
    <tableColumn id="4" xr3:uid="{291E9292-D64B-F445-AC95-91CF3EE686FD}" name="M.G" dataDxfId="141" totalsRowDxfId="140"/>
    <tableColumn id="5" xr3:uid="{659A36F0-E43F-374E-8F9A-1903B798465A}" name="Observation" totalsRowFunction="count" dataDxfId="139" totalsRowDxfId="13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B2FA84A-4A5A-1A48-A514-EFD08C8025BF}" name="Table12" displayName="Table12" ref="A143:E195" totalsRowCount="1" headerRowDxfId="137" dataDxfId="135" headerRowBorderDxfId="136" tableBorderDxfId="134" totalsRowBorderDxfId="133">
  <autoFilter ref="A143:E194" xr:uid="{4B2FA84A-4A5A-1A48-A514-EFD08C8025BF}"/>
  <tableColumns count="5">
    <tableColumn id="1" xr3:uid="{B5A173B6-A041-9B48-8803-6571BBD08613}" name="N" totalsRowLabel="Total" dataDxfId="132" totalsRowDxfId="131"/>
    <tableColumn id="2" xr3:uid="{48A7B4F8-9AE8-0E4D-B727-DE4BB678A93C}" name="Noms et Prenoms" dataDxfId="130" totalsRowDxfId="129"/>
    <tableColumn id="3" xr3:uid="{4EDEFD30-B635-B749-8637-DD4E58320F90}" name="Dates et lieu de naissance" dataDxfId="128" totalsRowDxfId="127"/>
    <tableColumn id="4" xr3:uid="{F1607ECE-4D9D-C34A-8338-327E834E266A}" name="M.G" dataDxfId="126" totalsRowDxfId="125"/>
    <tableColumn id="5" xr3:uid="{78D089D3-123E-6C46-BC3F-2621E3280ECE}" name="Observation" totalsRowFunction="count" dataDxfId="124" totalsRowDxfId="1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1103E80-F1A6-5A40-A472-0B10268EB4AE}" name="Table14" displayName="Table14" ref="A197:E224" totalsRowCount="1" headerRowDxfId="122" dataDxfId="120" headerRowBorderDxfId="121" tableBorderDxfId="119" totalsRowBorderDxfId="118">
  <autoFilter ref="A197:E223" xr:uid="{B1103E80-F1A6-5A40-A472-0B10268EB4AE}"/>
  <tableColumns count="5">
    <tableColumn id="1" xr3:uid="{2CC77238-61B8-F14B-B08B-89CCF3C2BAB3}" name="N" totalsRowFunction="count" dataDxfId="117" totalsRowDxfId="116"/>
    <tableColumn id="2" xr3:uid="{F3D0055E-93B4-5343-B90A-2FFB13E0B59C}" name="Noms et Prenoms" dataDxfId="115" totalsRowDxfId="114"/>
    <tableColumn id="3" xr3:uid="{BF7E7105-982A-8349-AA9B-131194A6277B}" name="Dates et lieu de naissance" dataDxfId="113" totalsRowDxfId="112"/>
    <tableColumn id="4" xr3:uid="{8256AA3D-74AB-4E4A-B0C0-BB4C495C8538}" name="M.G" dataDxfId="111" totalsRowDxfId="110"/>
    <tableColumn id="5" xr3:uid="{EE8496DC-1998-0C46-A642-88BC18285BE7}" name="Observation" totalsRowFunction="count" dataDxfId="109" totalsRowDxfId="1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1B3276B-788D-0243-986C-4FBE9A7F669B}" name="Table15" displayName="Table15" ref="A226:E237" totalsRowCount="1" headerRowDxfId="107" dataDxfId="105" headerRowBorderDxfId="106" tableBorderDxfId="104" totalsRowBorderDxfId="103">
  <autoFilter ref="A226:E236" xr:uid="{C1B3276B-788D-0243-986C-4FBE9A7F669B}"/>
  <tableColumns count="5">
    <tableColumn id="1" xr3:uid="{038C2373-2F3A-CC4C-91F3-E08212D227A0}" name="N" totalsRowLabel="Total" dataDxfId="102" totalsRowDxfId="101"/>
    <tableColumn id="2" xr3:uid="{3E297714-174D-C544-B5C1-0638D160DF09}" name="Noms et Prenoms" dataDxfId="100" totalsRowDxfId="99"/>
    <tableColumn id="3" xr3:uid="{45758BC1-B1EB-4344-81C1-B006D0C8EA9F}" name="Dates et lieu de naissance" dataDxfId="98" totalsRowDxfId="97"/>
    <tableColumn id="4" xr3:uid="{F1157F28-D928-5241-AABD-8AF3F03609CB}" name="M.G" dataDxfId="96" totalsRowDxfId="95"/>
    <tableColumn id="5" xr3:uid="{3E488F4A-A837-EC4C-B8FA-66E2A0D6F4E5}" name="Observation" totalsRowFunction="count" dataDxfId="94" totalsRowDxfId="9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32A24F5-76B2-9644-B0DC-628437CA66BD}" name="Table16" displayName="Table16" ref="A239:E272" totalsRowCount="1" headerRowDxfId="92" dataDxfId="90" headerRowBorderDxfId="91" tableBorderDxfId="89" totalsRowBorderDxfId="88">
  <autoFilter ref="A239:E271" xr:uid="{432A24F5-76B2-9644-B0DC-628437CA66BD}"/>
  <tableColumns count="5">
    <tableColumn id="1" xr3:uid="{F5AAB8F2-23CD-774B-9A66-26C68357D43E}" name="N" totalsRowLabel="Total" dataDxfId="87" totalsRowDxfId="86"/>
    <tableColumn id="2" xr3:uid="{745DA1C6-9B28-CE47-95D2-A86595DF3C05}" name="Noms et Prenoms" dataDxfId="85" totalsRowDxfId="84"/>
    <tableColumn id="3" xr3:uid="{13AF1BEF-C63B-D84E-A958-2EAABD2FE7D8}" name="Dates et lieu de naissance" dataDxfId="83" totalsRowDxfId="82"/>
    <tableColumn id="4" xr3:uid="{FB89A4D1-16C3-1341-AC47-240D79E89524}" name="M.G" dataDxfId="81" totalsRowDxfId="80"/>
    <tableColumn id="5" xr3:uid="{BF69575F-D42C-B543-A626-B8E7A0094C4D}" name="Observation" totalsRowFunction="count" dataDxfId="79" totalsRowDxfId="7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AB48978-A29D-D04D-BF87-74CC2B55D0EA}" name="Table17" displayName="Table17" ref="A274:E308" totalsRowCount="1" headerRowDxfId="77" dataDxfId="75" headerRowBorderDxfId="76" tableBorderDxfId="74" totalsRowBorderDxfId="73">
  <autoFilter ref="A274:E307" xr:uid="{0AB48978-A29D-D04D-BF87-74CC2B55D0EA}"/>
  <tableColumns count="5">
    <tableColumn id="1" xr3:uid="{FD3ECF5C-6D4F-2441-8DF7-9E9D1D10D1EF}" name="N" totalsRowLabel="Total" dataDxfId="72" totalsRowDxfId="71"/>
    <tableColumn id="2" xr3:uid="{461445DD-65B4-794B-AC3B-5E4F39318009}" name="Noms et Prenoms" dataDxfId="70" totalsRowDxfId="69"/>
    <tableColumn id="3" xr3:uid="{AF09AC06-E702-B649-886C-888C8812C187}" name="Dates et lieu de naissance" dataDxfId="68" totalsRowDxfId="67"/>
    <tableColumn id="4" xr3:uid="{7DB94C5C-A64C-1D49-8BC2-4B0ECF6B8C22}" name="M.G" dataDxfId="66" totalsRowDxfId="65"/>
    <tableColumn id="5" xr3:uid="{51D44D12-DB85-3641-AFE3-F5FF1DB948DA}" name="Observation" totalsRowFunction="count" dataDxfId="64" totalsRowDxfId="6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2AE8945-5810-E94A-BCE1-E5ACA2F7093D}" name="Table18" displayName="Table18" ref="A9:F283" totalsRowCount="1" headerRowDxfId="62" dataDxfId="61" tableBorderDxfId="60">
  <autoFilter ref="A9:F282" xr:uid="{E2AE8945-5810-E94A-BCE1-E5ACA2F7093D}"/>
  <tableColumns count="6">
    <tableColumn id="1" xr3:uid="{8BABFE4C-2CA0-5240-AB31-726960665042}" name="N°" totalsRowFunction="count" dataDxfId="59" totalsRowDxfId="58">
      <calculatedColumnFormula>A9+1</calculatedColumnFormula>
    </tableColumn>
    <tableColumn id="2" xr3:uid="{F02739CB-EDEC-8247-A9FE-6CF1E8F26348}" name="Ecoles" dataDxfId="57" totalsRowDxfId="56"/>
    <tableColumn id="3" xr3:uid="{550899A1-4B28-2C4C-9AEF-2D0541185458}" name="Noms et Prenoms" dataDxfId="55" totalsRowDxfId="54"/>
    <tableColumn id="4" xr3:uid="{CE23F136-6729-3A4E-B6A9-ABEBE8C96732}" name="Moyenne Annuelle" dataDxfId="53" totalsRowDxfId="52"/>
    <tableColumn id="5" xr3:uid="{7AA92F61-4880-2D41-986B-1FEFBC399DA0}" name="Moyenne CFEPD" dataDxfId="51" totalsRowDxfId="50"/>
    <tableColumn id="6" xr3:uid="{11B25A3B-F617-5B49-BE7F-D86865131A4C}" name="Lieu d'orientation" dataDxfId="49" totalsRowDxfId="4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F28F1A5-A2F0-4740-A6AC-115D56785274}" name="Table13" displayName="Table13" ref="A3:J12" totalsRowCount="1" headerRowDxfId="47" dataDxfId="46" totalsRowDxfId="44" tableBorderDxfId="45" dataCellStyle="Percent">
  <autoFilter ref="A3:J11" xr:uid="{AF28F1A5-A2F0-4740-A6AC-115D56785274}"/>
  <tableColumns count="10">
    <tableColumn id="1" xr3:uid="{4595DF8F-3E95-4B4A-A9EE-97BEC12D7684}" name="Ecole" totalsRowLabel="Total" dataDxfId="43" totalsRowDxfId="42"/>
    <tableColumn id="2" xr3:uid="{3BD927DE-450A-5147-9CBD-2F1BF3CD51E4}" name="Insrites" totalsRowFunction="sum" dataDxfId="41" totalsRowDxfId="40"/>
    <tableColumn id="3" xr3:uid="{C7EE3E79-4DFE-D046-83EC-A0DBC0C265D4}" name="Abandonee #" totalsRowFunction="sum" dataDxfId="39" totalsRowDxfId="38"/>
    <tableColumn id="4" xr3:uid="{DD22DD55-08A4-CD42-A78E-4776612EF430}" name="Presentes" totalsRowFunction="sum" dataDxfId="37" totalsRowDxfId="36">
      <calculatedColumnFormula>Table13[[#This Row],[Insrites]]-Table13[[#This Row],[Abandonee '#]]</calculatedColumnFormula>
    </tableColumn>
    <tableColumn id="5" xr3:uid="{E446BC44-2492-2143-8E85-3EE3570792D7}" name="Admises #" totalsRowFunction="sum" dataDxfId="35" totalsRowDxfId="34"/>
    <tableColumn id="6" xr3:uid="{C371591E-4166-0645-9AE4-DB00C740ACBA}" name="Non Admise #" totalsRowFunction="sum" dataDxfId="33" totalsRowDxfId="32"/>
    <tableColumn id="7" xr3:uid="{DAEBCDF4-FFEA-3B46-BB47-938F51618ED7}" name="Abandonee %" totalsRowFunction="custom" dataDxfId="31" totalsRowDxfId="30" dataCellStyle="Percent" totalsRowCellStyle="Percent">
      <totalsRowFormula>Table13[[#Totals],[Abandonee '#]]/Table13[[#Totals],[Insrites]]</totalsRowFormula>
    </tableColumn>
    <tableColumn id="8" xr3:uid="{06216ABC-6FEF-4342-A944-546FEE35914D}" name="Admises %" totalsRowFunction="custom" dataDxfId="29" totalsRowDxfId="28" dataCellStyle="Percent" totalsRowCellStyle="Percent">
      <totalsRowFormula>Table13[[#Totals],[Admises '#]]/Table13[[#Totals],[Presentes]]</totalsRowFormula>
    </tableColumn>
    <tableColumn id="9" xr3:uid="{75CABD10-D50B-E04E-91E8-1FF84C48EFF8}" name="Non Admise %" totalsRowFunction="custom" dataDxfId="27" totalsRowDxfId="26" dataCellStyle="Percent" totalsRowCellStyle="Percent">
      <totalsRowFormula>Table13[[#Totals],[Non Admise '#]]/Table13[[#Totals],[Presentes]]</totalsRowFormula>
    </tableColumn>
    <tableColumn id="10" xr3:uid="{FA8A1D36-5CD3-E246-9313-0019E77B9FF0}" name="Comments" dataDxfId="25" totalsRowDxfId="2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C31A6AB-2DBD-704F-B220-1D1F4E9CF39C}" name="Table19" displayName="Table19" ref="A15:J25" totalsRowCount="1" headerRowDxfId="23" dataDxfId="22" totalsRowDxfId="20" tableBorderDxfId="21" dataCellStyle="Percent">
  <autoFilter ref="A15:J24" xr:uid="{DC31A6AB-2DBD-704F-B220-1D1F4E9CF39C}"/>
  <tableColumns count="10">
    <tableColumn id="1" xr3:uid="{6AA442E0-5270-EF4B-BFFB-E3476E8FDB95}" name="Ecole" totalsRowLabel="Total" dataDxfId="19" totalsRowDxfId="18"/>
    <tableColumn id="2" xr3:uid="{0FFAC426-05F8-BF4E-9255-ABAC970FC908}" name="Insrites" totalsRowFunction="sum" dataDxfId="17" totalsRowDxfId="16"/>
    <tableColumn id="3" xr3:uid="{38044E60-87E0-D34C-9D5C-5B9FD4A19853}" name="Abandonee #" totalsRowFunction="sum" dataDxfId="15" totalsRowDxfId="14"/>
    <tableColumn id="4" xr3:uid="{574B17CD-A09D-AB46-98DD-36EBCC48E5FE}" name="Presentes #" totalsRowFunction="sum" dataDxfId="13" totalsRowDxfId="12"/>
    <tableColumn id="5" xr3:uid="{11C75000-9009-F94D-9580-ABC79F416842}" name="Admises #" totalsRowFunction="sum" dataDxfId="11" totalsRowDxfId="10"/>
    <tableColumn id="6" xr3:uid="{CCAFE76C-969C-F241-AE6B-14EFC80B57CE}" name="Non Admise #" totalsRowFunction="sum" dataDxfId="9" totalsRowDxfId="8"/>
    <tableColumn id="7" xr3:uid="{583A94E0-7F7F-DA43-B8AC-41B2F7FCABCB}" name="Abandonee %" totalsRowFunction="custom" dataDxfId="7" totalsRowDxfId="6" dataCellStyle="Percent" totalsRowCellStyle="Percent">
      <totalsRowFormula>Table19[[#Totals],[Abandonee '#]]/Table19[[#Totals],[Insrites]]</totalsRowFormula>
    </tableColumn>
    <tableColumn id="8" xr3:uid="{AACD7A96-AB0C-114E-8CF1-C365DCC8B0B0}" name="Admises %" totalsRowFunction="custom" dataDxfId="5" totalsRowDxfId="4" dataCellStyle="Percent" totalsRowCellStyle="Percent">
      <totalsRowFormula>Table19[[#Totals],[Admises '#]]/Table19[[#Totals],[Presentes '#]]</totalsRowFormula>
    </tableColumn>
    <tableColumn id="9" xr3:uid="{4D8E3E0F-6619-1C44-A49B-BB1AFD5A37B5}" name="Non Admise %" totalsRowFunction="custom" dataDxfId="3" totalsRowDxfId="2" dataCellStyle="Percent" totalsRowCellStyle="Percent">
      <totalsRowFormula>Table19[[#Totals],[Non Admise '#]]/Table19[[#Totals],[Presentes '#]]</totalsRowFormula>
    </tableColumn>
    <tableColumn id="10" xr3:uid="{5A7250B8-2EC3-6B4C-BC9E-15160B7024BB}" name="Comments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8"/>
  <sheetViews>
    <sheetView tabSelected="1" workbookViewId="0">
      <selection activeCell="E101" sqref="E101"/>
    </sheetView>
  </sheetViews>
  <sheetFormatPr defaultColWidth="10.90625" defaultRowHeight="14.5" x14ac:dyDescent="0.35"/>
  <cols>
    <col min="1" max="1" width="21.81640625" style="6" customWidth="1"/>
    <col min="2" max="2" width="28.36328125" customWidth="1"/>
    <col min="3" max="3" width="25.453125" customWidth="1"/>
    <col min="4" max="4" width="10.81640625" style="6"/>
    <col min="5" max="5" width="13.453125" style="6" customWidth="1"/>
  </cols>
  <sheetData>
    <row r="1" spans="1:6" ht="15.5" x14ac:dyDescent="0.35">
      <c r="B1" s="8" t="s">
        <v>297</v>
      </c>
    </row>
    <row r="2" spans="1:6" ht="15.5" x14ac:dyDescent="0.35">
      <c r="B2" s="8" t="s">
        <v>298</v>
      </c>
    </row>
    <row r="3" spans="1:6" ht="15.5" x14ac:dyDescent="0.35">
      <c r="B3" s="8" t="s">
        <v>299</v>
      </c>
      <c r="C3" s="7" t="s">
        <v>300</v>
      </c>
      <c r="D3" s="8"/>
      <c r="E3" s="8"/>
    </row>
    <row r="4" spans="1:6" x14ac:dyDescent="0.35">
      <c r="C4" s="4"/>
      <c r="D4" s="5"/>
      <c r="E4" s="5"/>
    </row>
    <row r="5" spans="1:6" ht="15.5" x14ac:dyDescent="0.35">
      <c r="A5" s="12" t="s">
        <v>315</v>
      </c>
      <c r="B5" s="13" t="s">
        <v>622</v>
      </c>
      <c r="C5" s="13" t="s">
        <v>623</v>
      </c>
      <c r="D5" s="13" t="s">
        <v>624</v>
      </c>
      <c r="E5" s="14" t="s">
        <v>625</v>
      </c>
      <c r="F5" t="s">
        <v>673</v>
      </c>
    </row>
    <row r="6" spans="1:6" ht="15.5" x14ac:dyDescent="0.35">
      <c r="A6" s="36" t="s">
        <v>301</v>
      </c>
      <c r="B6" s="36" t="s">
        <v>12</v>
      </c>
      <c r="C6" s="36" t="s">
        <v>302</v>
      </c>
      <c r="D6" s="36" t="s">
        <v>305</v>
      </c>
      <c r="E6" s="36" t="s">
        <v>303</v>
      </c>
      <c r="F6" s="4"/>
    </row>
    <row r="7" spans="1:6" ht="15.5" x14ac:dyDescent="0.35">
      <c r="A7" s="18">
        <v>1</v>
      </c>
      <c r="B7" s="17" t="s">
        <v>306</v>
      </c>
      <c r="C7" s="17" t="s">
        <v>307</v>
      </c>
      <c r="D7" s="18">
        <v>8.66</v>
      </c>
      <c r="E7" s="18" t="s">
        <v>304</v>
      </c>
    </row>
    <row r="8" spans="1:6" ht="15.5" x14ac:dyDescent="0.35">
      <c r="A8" s="18">
        <v>2</v>
      </c>
      <c r="B8" s="17" t="s">
        <v>308</v>
      </c>
      <c r="C8" s="17" t="s">
        <v>309</v>
      </c>
      <c r="D8" s="18">
        <v>8.4499999999999993</v>
      </c>
      <c r="E8" s="18" t="s">
        <v>304</v>
      </c>
    </row>
    <row r="9" spans="1:6" ht="15.5" x14ac:dyDescent="0.35">
      <c r="A9" s="18">
        <v>3</v>
      </c>
      <c r="B9" s="17" t="s">
        <v>310</v>
      </c>
      <c r="C9" s="17" t="s">
        <v>309</v>
      </c>
      <c r="D9" s="18">
        <v>7.4</v>
      </c>
      <c r="E9" s="18" t="s">
        <v>304</v>
      </c>
    </row>
    <row r="10" spans="1:6" ht="15.5" x14ac:dyDescent="0.35">
      <c r="A10" s="18">
        <v>4</v>
      </c>
      <c r="B10" s="17" t="s">
        <v>311</v>
      </c>
      <c r="C10" s="17" t="s">
        <v>312</v>
      </c>
      <c r="D10" s="18">
        <v>7.37</v>
      </c>
      <c r="E10" s="18" t="s">
        <v>304</v>
      </c>
    </row>
    <row r="11" spans="1:6" ht="15.5" x14ac:dyDescent="0.35">
      <c r="A11" s="18">
        <v>5</v>
      </c>
      <c r="B11" s="17" t="s">
        <v>313</v>
      </c>
      <c r="C11" s="17" t="s">
        <v>314</v>
      </c>
      <c r="D11" s="18">
        <v>6.82</v>
      </c>
      <c r="E11" s="18" t="s">
        <v>304</v>
      </c>
    </row>
    <row r="12" spans="1:6" ht="15.5" x14ac:dyDescent="0.35">
      <c r="A12" s="18">
        <v>6</v>
      </c>
      <c r="B12" s="17" t="s">
        <v>316</v>
      </c>
      <c r="C12" s="17" t="s">
        <v>309</v>
      </c>
      <c r="D12" s="18">
        <v>6.18</v>
      </c>
      <c r="E12" s="18" t="s">
        <v>304</v>
      </c>
    </row>
    <row r="13" spans="1:6" ht="15.5" x14ac:dyDescent="0.35">
      <c r="A13" s="18">
        <v>7</v>
      </c>
      <c r="B13" s="17" t="s">
        <v>317</v>
      </c>
      <c r="C13" s="17" t="s">
        <v>309</v>
      </c>
      <c r="D13" s="18">
        <v>6.15</v>
      </c>
      <c r="E13" s="18" t="s">
        <v>304</v>
      </c>
    </row>
    <row r="14" spans="1:6" ht="15.5" x14ac:dyDescent="0.35">
      <c r="A14" s="18">
        <v>8</v>
      </c>
      <c r="B14" s="17" t="s">
        <v>318</v>
      </c>
      <c r="C14" s="17" t="s">
        <v>309</v>
      </c>
      <c r="D14" s="18">
        <v>6.03</v>
      </c>
      <c r="E14" s="18" t="s">
        <v>304</v>
      </c>
    </row>
    <row r="15" spans="1:6" ht="15.5" x14ac:dyDescent="0.35">
      <c r="A15" s="18">
        <v>9</v>
      </c>
      <c r="B15" s="17" t="s">
        <v>319</v>
      </c>
      <c r="C15" s="17" t="s">
        <v>320</v>
      </c>
      <c r="D15" s="18">
        <v>5.98</v>
      </c>
      <c r="E15" s="18" t="s">
        <v>304</v>
      </c>
    </row>
    <row r="16" spans="1:6" ht="15.5" x14ac:dyDescent="0.35">
      <c r="A16" s="18">
        <v>10</v>
      </c>
      <c r="B16" s="17" t="s">
        <v>321</v>
      </c>
      <c r="C16" s="17" t="s">
        <v>309</v>
      </c>
      <c r="D16" s="18">
        <v>5.92</v>
      </c>
      <c r="E16" s="18" t="s">
        <v>304</v>
      </c>
    </row>
    <row r="17" spans="1:5" ht="15.5" x14ac:dyDescent="0.35">
      <c r="A17" s="18">
        <v>11</v>
      </c>
      <c r="B17" s="17" t="s">
        <v>322</v>
      </c>
      <c r="C17" s="17" t="s">
        <v>309</v>
      </c>
      <c r="D17" s="18">
        <v>5.34</v>
      </c>
      <c r="E17" s="18" t="s">
        <v>304</v>
      </c>
    </row>
    <row r="18" spans="1:5" ht="15.5" x14ac:dyDescent="0.35">
      <c r="A18" s="18">
        <v>12</v>
      </c>
      <c r="B18" s="17" t="s">
        <v>323</v>
      </c>
      <c r="C18" s="17" t="s">
        <v>324</v>
      </c>
      <c r="D18" s="18">
        <v>4.83</v>
      </c>
      <c r="E18" s="18" t="s">
        <v>304</v>
      </c>
    </row>
    <row r="19" spans="1:5" ht="15.5" x14ac:dyDescent="0.35">
      <c r="A19" s="18">
        <v>13</v>
      </c>
      <c r="B19" s="17" t="s">
        <v>325</v>
      </c>
      <c r="C19" s="17" t="s">
        <v>309</v>
      </c>
      <c r="D19" s="18">
        <v>4.8</v>
      </c>
      <c r="E19" s="18" t="s">
        <v>304</v>
      </c>
    </row>
    <row r="20" spans="1:5" ht="15.5" x14ac:dyDescent="0.35">
      <c r="A20" s="18">
        <v>14</v>
      </c>
      <c r="B20" s="17" t="s">
        <v>326</v>
      </c>
      <c r="C20" s="17" t="s">
        <v>327</v>
      </c>
      <c r="D20" s="18">
        <v>4.71</v>
      </c>
      <c r="E20" s="18" t="s">
        <v>304</v>
      </c>
    </row>
    <row r="21" spans="1:5" ht="15.5" x14ac:dyDescent="0.35">
      <c r="A21" s="18">
        <v>15</v>
      </c>
      <c r="B21" s="17" t="s">
        <v>328</v>
      </c>
      <c r="C21" s="17" t="s">
        <v>309</v>
      </c>
      <c r="D21" s="18">
        <v>4.01</v>
      </c>
      <c r="E21" s="18" t="s">
        <v>390</v>
      </c>
    </row>
    <row r="22" spans="1:5" ht="15.5" x14ac:dyDescent="0.35">
      <c r="A22" s="18">
        <v>16</v>
      </c>
      <c r="B22" s="17" t="s">
        <v>329</v>
      </c>
      <c r="C22" s="17" t="s">
        <v>330</v>
      </c>
      <c r="D22" s="18">
        <v>3.84</v>
      </c>
      <c r="E22" s="18" t="s">
        <v>390</v>
      </c>
    </row>
    <row r="23" spans="1:5" ht="15.5" x14ac:dyDescent="0.35">
      <c r="A23" s="18">
        <v>17</v>
      </c>
      <c r="B23" s="17" t="s">
        <v>331</v>
      </c>
      <c r="C23" s="17" t="s">
        <v>332</v>
      </c>
      <c r="D23" s="18">
        <v>3.76</v>
      </c>
      <c r="E23" s="18" t="s">
        <v>390</v>
      </c>
    </row>
    <row r="24" spans="1:5" ht="15.5" x14ac:dyDescent="0.35">
      <c r="A24" s="18">
        <v>18</v>
      </c>
      <c r="B24" s="17" t="s">
        <v>333</v>
      </c>
      <c r="C24" s="17" t="s">
        <v>309</v>
      </c>
      <c r="D24" s="18">
        <v>3.39</v>
      </c>
      <c r="E24" s="18" t="s">
        <v>390</v>
      </c>
    </row>
    <row r="25" spans="1:5" ht="15.5" x14ac:dyDescent="0.35">
      <c r="A25" s="18">
        <v>19</v>
      </c>
      <c r="B25" s="17" t="s">
        <v>334</v>
      </c>
      <c r="C25" s="17" t="s">
        <v>309</v>
      </c>
      <c r="D25" s="18">
        <v>3.33</v>
      </c>
      <c r="E25" s="18" t="s">
        <v>390</v>
      </c>
    </row>
    <row r="26" spans="1:5" ht="15.5" x14ac:dyDescent="0.35">
      <c r="A26" s="18">
        <v>20</v>
      </c>
      <c r="B26" s="17" t="s">
        <v>335</v>
      </c>
      <c r="C26" s="17" t="s">
        <v>309</v>
      </c>
      <c r="D26" s="18">
        <v>3.14</v>
      </c>
      <c r="E26" s="18" t="s">
        <v>390</v>
      </c>
    </row>
    <row r="27" spans="1:5" ht="15.5" x14ac:dyDescent="0.35">
      <c r="A27" s="18">
        <v>21</v>
      </c>
      <c r="B27" s="17" t="s">
        <v>336</v>
      </c>
      <c r="C27" s="17" t="s">
        <v>309</v>
      </c>
      <c r="D27" s="18">
        <v>3.47</v>
      </c>
      <c r="E27" s="18" t="s">
        <v>390</v>
      </c>
    </row>
    <row r="28" spans="1:5" ht="15.5" x14ac:dyDescent="0.35">
      <c r="A28" s="18">
        <v>22</v>
      </c>
      <c r="B28" s="17" t="s">
        <v>337</v>
      </c>
      <c r="C28" s="17" t="s">
        <v>309</v>
      </c>
      <c r="D28" s="18">
        <v>3.08</v>
      </c>
      <c r="E28" s="18" t="s">
        <v>390</v>
      </c>
    </row>
    <row r="29" spans="1:5" ht="15.5" x14ac:dyDescent="0.35">
      <c r="A29" s="18">
        <v>23</v>
      </c>
      <c r="B29" s="17" t="s">
        <v>338</v>
      </c>
      <c r="C29" s="17" t="s">
        <v>339</v>
      </c>
      <c r="D29" s="18">
        <v>4.84</v>
      </c>
      <c r="E29" s="18" t="s">
        <v>340</v>
      </c>
    </row>
    <row r="30" spans="1:5" ht="15.5" x14ac:dyDescent="0.35">
      <c r="A30" s="18">
        <v>24</v>
      </c>
      <c r="B30" s="17" t="s">
        <v>341</v>
      </c>
      <c r="C30" s="17" t="s">
        <v>309</v>
      </c>
      <c r="D30" s="18">
        <v>5.72</v>
      </c>
      <c r="E30" s="18" t="s">
        <v>304</v>
      </c>
    </row>
    <row r="31" spans="1:5" ht="15.5" x14ac:dyDescent="0.35">
      <c r="A31" s="18">
        <v>25</v>
      </c>
      <c r="B31" s="17" t="s">
        <v>343</v>
      </c>
      <c r="C31" s="17" t="s">
        <v>309</v>
      </c>
      <c r="D31" s="18">
        <v>2.77</v>
      </c>
      <c r="E31" s="18" t="s">
        <v>390</v>
      </c>
    </row>
    <row r="32" spans="1:5" ht="15.5" x14ac:dyDescent="0.35">
      <c r="A32" s="18">
        <v>26</v>
      </c>
      <c r="B32" s="17" t="s">
        <v>342</v>
      </c>
      <c r="C32" s="17" t="s">
        <v>309</v>
      </c>
      <c r="D32" s="18">
        <v>4.3600000000000003</v>
      </c>
      <c r="E32" s="18" t="s">
        <v>304</v>
      </c>
    </row>
    <row r="33" spans="1:5" ht="15.5" x14ac:dyDescent="0.35">
      <c r="A33" s="18">
        <v>27</v>
      </c>
      <c r="B33" s="17" t="s">
        <v>344</v>
      </c>
      <c r="C33" s="17" t="s">
        <v>345</v>
      </c>
      <c r="D33" s="18">
        <v>5.79</v>
      </c>
      <c r="E33" s="18" t="s">
        <v>304</v>
      </c>
    </row>
    <row r="34" spans="1:5" ht="15.5" x14ac:dyDescent="0.35">
      <c r="A34" s="18">
        <v>28</v>
      </c>
      <c r="B34" s="17" t="s">
        <v>346</v>
      </c>
      <c r="C34" s="17" t="s">
        <v>309</v>
      </c>
      <c r="D34" s="18">
        <v>2.72</v>
      </c>
      <c r="E34" s="18" t="s">
        <v>390</v>
      </c>
    </row>
    <row r="35" spans="1:5" ht="15.5" x14ac:dyDescent="0.35">
      <c r="A35" s="18">
        <v>29</v>
      </c>
      <c r="B35" s="17" t="s">
        <v>347</v>
      </c>
      <c r="C35" s="17" t="s">
        <v>348</v>
      </c>
      <c r="D35" s="18">
        <v>3.59</v>
      </c>
      <c r="E35" s="18" t="s">
        <v>390</v>
      </c>
    </row>
    <row r="36" spans="1:5" ht="15.5" x14ac:dyDescent="0.35">
      <c r="A36" s="18">
        <v>30</v>
      </c>
      <c r="B36" s="17" t="s">
        <v>349</v>
      </c>
      <c r="C36" s="17" t="s">
        <v>309</v>
      </c>
      <c r="D36" s="18">
        <v>3.21</v>
      </c>
      <c r="E36" s="18" t="s">
        <v>390</v>
      </c>
    </row>
    <row r="37" spans="1:5" ht="15.5" x14ac:dyDescent="0.35">
      <c r="A37" s="18">
        <v>31</v>
      </c>
      <c r="B37" s="17" t="s">
        <v>350</v>
      </c>
      <c r="C37" s="17" t="s">
        <v>309</v>
      </c>
      <c r="D37" s="18">
        <v>1.79</v>
      </c>
      <c r="E37" s="18" t="s">
        <v>390</v>
      </c>
    </row>
    <row r="38" spans="1:5" ht="15.5" x14ac:dyDescent="0.35">
      <c r="A38" s="18">
        <v>32</v>
      </c>
      <c r="B38" s="17" t="s">
        <v>351</v>
      </c>
      <c r="C38" s="17" t="s">
        <v>309</v>
      </c>
      <c r="D38" s="18">
        <v>1.68</v>
      </c>
      <c r="E38" s="18" t="s">
        <v>390</v>
      </c>
    </row>
    <row r="39" spans="1:5" ht="15.5" x14ac:dyDescent="0.35">
      <c r="A39" s="18">
        <v>33</v>
      </c>
      <c r="B39" s="17" t="s">
        <v>352</v>
      </c>
      <c r="C39" s="17" t="s">
        <v>353</v>
      </c>
      <c r="D39" s="18">
        <v>2.65</v>
      </c>
      <c r="E39" s="18" t="s">
        <v>390</v>
      </c>
    </row>
    <row r="40" spans="1:5" ht="15.5" x14ac:dyDescent="0.35">
      <c r="A40" s="18">
        <v>34</v>
      </c>
      <c r="B40" s="17" t="s">
        <v>354</v>
      </c>
      <c r="C40" s="17" t="s">
        <v>309</v>
      </c>
      <c r="D40" s="18">
        <v>0.78</v>
      </c>
      <c r="E40" s="18" t="s">
        <v>390</v>
      </c>
    </row>
    <row r="41" spans="1:5" ht="15.5" x14ac:dyDescent="0.35">
      <c r="A41" s="18">
        <v>35</v>
      </c>
      <c r="B41" s="17" t="s">
        <v>355</v>
      </c>
      <c r="C41" s="17" t="s">
        <v>309</v>
      </c>
      <c r="D41" s="18">
        <v>1.76</v>
      </c>
      <c r="E41" s="18" t="s">
        <v>390</v>
      </c>
    </row>
    <row r="42" spans="1:5" ht="15.5" x14ac:dyDescent="0.35">
      <c r="A42" s="18">
        <v>36</v>
      </c>
      <c r="B42" s="17" t="s">
        <v>356</v>
      </c>
      <c r="C42" s="17" t="s">
        <v>357</v>
      </c>
      <c r="D42" s="18">
        <v>3.45</v>
      </c>
      <c r="E42" s="18" t="s">
        <v>390</v>
      </c>
    </row>
    <row r="43" spans="1:5" ht="15.5" x14ac:dyDescent="0.35">
      <c r="A43" s="18">
        <v>37</v>
      </c>
      <c r="B43" s="17" t="s">
        <v>358</v>
      </c>
      <c r="C43" s="17" t="s">
        <v>359</v>
      </c>
      <c r="D43" s="18">
        <v>2.35</v>
      </c>
      <c r="E43" s="18" t="s">
        <v>390</v>
      </c>
    </row>
    <row r="44" spans="1:5" ht="15.5" x14ac:dyDescent="0.35">
      <c r="A44" s="18">
        <v>38</v>
      </c>
      <c r="B44" s="17" t="s">
        <v>360</v>
      </c>
      <c r="C44" s="17" t="s">
        <v>309</v>
      </c>
      <c r="D44" s="18">
        <v>2.33</v>
      </c>
      <c r="E44" s="18" t="s">
        <v>390</v>
      </c>
    </row>
    <row r="45" spans="1:5" ht="15.5" x14ac:dyDescent="0.35">
      <c r="A45" s="18">
        <v>39</v>
      </c>
      <c r="B45" s="17" t="s">
        <v>361</v>
      </c>
      <c r="C45" s="17" t="s">
        <v>309</v>
      </c>
      <c r="D45" s="18">
        <v>1.1599999999999999</v>
      </c>
      <c r="E45" s="18" t="s">
        <v>390</v>
      </c>
    </row>
    <row r="46" spans="1:5" ht="15.5" x14ac:dyDescent="0.35">
      <c r="A46" s="40">
        <f>SUBTOTAL(103,Table7[N])</f>
        <v>39</v>
      </c>
      <c r="B46" s="41"/>
      <c r="C46" s="41"/>
      <c r="D46" s="40"/>
      <c r="E46" s="40">
        <f>SUBTOTAL(103,Table7[Observation])</f>
        <v>39</v>
      </c>
    </row>
    <row r="47" spans="1:5" ht="15.5" x14ac:dyDescent="0.35">
      <c r="A47" s="37"/>
      <c r="B47" s="38" t="s">
        <v>362</v>
      </c>
      <c r="C47" s="38"/>
      <c r="D47" s="38"/>
      <c r="E47" s="39"/>
    </row>
    <row r="48" spans="1:5" ht="15.5" x14ac:dyDescent="0.35">
      <c r="A48" s="48" t="s">
        <v>301</v>
      </c>
      <c r="B48" s="48" t="s">
        <v>12</v>
      </c>
      <c r="C48" s="48" t="s">
        <v>302</v>
      </c>
      <c r="D48" s="48" t="s">
        <v>305</v>
      </c>
      <c r="E48" s="48" t="s">
        <v>303</v>
      </c>
    </row>
    <row r="49" spans="1:5" ht="15.5" x14ac:dyDescent="0.35">
      <c r="A49" s="16">
        <v>1</v>
      </c>
      <c r="B49" s="15" t="s">
        <v>363</v>
      </c>
      <c r="C49" s="15" t="s">
        <v>332</v>
      </c>
      <c r="D49" s="16">
        <v>8.0399999999999991</v>
      </c>
      <c r="E49" s="16" t="s">
        <v>304</v>
      </c>
    </row>
    <row r="50" spans="1:5" ht="15.5" x14ac:dyDescent="0.35">
      <c r="A50" s="18">
        <v>2</v>
      </c>
      <c r="B50" s="17" t="s">
        <v>364</v>
      </c>
      <c r="C50" s="17" t="s">
        <v>365</v>
      </c>
      <c r="D50" s="18">
        <v>7.61</v>
      </c>
      <c r="E50" s="18" t="s">
        <v>304</v>
      </c>
    </row>
    <row r="51" spans="1:5" ht="15.5" x14ac:dyDescent="0.35">
      <c r="A51" s="16">
        <v>3</v>
      </c>
      <c r="B51" s="15" t="s">
        <v>366</v>
      </c>
      <c r="C51" s="15" t="s">
        <v>309</v>
      </c>
      <c r="D51" s="16">
        <v>7.87</v>
      </c>
      <c r="E51" s="16" t="s">
        <v>304</v>
      </c>
    </row>
    <row r="52" spans="1:5" ht="15.5" x14ac:dyDescent="0.35">
      <c r="A52" s="18">
        <v>4</v>
      </c>
      <c r="B52" s="17" t="s">
        <v>367</v>
      </c>
      <c r="C52" s="17" t="s">
        <v>309</v>
      </c>
      <c r="D52" s="18">
        <v>6.69</v>
      </c>
      <c r="E52" s="18" t="s">
        <v>304</v>
      </c>
    </row>
    <row r="53" spans="1:5" ht="15.5" x14ac:dyDescent="0.35">
      <c r="A53" s="16">
        <v>5</v>
      </c>
      <c r="B53" s="15" t="s">
        <v>368</v>
      </c>
      <c r="C53" s="15" t="s">
        <v>309</v>
      </c>
      <c r="D53" s="16">
        <v>6.72</v>
      </c>
      <c r="E53" s="16" t="s">
        <v>304</v>
      </c>
    </row>
    <row r="54" spans="1:5" ht="15.5" x14ac:dyDescent="0.35">
      <c r="A54" s="18">
        <v>6</v>
      </c>
      <c r="B54" s="17" t="s">
        <v>369</v>
      </c>
      <c r="C54" s="17" t="s">
        <v>309</v>
      </c>
      <c r="D54" s="18">
        <v>5.99</v>
      </c>
      <c r="E54" s="18" t="s">
        <v>304</v>
      </c>
    </row>
    <row r="55" spans="1:5" ht="15.5" x14ac:dyDescent="0.35">
      <c r="A55" s="16">
        <v>7</v>
      </c>
      <c r="B55" s="15" t="s">
        <v>370</v>
      </c>
      <c r="C55" s="15" t="s">
        <v>309</v>
      </c>
      <c r="D55" s="16">
        <v>5.85</v>
      </c>
      <c r="E55" s="16" t="s">
        <v>304</v>
      </c>
    </row>
    <row r="56" spans="1:5" ht="15.5" x14ac:dyDescent="0.35">
      <c r="A56" s="18">
        <v>8</v>
      </c>
      <c r="B56" s="17" t="s">
        <v>371</v>
      </c>
      <c r="C56" s="17" t="s">
        <v>332</v>
      </c>
      <c r="D56" s="18">
        <v>5.53</v>
      </c>
      <c r="E56" s="18" t="s">
        <v>304</v>
      </c>
    </row>
    <row r="57" spans="1:5" ht="15.5" x14ac:dyDescent="0.35">
      <c r="A57" s="16">
        <v>9</v>
      </c>
      <c r="B57" s="15" t="s">
        <v>669</v>
      </c>
      <c r="C57" s="15" t="s">
        <v>332</v>
      </c>
      <c r="D57" s="16">
        <v>5.46</v>
      </c>
      <c r="E57" s="16" t="s">
        <v>304</v>
      </c>
    </row>
    <row r="58" spans="1:5" ht="15.5" x14ac:dyDescent="0.35">
      <c r="A58" s="18">
        <v>10</v>
      </c>
      <c r="B58" s="17" t="s">
        <v>372</v>
      </c>
      <c r="C58" s="17" t="s">
        <v>309</v>
      </c>
      <c r="D58" s="18">
        <v>4.59</v>
      </c>
      <c r="E58" s="18" t="s">
        <v>304</v>
      </c>
    </row>
    <row r="59" spans="1:5" ht="15.5" x14ac:dyDescent="0.35">
      <c r="A59" s="16">
        <v>11</v>
      </c>
      <c r="B59" s="15" t="s">
        <v>373</v>
      </c>
      <c r="C59" s="15" t="s">
        <v>309</v>
      </c>
      <c r="D59" s="16">
        <v>4.57</v>
      </c>
      <c r="E59" s="16" t="s">
        <v>304</v>
      </c>
    </row>
    <row r="60" spans="1:5" ht="15.5" x14ac:dyDescent="0.35">
      <c r="A60" s="18">
        <v>12</v>
      </c>
      <c r="B60" s="17" t="s">
        <v>374</v>
      </c>
      <c r="C60" s="17" t="s">
        <v>309</v>
      </c>
      <c r="D60" s="18">
        <v>4.16</v>
      </c>
      <c r="E60" s="18" t="s">
        <v>304</v>
      </c>
    </row>
    <row r="61" spans="1:5" ht="15.5" x14ac:dyDescent="0.35">
      <c r="A61" s="16">
        <v>13</v>
      </c>
      <c r="B61" s="15" t="s">
        <v>375</v>
      </c>
      <c r="C61" s="15" t="s">
        <v>376</v>
      </c>
      <c r="D61" s="16">
        <v>3.42</v>
      </c>
      <c r="E61" s="16" t="s">
        <v>390</v>
      </c>
    </row>
    <row r="62" spans="1:5" ht="15.5" x14ac:dyDescent="0.35">
      <c r="A62" s="18">
        <v>14</v>
      </c>
      <c r="B62" s="17" t="s">
        <v>377</v>
      </c>
      <c r="C62" s="17" t="s">
        <v>309</v>
      </c>
      <c r="D62" s="18">
        <v>3.37</v>
      </c>
      <c r="E62" s="18" t="s">
        <v>390</v>
      </c>
    </row>
    <row r="63" spans="1:5" ht="15.5" x14ac:dyDescent="0.35">
      <c r="A63" s="16">
        <v>15</v>
      </c>
      <c r="B63" s="15" t="s">
        <v>378</v>
      </c>
      <c r="C63" s="15" t="s">
        <v>309</v>
      </c>
      <c r="D63" s="16">
        <v>3.3</v>
      </c>
      <c r="E63" s="16" t="s">
        <v>390</v>
      </c>
    </row>
    <row r="64" spans="1:5" ht="15.5" x14ac:dyDescent="0.35">
      <c r="A64" s="18">
        <v>16</v>
      </c>
      <c r="B64" s="17" t="s">
        <v>379</v>
      </c>
      <c r="C64" s="17" t="s">
        <v>309</v>
      </c>
      <c r="D64" s="18">
        <v>3.06</v>
      </c>
      <c r="E64" s="18" t="s">
        <v>390</v>
      </c>
    </row>
    <row r="65" spans="1:5" ht="15.5" x14ac:dyDescent="0.35">
      <c r="A65" s="16">
        <v>17</v>
      </c>
      <c r="B65" s="15" t="s">
        <v>380</v>
      </c>
      <c r="C65" s="15" t="s">
        <v>309</v>
      </c>
      <c r="D65" s="16">
        <v>2.87</v>
      </c>
      <c r="E65" s="16" t="s">
        <v>390</v>
      </c>
    </row>
    <row r="66" spans="1:5" ht="15.5" x14ac:dyDescent="0.35">
      <c r="A66" s="18">
        <v>18</v>
      </c>
      <c r="B66" s="17" t="s">
        <v>381</v>
      </c>
      <c r="C66" s="17" t="s">
        <v>382</v>
      </c>
      <c r="D66" s="18">
        <v>2.83</v>
      </c>
      <c r="E66" s="18" t="s">
        <v>390</v>
      </c>
    </row>
    <row r="67" spans="1:5" ht="15.5" x14ac:dyDescent="0.35">
      <c r="A67" s="16">
        <v>19</v>
      </c>
      <c r="B67" s="15" t="s">
        <v>383</v>
      </c>
      <c r="C67" s="15" t="s">
        <v>382</v>
      </c>
      <c r="D67" s="16">
        <v>3.41</v>
      </c>
      <c r="E67" s="16" t="s">
        <v>390</v>
      </c>
    </row>
    <row r="68" spans="1:5" ht="15.5" x14ac:dyDescent="0.35">
      <c r="A68" s="18">
        <v>20</v>
      </c>
      <c r="B68" s="17" t="s">
        <v>384</v>
      </c>
      <c r="C68" s="17" t="s">
        <v>385</v>
      </c>
      <c r="D68" s="18">
        <v>3.12</v>
      </c>
      <c r="E68" s="18" t="s">
        <v>390</v>
      </c>
    </row>
    <row r="69" spans="1:5" ht="15.5" x14ac:dyDescent="0.35">
      <c r="A69" s="16">
        <v>21</v>
      </c>
      <c r="B69" s="15" t="s">
        <v>386</v>
      </c>
      <c r="C69" s="15" t="s">
        <v>385</v>
      </c>
      <c r="D69" s="16">
        <v>1.88</v>
      </c>
      <c r="E69" s="16" t="s">
        <v>390</v>
      </c>
    </row>
    <row r="70" spans="1:5" ht="15.5" x14ac:dyDescent="0.35">
      <c r="A70" s="18">
        <v>22</v>
      </c>
      <c r="B70" s="17" t="s">
        <v>387</v>
      </c>
      <c r="C70" s="17" t="s">
        <v>385</v>
      </c>
      <c r="D70" s="18">
        <v>1.05</v>
      </c>
      <c r="E70" s="18" t="s">
        <v>390</v>
      </c>
    </row>
    <row r="71" spans="1:5" ht="15.5" x14ac:dyDescent="0.35">
      <c r="A71" s="16">
        <v>23</v>
      </c>
      <c r="B71" s="15" t="s">
        <v>388</v>
      </c>
      <c r="C71" s="15" t="s">
        <v>385</v>
      </c>
      <c r="D71" s="16">
        <v>1.05</v>
      </c>
      <c r="E71" s="16" t="s">
        <v>390</v>
      </c>
    </row>
    <row r="72" spans="1:5" ht="15.5" x14ac:dyDescent="0.35">
      <c r="A72" s="18">
        <v>24</v>
      </c>
      <c r="B72" s="17" t="s">
        <v>389</v>
      </c>
      <c r="C72" s="17" t="s">
        <v>385</v>
      </c>
      <c r="D72" s="18">
        <v>0</v>
      </c>
      <c r="E72" s="18" t="s">
        <v>392</v>
      </c>
    </row>
    <row r="73" spans="1:5" ht="15.5" x14ac:dyDescent="0.35">
      <c r="A73" s="16">
        <v>25</v>
      </c>
      <c r="B73" s="15" t="s">
        <v>391</v>
      </c>
      <c r="C73" s="15" t="s">
        <v>385</v>
      </c>
      <c r="D73" s="16">
        <v>0</v>
      </c>
      <c r="E73" s="16" t="s">
        <v>392</v>
      </c>
    </row>
    <row r="74" spans="1:5" ht="15.5" x14ac:dyDescent="0.35">
      <c r="A74" s="18">
        <v>26</v>
      </c>
      <c r="B74" s="17" t="s">
        <v>393</v>
      </c>
      <c r="C74" s="17" t="s">
        <v>385</v>
      </c>
      <c r="D74" s="18">
        <v>6.1</v>
      </c>
      <c r="E74" s="18" t="s">
        <v>304</v>
      </c>
    </row>
    <row r="75" spans="1:5" ht="15.5" x14ac:dyDescent="0.35">
      <c r="A75" s="16">
        <v>27</v>
      </c>
      <c r="B75" s="15" t="s">
        <v>394</v>
      </c>
      <c r="C75" s="15" t="s">
        <v>395</v>
      </c>
      <c r="D75" s="16">
        <v>5.6</v>
      </c>
      <c r="E75" s="16" t="s">
        <v>304</v>
      </c>
    </row>
    <row r="76" spans="1:5" ht="15.5" x14ac:dyDescent="0.35">
      <c r="A76" s="18">
        <v>28</v>
      </c>
      <c r="B76" s="17" t="s">
        <v>396</v>
      </c>
      <c r="C76" s="17" t="s">
        <v>309</v>
      </c>
      <c r="D76" s="18">
        <v>6.29</v>
      </c>
      <c r="E76" s="18" t="s">
        <v>304</v>
      </c>
    </row>
    <row r="77" spans="1:5" ht="15.5" x14ac:dyDescent="0.35">
      <c r="A77" s="16">
        <v>29</v>
      </c>
      <c r="B77" s="15" t="s">
        <v>397</v>
      </c>
      <c r="C77" s="15" t="s">
        <v>398</v>
      </c>
      <c r="D77" s="16">
        <v>5.54</v>
      </c>
      <c r="E77" s="16" t="s">
        <v>304</v>
      </c>
    </row>
    <row r="78" spans="1:5" ht="15.5" x14ac:dyDescent="0.35">
      <c r="A78" s="18">
        <v>30</v>
      </c>
      <c r="B78" s="17" t="s">
        <v>399</v>
      </c>
      <c r="C78" s="17" t="s">
        <v>398</v>
      </c>
      <c r="D78" s="18">
        <v>6.39</v>
      </c>
      <c r="E78" s="18" t="s">
        <v>304</v>
      </c>
    </row>
    <row r="79" spans="1:5" ht="15.5" x14ac:dyDescent="0.35">
      <c r="A79" s="16">
        <v>31</v>
      </c>
      <c r="B79" s="15" t="s">
        <v>400</v>
      </c>
      <c r="C79" s="15" t="s">
        <v>401</v>
      </c>
      <c r="D79" s="16">
        <v>5.12</v>
      </c>
      <c r="E79" s="16" t="s">
        <v>304</v>
      </c>
    </row>
    <row r="80" spans="1:5" ht="15.5" x14ac:dyDescent="0.35">
      <c r="A80" s="18">
        <v>32</v>
      </c>
      <c r="B80" s="17" t="s">
        <v>402</v>
      </c>
      <c r="C80" s="17" t="s">
        <v>309</v>
      </c>
      <c r="D80" s="18">
        <v>5.12</v>
      </c>
      <c r="E80" s="18" t="s">
        <v>304</v>
      </c>
    </row>
    <row r="81" spans="1:5" ht="15.5" x14ac:dyDescent="0.35">
      <c r="A81" s="16">
        <v>33</v>
      </c>
      <c r="B81" s="15" t="s">
        <v>403</v>
      </c>
      <c r="C81" s="15" t="s">
        <v>309</v>
      </c>
      <c r="D81" s="16">
        <v>4.84</v>
      </c>
      <c r="E81" s="16" t="s">
        <v>304</v>
      </c>
    </row>
    <row r="82" spans="1:5" ht="15.5" x14ac:dyDescent="0.35">
      <c r="A82" s="18">
        <v>34</v>
      </c>
      <c r="B82" s="17" t="s">
        <v>404</v>
      </c>
      <c r="C82" s="17" t="s">
        <v>405</v>
      </c>
      <c r="D82" s="18">
        <v>4.42</v>
      </c>
      <c r="E82" s="18" t="s">
        <v>390</v>
      </c>
    </row>
    <row r="83" spans="1:5" ht="15.5" x14ac:dyDescent="0.35">
      <c r="A83" s="16">
        <v>35</v>
      </c>
      <c r="B83" s="15" t="s">
        <v>406</v>
      </c>
      <c r="C83" s="15" t="s">
        <v>309</v>
      </c>
      <c r="D83" s="16">
        <v>4.3899999999999997</v>
      </c>
      <c r="E83" s="16" t="s">
        <v>390</v>
      </c>
    </row>
    <row r="84" spans="1:5" ht="15.5" x14ac:dyDescent="0.35">
      <c r="A84" s="18">
        <v>36</v>
      </c>
      <c r="B84" s="17" t="s">
        <v>407</v>
      </c>
      <c r="C84" s="17" t="s">
        <v>408</v>
      </c>
      <c r="D84" s="18">
        <v>3.83</v>
      </c>
      <c r="E84" s="18" t="s">
        <v>390</v>
      </c>
    </row>
    <row r="85" spans="1:5" ht="15.5" x14ac:dyDescent="0.35">
      <c r="A85" s="16">
        <v>37</v>
      </c>
      <c r="B85" s="15" t="s">
        <v>409</v>
      </c>
      <c r="C85" s="15" t="s">
        <v>309</v>
      </c>
      <c r="D85" s="16">
        <v>3.8</v>
      </c>
      <c r="E85" s="16" t="s">
        <v>390</v>
      </c>
    </row>
    <row r="86" spans="1:5" ht="15.5" x14ac:dyDescent="0.35">
      <c r="A86" s="18">
        <v>38</v>
      </c>
      <c r="B86" s="17" t="s">
        <v>410</v>
      </c>
      <c r="C86" s="17" t="s">
        <v>309</v>
      </c>
      <c r="D86" s="18">
        <v>3.13</v>
      </c>
      <c r="E86" s="18" t="s">
        <v>390</v>
      </c>
    </row>
    <row r="87" spans="1:5" ht="15.5" x14ac:dyDescent="0.35">
      <c r="A87" s="16">
        <v>39</v>
      </c>
      <c r="B87" s="15" t="s">
        <v>411</v>
      </c>
      <c r="C87" s="15" t="s">
        <v>309</v>
      </c>
      <c r="D87" s="16">
        <v>2.98</v>
      </c>
      <c r="E87" s="16" t="s">
        <v>390</v>
      </c>
    </row>
    <row r="88" spans="1:5" ht="15.5" x14ac:dyDescent="0.35">
      <c r="A88" s="18">
        <v>40</v>
      </c>
      <c r="B88" s="17" t="s">
        <v>412</v>
      </c>
      <c r="C88" s="17" t="s">
        <v>309</v>
      </c>
      <c r="D88" s="18">
        <v>2.97</v>
      </c>
      <c r="E88" s="18" t="s">
        <v>390</v>
      </c>
    </row>
    <row r="89" spans="1:5" ht="15.5" x14ac:dyDescent="0.35">
      <c r="A89" s="16">
        <v>41</v>
      </c>
      <c r="B89" s="15" t="s">
        <v>413</v>
      </c>
      <c r="C89" s="15" t="s">
        <v>309</v>
      </c>
      <c r="D89" s="16">
        <v>2.8</v>
      </c>
      <c r="E89" s="16" t="s">
        <v>390</v>
      </c>
    </row>
    <row r="90" spans="1:5" ht="15.5" x14ac:dyDescent="0.35">
      <c r="A90" s="18">
        <v>42</v>
      </c>
      <c r="B90" s="17" t="s">
        <v>414</v>
      </c>
      <c r="C90" s="17" t="s">
        <v>309</v>
      </c>
      <c r="D90" s="18">
        <v>2.77</v>
      </c>
      <c r="E90" s="18" t="s">
        <v>390</v>
      </c>
    </row>
    <row r="91" spans="1:5" ht="15.5" x14ac:dyDescent="0.35">
      <c r="A91" s="16">
        <v>43</v>
      </c>
      <c r="B91" s="15" t="s">
        <v>415</v>
      </c>
      <c r="C91" s="15" t="s">
        <v>309</v>
      </c>
      <c r="D91" s="16">
        <v>2.73</v>
      </c>
      <c r="E91" s="16" t="s">
        <v>390</v>
      </c>
    </row>
    <row r="92" spans="1:5" ht="15.5" x14ac:dyDescent="0.35">
      <c r="A92" s="18">
        <v>44</v>
      </c>
      <c r="B92" s="17" t="s">
        <v>416</v>
      </c>
      <c r="C92" s="17" t="s">
        <v>309</v>
      </c>
      <c r="D92" s="18">
        <v>2.5</v>
      </c>
      <c r="E92" s="18" t="s">
        <v>390</v>
      </c>
    </row>
    <row r="93" spans="1:5" ht="15.5" x14ac:dyDescent="0.35">
      <c r="A93" s="16">
        <v>45</v>
      </c>
      <c r="B93" s="15" t="s">
        <v>417</v>
      </c>
      <c r="C93" s="15" t="s">
        <v>309</v>
      </c>
      <c r="D93" s="16">
        <v>2.4500000000000002</v>
      </c>
      <c r="E93" s="16" t="s">
        <v>390</v>
      </c>
    </row>
    <row r="94" spans="1:5" ht="15.5" x14ac:dyDescent="0.35">
      <c r="A94" s="18">
        <v>46</v>
      </c>
      <c r="B94" s="17" t="s">
        <v>418</v>
      </c>
      <c r="C94" s="17" t="s">
        <v>419</v>
      </c>
      <c r="D94" s="18">
        <v>2.36</v>
      </c>
      <c r="E94" s="18" t="s">
        <v>390</v>
      </c>
    </row>
    <row r="95" spans="1:5" ht="15.5" x14ac:dyDescent="0.35">
      <c r="A95" s="16">
        <v>47</v>
      </c>
      <c r="B95" s="15" t="s">
        <v>420</v>
      </c>
      <c r="C95" s="15" t="s">
        <v>309</v>
      </c>
      <c r="D95" s="16">
        <v>2.15</v>
      </c>
      <c r="E95" s="16" t="s">
        <v>390</v>
      </c>
    </row>
    <row r="96" spans="1:5" ht="15.5" x14ac:dyDescent="0.35">
      <c r="A96" s="18">
        <v>48</v>
      </c>
      <c r="B96" s="17" t="s">
        <v>421</v>
      </c>
      <c r="C96" s="17" t="s">
        <v>309</v>
      </c>
      <c r="D96" s="18">
        <v>2.08</v>
      </c>
      <c r="E96" s="18" t="s">
        <v>390</v>
      </c>
    </row>
    <row r="97" spans="1:5" ht="15.5" x14ac:dyDescent="0.35">
      <c r="A97" s="16">
        <v>49</v>
      </c>
      <c r="B97" s="15" t="s">
        <v>422</v>
      </c>
      <c r="C97" s="15" t="s">
        <v>309</v>
      </c>
      <c r="D97" s="16">
        <v>1.1499999999999999</v>
      </c>
      <c r="E97" s="16" t="s">
        <v>390</v>
      </c>
    </row>
    <row r="98" spans="1:5" ht="15.5" x14ac:dyDescent="0.35">
      <c r="A98" s="18">
        <v>50</v>
      </c>
      <c r="B98" s="17" t="s">
        <v>423</v>
      </c>
      <c r="C98" s="17" t="s">
        <v>309</v>
      </c>
      <c r="D98" s="18">
        <v>1.94</v>
      </c>
      <c r="E98" s="18" t="s">
        <v>390</v>
      </c>
    </row>
    <row r="99" spans="1:5" ht="15.5" x14ac:dyDescent="0.35">
      <c r="A99" s="18">
        <f>SUBTOTAL(103,Table9[N])</f>
        <v>50</v>
      </c>
      <c r="B99" s="17"/>
      <c r="C99" s="17"/>
      <c r="D99" s="18"/>
      <c r="E99" s="18">
        <f>SUBTOTAL(103,Table9[Observation])</f>
        <v>50</v>
      </c>
    </row>
    <row r="100" spans="1:5" ht="15.5" x14ac:dyDescent="0.35">
      <c r="A100" s="43" t="s">
        <v>424</v>
      </c>
      <c r="B100" s="44"/>
      <c r="C100" s="44"/>
      <c r="D100" s="44"/>
      <c r="E100" s="45"/>
    </row>
    <row r="101" spans="1:5" ht="15.5" x14ac:dyDescent="0.35">
      <c r="A101" s="48" t="s">
        <v>301</v>
      </c>
      <c r="B101" s="48" t="s">
        <v>12</v>
      </c>
      <c r="C101" s="48" t="s">
        <v>302</v>
      </c>
      <c r="D101" s="48" t="s">
        <v>305</v>
      </c>
      <c r="E101" s="48" t="s">
        <v>303</v>
      </c>
    </row>
    <row r="102" spans="1:5" ht="15.5" x14ac:dyDescent="0.35">
      <c r="A102" s="18">
        <v>1</v>
      </c>
      <c r="B102" s="17" t="s">
        <v>425</v>
      </c>
      <c r="C102" s="17" t="s">
        <v>428</v>
      </c>
      <c r="D102" s="18">
        <v>7.16</v>
      </c>
      <c r="E102" s="18" t="s">
        <v>304</v>
      </c>
    </row>
    <row r="103" spans="1:5" ht="15.5" x14ac:dyDescent="0.35">
      <c r="A103" s="16">
        <v>2</v>
      </c>
      <c r="B103" s="15" t="s">
        <v>442</v>
      </c>
      <c r="C103" s="15" t="s">
        <v>428</v>
      </c>
      <c r="D103" s="16">
        <v>7</v>
      </c>
      <c r="E103" s="16" t="s">
        <v>304</v>
      </c>
    </row>
    <row r="104" spans="1:5" ht="15.5" x14ac:dyDescent="0.35">
      <c r="A104" s="18">
        <v>3</v>
      </c>
      <c r="B104" s="17" t="s">
        <v>426</v>
      </c>
      <c r="C104" s="17" t="s">
        <v>428</v>
      </c>
      <c r="D104" s="18">
        <v>6.43</v>
      </c>
      <c r="E104" s="18" t="s">
        <v>304</v>
      </c>
    </row>
    <row r="105" spans="1:5" ht="15.5" x14ac:dyDescent="0.35">
      <c r="A105" s="16">
        <v>4</v>
      </c>
      <c r="B105" s="15" t="s">
        <v>427</v>
      </c>
      <c r="C105" s="15" t="s">
        <v>428</v>
      </c>
      <c r="D105" s="16">
        <v>5.0999999999999996</v>
      </c>
      <c r="E105" s="16" t="s">
        <v>304</v>
      </c>
    </row>
    <row r="106" spans="1:5" ht="15.5" x14ac:dyDescent="0.35">
      <c r="A106" s="18">
        <v>5</v>
      </c>
      <c r="B106" s="17" t="s">
        <v>429</v>
      </c>
      <c r="C106" s="17" t="s">
        <v>428</v>
      </c>
      <c r="D106" s="18">
        <v>4.7300000000000004</v>
      </c>
      <c r="E106" s="18" t="s">
        <v>304</v>
      </c>
    </row>
    <row r="107" spans="1:5" ht="15.5" x14ac:dyDescent="0.35">
      <c r="A107" s="16">
        <v>6</v>
      </c>
      <c r="B107" s="15" t="s">
        <v>430</v>
      </c>
      <c r="C107" s="15" t="s">
        <v>431</v>
      </c>
      <c r="D107" s="16">
        <v>4.83</v>
      </c>
      <c r="E107" s="16" t="s">
        <v>304</v>
      </c>
    </row>
    <row r="108" spans="1:5" ht="15.5" x14ac:dyDescent="0.35">
      <c r="A108" s="18">
        <v>7</v>
      </c>
      <c r="B108" s="17" t="s">
        <v>432</v>
      </c>
      <c r="C108" s="17" t="s">
        <v>433</v>
      </c>
      <c r="D108" s="18">
        <v>4.76</v>
      </c>
      <c r="E108" s="18" t="s">
        <v>304</v>
      </c>
    </row>
    <row r="109" spans="1:5" ht="15.5" x14ac:dyDescent="0.35">
      <c r="A109" s="16">
        <v>8</v>
      </c>
      <c r="B109" s="15" t="s">
        <v>434</v>
      </c>
      <c r="C109" s="15" t="s">
        <v>435</v>
      </c>
      <c r="D109" s="16">
        <v>4.2300000000000004</v>
      </c>
      <c r="E109" s="16" t="s">
        <v>390</v>
      </c>
    </row>
    <row r="110" spans="1:5" ht="15.5" x14ac:dyDescent="0.35">
      <c r="A110" s="18">
        <v>9</v>
      </c>
      <c r="B110" s="17" t="s">
        <v>436</v>
      </c>
      <c r="C110" s="17" t="s">
        <v>437</v>
      </c>
      <c r="D110" s="18">
        <v>3.2</v>
      </c>
      <c r="E110" s="18" t="s">
        <v>390</v>
      </c>
    </row>
    <row r="111" spans="1:5" ht="15.5" x14ac:dyDescent="0.35">
      <c r="A111" s="16">
        <v>10</v>
      </c>
      <c r="B111" s="15" t="s">
        <v>438</v>
      </c>
      <c r="C111" s="15" t="s">
        <v>439</v>
      </c>
      <c r="D111" s="16">
        <v>3.16</v>
      </c>
      <c r="E111" s="16" t="s">
        <v>390</v>
      </c>
    </row>
    <row r="112" spans="1:5" ht="15.5" x14ac:dyDescent="0.35">
      <c r="A112" s="18">
        <v>11</v>
      </c>
      <c r="B112" s="17" t="s">
        <v>440</v>
      </c>
      <c r="C112" s="17" t="s">
        <v>428</v>
      </c>
      <c r="D112" s="18">
        <v>3.03</v>
      </c>
      <c r="E112" s="18" t="s">
        <v>390</v>
      </c>
    </row>
    <row r="113" spans="1:5" ht="15.5" x14ac:dyDescent="0.35">
      <c r="A113" s="16">
        <v>12</v>
      </c>
      <c r="B113" s="15" t="s">
        <v>43</v>
      </c>
      <c r="C113" s="15" t="s">
        <v>428</v>
      </c>
      <c r="D113" s="16">
        <v>2</v>
      </c>
      <c r="E113" s="16" t="s">
        <v>390</v>
      </c>
    </row>
    <row r="114" spans="1:5" ht="15.5" x14ac:dyDescent="0.35">
      <c r="A114" s="18">
        <v>13</v>
      </c>
      <c r="B114" s="17" t="s">
        <v>441</v>
      </c>
      <c r="C114" s="17" t="s">
        <v>428</v>
      </c>
      <c r="D114" s="18">
        <v>0</v>
      </c>
      <c r="E114" s="18" t="s">
        <v>392</v>
      </c>
    </row>
    <row r="115" spans="1:5" ht="15.5" x14ac:dyDescent="0.35">
      <c r="A115" s="16">
        <v>14</v>
      </c>
      <c r="B115" s="15" t="s">
        <v>443</v>
      </c>
      <c r="C115" s="15" t="s">
        <v>428</v>
      </c>
      <c r="D115" s="16">
        <v>3</v>
      </c>
      <c r="E115" s="16" t="s">
        <v>390</v>
      </c>
    </row>
    <row r="116" spans="1:5" ht="15.5" x14ac:dyDescent="0.35">
      <c r="A116" s="18">
        <v>15</v>
      </c>
      <c r="B116" s="17" t="s">
        <v>444</v>
      </c>
      <c r="C116" s="17" t="s">
        <v>309</v>
      </c>
      <c r="D116" s="18">
        <v>5.75</v>
      </c>
      <c r="E116" s="18" t="s">
        <v>304</v>
      </c>
    </row>
    <row r="117" spans="1:5" ht="15.5" x14ac:dyDescent="0.35">
      <c r="A117" s="16">
        <v>16</v>
      </c>
      <c r="B117" s="15" t="s">
        <v>445</v>
      </c>
      <c r="C117" s="15" t="s">
        <v>309</v>
      </c>
      <c r="D117" s="16">
        <v>5.68</v>
      </c>
      <c r="E117" s="16" t="s">
        <v>304</v>
      </c>
    </row>
    <row r="118" spans="1:5" ht="15.5" x14ac:dyDescent="0.35">
      <c r="A118" s="18">
        <v>17</v>
      </c>
      <c r="B118" s="17" t="s">
        <v>446</v>
      </c>
      <c r="C118" s="17" t="s">
        <v>309</v>
      </c>
      <c r="D118" s="18">
        <v>5.34</v>
      </c>
      <c r="E118" s="18" t="s">
        <v>304</v>
      </c>
    </row>
    <row r="119" spans="1:5" ht="15.5" x14ac:dyDescent="0.35">
      <c r="A119" s="16">
        <v>18</v>
      </c>
      <c r="B119" s="15" t="s">
        <v>447</v>
      </c>
      <c r="C119" s="15" t="s">
        <v>309</v>
      </c>
      <c r="D119" s="16">
        <v>6.28</v>
      </c>
      <c r="E119" s="16" t="s">
        <v>304</v>
      </c>
    </row>
    <row r="120" spans="1:5" ht="15.5" x14ac:dyDescent="0.35">
      <c r="A120" s="18">
        <v>19</v>
      </c>
      <c r="B120" s="17" t="s">
        <v>448</v>
      </c>
      <c r="C120" s="17" t="s">
        <v>449</v>
      </c>
      <c r="D120" s="18">
        <v>4.6500000000000004</v>
      </c>
      <c r="E120" s="18" t="s">
        <v>304</v>
      </c>
    </row>
    <row r="121" spans="1:5" ht="15.5" x14ac:dyDescent="0.35">
      <c r="A121" s="16">
        <v>20</v>
      </c>
      <c r="B121" s="15" t="s">
        <v>450</v>
      </c>
      <c r="C121" s="15" t="s">
        <v>428</v>
      </c>
      <c r="D121" s="16">
        <v>4.93</v>
      </c>
      <c r="E121" s="16" t="s">
        <v>304</v>
      </c>
    </row>
    <row r="122" spans="1:5" ht="15.5" x14ac:dyDescent="0.35">
      <c r="A122" s="18">
        <v>21</v>
      </c>
      <c r="B122" s="17" t="s">
        <v>451</v>
      </c>
      <c r="C122" s="17" t="s">
        <v>428</v>
      </c>
      <c r="D122" s="18">
        <v>3.03</v>
      </c>
      <c r="E122" s="18" t="s">
        <v>390</v>
      </c>
    </row>
    <row r="123" spans="1:5" ht="15.5" x14ac:dyDescent="0.35">
      <c r="A123" s="16">
        <v>22</v>
      </c>
      <c r="B123" s="15" t="s">
        <v>452</v>
      </c>
      <c r="C123" s="15" t="s">
        <v>428</v>
      </c>
      <c r="D123" s="16">
        <v>4.75</v>
      </c>
      <c r="E123" s="16" t="s">
        <v>304</v>
      </c>
    </row>
    <row r="124" spans="1:5" ht="15.5" x14ac:dyDescent="0.35">
      <c r="A124" s="18">
        <v>23</v>
      </c>
      <c r="B124" s="17" t="s">
        <v>453</v>
      </c>
      <c r="C124" s="17" t="s">
        <v>428</v>
      </c>
      <c r="D124" s="18">
        <v>4.68</v>
      </c>
      <c r="E124" s="18" t="s">
        <v>304</v>
      </c>
    </row>
    <row r="125" spans="1:5" ht="15.5" x14ac:dyDescent="0.35">
      <c r="A125" s="16">
        <v>24</v>
      </c>
      <c r="B125" s="15" t="s">
        <v>454</v>
      </c>
      <c r="C125" s="15" t="s">
        <v>428</v>
      </c>
      <c r="D125" s="16">
        <v>1.0900000000000001</v>
      </c>
      <c r="E125" s="16" t="s">
        <v>390</v>
      </c>
    </row>
    <row r="126" spans="1:5" ht="15.5" x14ac:dyDescent="0.35">
      <c r="A126" s="18">
        <v>25</v>
      </c>
      <c r="B126" s="17" t="s">
        <v>455</v>
      </c>
      <c r="C126" s="17" t="s">
        <v>428</v>
      </c>
      <c r="D126" s="18">
        <v>0.84</v>
      </c>
      <c r="E126" s="18" t="s">
        <v>390</v>
      </c>
    </row>
    <row r="127" spans="1:5" ht="15.5" x14ac:dyDescent="0.35">
      <c r="A127" s="16">
        <v>26</v>
      </c>
      <c r="B127" s="15" t="s">
        <v>456</v>
      </c>
      <c r="C127" s="15" t="s">
        <v>428</v>
      </c>
      <c r="D127" s="16">
        <v>0.84</v>
      </c>
      <c r="E127" s="16" t="s">
        <v>390</v>
      </c>
    </row>
    <row r="128" spans="1:5" ht="15.5" x14ac:dyDescent="0.35">
      <c r="A128" s="18">
        <v>27</v>
      </c>
      <c r="B128" s="17" t="s">
        <v>457</v>
      </c>
      <c r="C128" s="17" t="s">
        <v>428</v>
      </c>
      <c r="D128" s="18">
        <v>1.81</v>
      </c>
      <c r="E128" s="18" t="s">
        <v>390</v>
      </c>
    </row>
    <row r="129" spans="1:5" ht="15.5" x14ac:dyDescent="0.35">
      <c r="A129" s="16">
        <v>28</v>
      </c>
      <c r="B129" s="15" t="s">
        <v>458</v>
      </c>
      <c r="C129" s="15" t="s">
        <v>437</v>
      </c>
      <c r="D129" s="16">
        <v>1.56</v>
      </c>
      <c r="E129" s="16" t="s">
        <v>390</v>
      </c>
    </row>
    <row r="130" spans="1:5" ht="15.5" x14ac:dyDescent="0.35">
      <c r="A130" s="18">
        <v>29</v>
      </c>
      <c r="B130" s="17" t="s">
        <v>459</v>
      </c>
      <c r="C130" s="17" t="s">
        <v>437</v>
      </c>
      <c r="D130" s="18">
        <v>2</v>
      </c>
      <c r="E130" s="18" t="s">
        <v>390</v>
      </c>
    </row>
    <row r="131" spans="1:5" ht="15.5" x14ac:dyDescent="0.35">
      <c r="A131" s="16">
        <v>30</v>
      </c>
      <c r="B131" s="15" t="s">
        <v>460</v>
      </c>
      <c r="C131" s="15" t="s">
        <v>437</v>
      </c>
      <c r="D131" s="16">
        <v>3.62</v>
      </c>
      <c r="E131" s="16" t="s">
        <v>390</v>
      </c>
    </row>
    <row r="132" spans="1:5" ht="15.5" x14ac:dyDescent="0.35">
      <c r="A132" s="18">
        <v>31</v>
      </c>
      <c r="B132" s="17" t="s">
        <v>461</v>
      </c>
      <c r="C132" s="17" t="s">
        <v>437</v>
      </c>
      <c r="D132" s="18">
        <v>4.46</v>
      </c>
      <c r="E132" s="18" t="s">
        <v>390</v>
      </c>
    </row>
    <row r="133" spans="1:5" ht="15.5" x14ac:dyDescent="0.35">
      <c r="A133" s="16">
        <v>32</v>
      </c>
      <c r="B133" s="15" t="s">
        <v>462</v>
      </c>
      <c r="C133" s="15" t="s">
        <v>437</v>
      </c>
      <c r="D133" s="16">
        <v>4.43</v>
      </c>
      <c r="E133" s="16" t="s">
        <v>390</v>
      </c>
    </row>
    <row r="134" spans="1:5" ht="15.5" x14ac:dyDescent="0.35">
      <c r="A134" s="18">
        <v>33</v>
      </c>
      <c r="B134" s="17" t="s">
        <v>463</v>
      </c>
      <c r="C134" s="17" t="s">
        <v>437</v>
      </c>
      <c r="D134" s="18">
        <v>4.25</v>
      </c>
      <c r="E134" s="18" t="s">
        <v>390</v>
      </c>
    </row>
    <row r="135" spans="1:5" ht="15.5" x14ac:dyDescent="0.35">
      <c r="A135" s="16">
        <v>34</v>
      </c>
      <c r="B135" s="15" t="s">
        <v>464</v>
      </c>
      <c r="C135" s="15" t="s">
        <v>437</v>
      </c>
      <c r="D135" s="16">
        <v>3.78</v>
      </c>
      <c r="E135" s="16" t="s">
        <v>390</v>
      </c>
    </row>
    <row r="136" spans="1:5" ht="15.5" x14ac:dyDescent="0.35">
      <c r="A136" s="18">
        <v>35</v>
      </c>
      <c r="B136" s="17" t="s">
        <v>77</v>
      </c>
      <c r="C136" s="17" t="s">
        <v>437</v>
      </c>
      <c r="D136" s="18">
        <v>3.78</v>
      </c>
      <c r="E136" s="18" t="s">
        <v>390</v>
      </c>
    </row>
    <row r="137" spans="1:5" ht="15.5" x14ac:dyDescent="0.35">
      <c r="A137" s="16">
        <v>36</v>
      </c>
      <c r="B137" s="15" t="s">
        <v>465</v>
      </c>
      <c r="C137" s="15" t="s">
        <v>437</v>
      </c>
      <c r="D137" s="16">
        <v>3.77</v>
      </c>
      <c r="E137" s="16" t="s">
        <v>390</v>
      </c>
    </row>
    <row r="138" spans="1:5" ht="15.5" x14ac:dyDescent="0.35">
      <c r="A138" s="18">
        <v>37</v>
      </c>
      <c r="B138" s="17" t="s">
        <v>466</v>
      </c>
      <c r="C138" s="17" t="s">
        <v>437</v>
      </c>
      <c r="D138" s="18">
        <v>3.56</v>
      </c>
      <c r="E138" s="18" t="s">
        <v>390</v>
      </c>
    </row>
    <row r="139" spans="1:5" ht="15.5" x14ac:dyDescent="0.35">
      <c r="A139" s="16">
        <v>38</v>
      </c>
      <c r="B139" s="15" t="s">
        <v>467</v>
      </c>
      <c r="C139" s="15" t="s">
        <v>437</v>
      </c>
      <c r="D139" s="16">
        <v>3.56</v>
      </c>
      <c r="E139" s="16" t="s">
        <v>390</v>
      </c>
    </row>
    <row r="140" spans="1:5" ht="15.5" x14ac:dyDescent="0.35">
      <c r="A140" s="18">
        <v>39</v>
      </c>
      <c r="B140" s="17" t="s">
        <v>468</v>
      </c>
      <c r="C140" s="17" t="s">
        <v>437</v>
      </c>
      <c r="D140" s="18">
        <v>1.04</v>
      </c>
      <c r="E140" s="18" t="s">
        <v>390</v>
      </c>
    </row>
    <row r="141" spans="1:5" ht="15.5" x14ac:dyDescent="0.35">
      <c r="A141" s="18">
        <f>SUBTOTAL(103,Table11[N])</f>
        <v>39</v>
      </c>
      <c r="B141" s="17"/>
      <c r="C141" s="17"/>
      <c r="D141" s="18"/>
      <c r="E141" s="18">
        <f>SUBTOTAL(103,Table11[Observation])</f>
        <v>39</v>
      </c>
    </row>
    <row r="142" spans="1:5" ht="15.5" x14ac:dyDescent="0.35">
      <c r="A142" s="43" t="s">
        <v>672</v>
      </c>
      <c r="B142" s="49"/>
      <c r="C142" s="49"/>
      <c r="D142" s="49"/>
      <c r="E142" s="50"/>
    </row>
    <row r="143" spans="1:5" ht="15.5" x14ac:dyDescent="0.35">
      <c r="A143" s="48" t="s">
        <v>301</v>
      </c>
      <c r="B143" s="48" t="s">
        <v>12</v>
      </c>
      <c r="C143" s="48" t="s">
        <v>302</v>
      </c>
      <c r="D143" s="48" t="s">
        <v>305</v>
      </c>
      <c r="E143" s="48" t="s">
        <v>303</v>
      </c>
    </row>
    <row r="144" spans="1:5" ht="15.5" x14ac:dyDescent="0.35">
      <c r="A144" s="18">
        <v>1</v>
      </c>
      <c r="B144" s="17" t="s">
        <v>469</v>
      </c>
      <c r="C144" s="17" t="s">
        <v>470</v>
      </c>
      <c r="D144" s="18">
        <v>8.24</v>
      </c>
      <c r="E144" s="18" t="s">
        <v>304</v>
      </c>
    </row>
    <row r="145" spans="1:5" ht="15.5" x14ac:dyDescent="0.35">
      <c r="A145" s="16">
        <v>2</v>
      </c>
      <c r="B145" s="15" t="s">
        <v>471</v>
      </c>
      <c r="C145" s="15" t="s">
        <v>472</v>
      </c>
      <c r="D145" s="16">
        <v>7.49</v>
      </c>
      <c r="E145" s="16" t="s">
        <v>304</v>
      </c>
    </row>
    <row r="146" spans="1:5" ht="15.5" x14ac:dyDescent="0.35">
      <c r="A146" s="18">
        <v>3</v>
      </c>
      <c r="B146" s="17" t="s">
        <v>473</v>
      </c>
      <c r="C146" s="17" t="s">
        <v>474</v>
      </c>
      <c r="D146" s="18">
        <v>6.63</v>
      </c>
      <c r="E146" s="18" t="s">
        <v>304</v>
      </c>
    </row>
    <row r="147" spans="1:5" ht="15.5" x14ac:dyDescent="0.35">
      <c r="A147" s="16">
        <v>4</v>
      </c>
      <c r="B147" s="15" t="s">
        <v>475</v>
      </c>
      <c r="C147" s="15" t="s">
        <v>472</v>
      </c>
      <c r="D147" s="16">
        <v>6.39</v>
      </c>
      <c r="E147" s="16" t="s">
        <v>304</v>
      </c>
    </row>
    <row r="148" spans="1:5" ht="15.5" x14ac:dyDescent="0.35">
      <c r="A148" s="18">
        <v>5</v>
      </c>
      <c r="B148" s="17" t="s">
        <v>476</v>
      </c>
      <c r="C148" s="17" t="s">
        <v>477</v>
      </c>
      <c r="D148" s="18">
        <v>6.16</v>
      </c>
      <c r="E148" s="18" t="s">
        <v>304</v>
      </c>
    </row>
    <row r="149" spans="1:5" ht="15.5" x14ac:dyDescent="0.35">
      <c r="A149" s="16">
        <v>6</v>
      </c>
      <c r="B149" s="15" t="s">
        <v>478</v>
      </c>
      <c r="C149" s="15" t="s">
        <v>532</v>
      </c>
      <c r="D149" s="16">
        <v>5.49</v>
      </c>
      <c r="E149" s="16" t="s">
        <v>304</v>
      </c>
    </row>
    <row r="150" spans="1:5" ht="15.5" x14ac:dyDescent="0.35">
      <c r="A150" s="18">
        <v>7</v>
      </c>
      <c r="B150" s="17" t="s">
        <v>479</v>
      </c>
      <c r="C150" s="17" t="s">
        <v>477</v>
      </c>
      <c r="D150" s="18">
        <v>5.03</v>
      </c>
      <c r="E150" s="18" t="s">
        <v>304</v>
      </c>
    </row>
    <row r="151" spans="1:5" ht="15.5" x14ac:dyDescent="0.35">
      <c r="A151" s="16">
        <v>8</v>
      </c>
      <c r="B151" s="15" t="s">
        <v>480</v>
      </c>
      <c r="C151" s="15" t="s">
        <v>477</v>
      </c>
      <c r="D151" s="16">
        <v>3.87</v>
      </c>
      <c r="E151" s="16" t="s">
        <v>390</v>
      </c>
    </row>
    <row r="152" spans="1:5" ht="15.5" x14ac:dyDescent="0.35">
      <c r="A152" s="18">
        <v>9</v>
      </c>
      <c r="B152" s="17" t="s">
        <v>481</v>
      </c>
      <c r="C152" s="17" t="s">
        <v>477</v>
      </c>
      <c r="D152" s="18">
        <v>3.68</v>
      </c>
      <c r="E152" s="18" t="s">
        <v>390</v>
      </c>
    </row>
    <row r="153" spans="1:5" ht="15.5" x14ac:dyDescent="0.35">
      <c r="A153" s="16">
        <v>10</v>
      </c>
      <c r="B153" s="15" t="s">
        <v>482</v>
      </c>
      <c r="C153" s="15" t="s">
        <v>477</v>
      </c>
      <c r="D153" s="16">
        <v>3.49</v>
      </c>
      <c r="E153" s="16" t="s">
        <v>390</v>
      </c>
    </row>
    <row r="154" spans="1:5" ht="15.5" x14ac:dyDescent="0.35">
      <c r="A154" s="18">
        <v>11</v>
      </c>
      <c r="B154" s="17" t="s">
        <v>483</v>
      </c>
      <c r="C154" s="17" t="s">
        <v>477</v>
      </c>
      <c r="D154" s="18">
        <v>3.27</v>
      </c>
      <c r="E154" s="18" t="s">
        <v>390</v>
      </c>
    </row>
    <row r="155" spans="1:5" ht="15.5" x14ac:dyDescent="0.35">
      <c r="A155" s="16">
        <v>12</v>
      </c>
      <c r="B155" s="15" t="s">
        <v>484</v>
      </c>
      <c r="C155" s="15" t="s">
        <v>477</v>
      </c>
      <c r="D155" s="16">
        <v>3.16</v>
      </c>
      <c r="E155" s="16" t="s">
        <v>390</v>
      </c>
    </row>
    <row r="156" spans="1:5" ht="15.5" x14ac:dyDescent="0.35">
      <c r="A156" s="18">
        <v>13</v>
      </c>
      <c r="B156" s="17" t="s">
        <v>485</v>
      </c>
      <c r="C156" s="17" t="s">
        <v>477</v>
      </c>
      <c r="D156" s="18">
        <v>3.16</v>
      </c>
      <c r="E156" s="18" t="s">
        <v>390</v>
      </c>
    </row>
    <row r="157" spans="1:5" ht="15.5" x14ac:dyDescent="0.35">
      <c r="A157" s="16">
        <v>14</v>
      </c>
      <c r="B157" s="15" t="s">
        <v>486</v>
      </c>
      <c r="C157" s="15" t="s">
        <v>477</v>
      </c>
      <c r="D157" s="16">
        <v>3.16</v>
      </c>
      <c r="E157" s="16" t="s">
        <v>390</v>
      </c>
    </row>
    <row r="158" spans="1:5" ht="15.5" x14ac:dyDescent="0.35">
      <c r="A158" s="18">
        <v>15</v>
      </c>
      <c r="B158" s="17" t="s">
        <v>487</v>
      </c>
      <c r="C158" s="17" t="s">
        <v>477</v>
      </c>
      <c r="D158" s="18">
        <v>3.06</v>
      </c>
      <c r="E158" s="18" t="s">
        <v>390</v>
      </c>
    </row>
    <row r="159" spans="1:5" ht="15.5" x14ac:dyDescent="0.35">
      <c r="A159" s="16">
        <v>16</v>
      </c>
      <c r="B159" s="15" t="s">
        <v>488</v>
      </c>
      <c r="C159" s="15" t="s">
        <v>477</v>
      </c>
      <c r="D159" s="16">
        <v>3.06</v>
      </c>
      <c r="E159" s="16" t="s">
        <v>390</v>
      </c>
    </row>
    <row r="160" spans="1:5" ht="15.5" x14ac:dyDescent="0.35">
      <c r="A160" s="18">
        <v>17</v>
      </c>
      <c r="B160" s="17" t="s">
        <v>489</v>
      </c>
      <c r="C160" s="17" t="s">
        <v>477</v>
      </c>
      <c r="D160" s="18">
        <v>2.89</v>
      </c>
      <c r="E160" s="18" t="s">
        <v>390</v>
      </c>
    </row>
    <row r="161" spans="1:5" ht="15.5" x14ac:dyDescent="0.35">
      <c r="A161" s="16">
        <v>18</v>
      </c>
      <c r="B161" s="15" t="s">
        <v>490</v>
      </c>
      <c r="C161" s="15" t="s">
        <v>477</v>
      </c>
      <c r="D161" s="16">
        <v>2.82</v>
      </c>
      <c r="E161" s="16" t="s">
        <v>390</v>
      </c>
    </row>
    <row r="162" spans="1:5" ht="15.5" x14ac:dyDescent="0.35">
      <c r="A162" s="18">
        <v>19</v>
      </c>
      <c r="B162" s="17" t="s">
        <v>491</v>
      </c>
      <c r="C162" s="17" t="s">
        <v>477</v>
      </c>
      <c r="D162" s="18">
        <v>2.58</v>
      </c>
      <c r="E162" s="18" t="s">
        <v>390</v>
      </c>
    </row>
    <row r="163" spans="1:5" ht="15.5" x14ac:dyDescent="0.35">
      <c r="A163" s="16">
        <v>20</v>
      </c>
      <c r="B163" s="15" t="s">
        <v>492</v>
      </c>
      <c r="C163" s="15" t="s">
        <v>477</v>
      </c>
      <c r="D163" s="16">
        <v>2.27</v>
      </c>
      <c r="E163" s="16" t="s">
        <v>390</v>
      </c>
    </row>
    <row r="164" spans="1:5" ht="15.5" x14ac:dyDescent="0.35">
      <c r="A164" s="18">
        <v>21</v>
      </c>
      <c r="B164" s="17" t="s">
        <v>493</v>
      </c>
      <c r="C164" s="17" t="s">
        <v>477</v>
      </c>
      <c r="D164" s="18">
        <v>0</v>
      </c>
      <c r="E164" s="18" t="s">
        <v>392</v>
      </c>
    </row>
    <row r="165" spans="1:5" ht="15.5" x14ac:dyDescent="0.35">
      <c r="A165" s="16">
        <v>22</v>
      </c>
      <c r="B165" s="15" t="s">
        <v>494</v>
      </c>
      <c r="C165" s="15" t="s">
        <v>477</v>
      </c>
      <c r="D165" s="16">
        <v>0</v>
      </c>
      <c r="E165" s="16" t="s">
        <v>392</v>
      </c>
    </row>
    <row r="166" spans="1:5" ht="15.5" x14ac:dyDescent="0.35">
      <c r="A166" s="18">
        <v>23</v>
      </c>
      <c r="B166" s="17" t="s">
        <v>495</v>
      </c>
      <c r="C166" s="17" t="s">
        <v>477</v>
      </c>
      <c r="D166" s="18">
        <v>2.21</v>
      </c>
      <c r="E166" s="18" t="s">
        <v>390</v>
      </c>
    </row>
    <row r="167" spans="1:5" ht="15.5" x14ac:dyDescent="0.35">
      <c r="A167" s="16">
        <v>24</v>
      </c>
      <c r="B167" s="15" t="s">
        <v>496</v>
      </c>
      <c r="C167" s="15" t="s">
        <v>477</v>
      </c>
      <c r="D167" s="16">
        <v>1.92</v>
      </c>
      <c r="E167" s="16" t="s">
        <v>390</v>
      </c>
    </row>
    <row r="168" spans="1:5" ht="15.5" x14ac:dyDescent="0.35">
      <c r="A168" s="18">
        <v>25</v>
      </c>
      <c r="B168" s="17" t="s">
        <v>497</v>
      </c>
      <c r="C168" s="17" t="s">
        <v>477</v>
      </c>
      <c r="D168" s="18">
        <v>1.61</v>
      </c>
      <c r="E168" s="18" t="s">
        <v>390</v>
      </c>
    </row>
    <row r="169" spans="1:5" ht="15.5" x14ac:dyDescent="0.35">
      <c r="A169" s="16">
        <v>26</v>
      </c>
      <c r="B169" s="15" t="s">
        <v>498</v>
      </c>
      <c r="C169" s="15" t="s">
        <v>477</v>
      </c>
      <c r="D169" s="16">
        <v>7.58</v>
      </c>
      <c r="E169" s="16" t="s">
        <v>304</v>
      </c>
    </row>
    <row r="170" spans="1:5" ht="15.5" x14ac:dyDescent="0.35">
      <c r="A170" s="18">
        <v>27</v>
      </c>
      <c r="B170" s="17" t="s">
        <v>499</v>
      </c>
      <c r="C170" s="17" t="s">
        <v>477</v>
      </c>
      <c r="D170" s="18">
        <v>7.39</v>
      </c>
      <c r="E170" s="18" t="s">
        <v>304</v>
      </c>
    </row>
    <row r="171" spans="1:5" ht="15.5" x14ac:dyDescent="0.35">
      <c r="A171" s="16">
        <v>28</v>
      </c>
      <c r="B171" s="15" t="s">
        <v>500</v>
      </c>
      <c r="C171" s="15" t="s">
        <v>501</v>
      </c>
      <c r="D171" s="16">
        <v>7.1</v>
      </c>
      <c r="E171" s="16" t="s">
        <v>304</v>
      </c>
    </row>
    <row r="172" spans="1:5" ht="15.5" x14ac:dyDescent="0.35">
      <c r="A172" s="18">
        <v>29</v>
      </c>
      <c r="B172" s="17" t="s">
        <v>502</v>
      </c>
      <c r="C172" s="17" t="s">
        <v>477</v>
      </c>
      <c r="D172" s="18">
        <v>6.95</v>
      </c>
      <c r="E172" s="18" t="s">
        <v>304</v>
      </c>
    </row>
    <row r="173" spans="1:5" ht="15.5" x14ac:dyDescent="0.35">
      <c r="A173" s="16">
        <v>30</v>
      </c>
      <c r="B173" s="15" t="s">
        <v>503</v>
      </c>
      <c r="C173" s="15" t="s">
        <v>472</v>
      </c>
      <c r="D173" s="16">
        <v>5.98</v>
      </c>
      <c r="E173" s="16" t="s">
        <v>304</v>
      </c>
    </row>
    <row r="174" spans="1:5" ht="15.5" x14ac:dyDescent="0.35">
      <c r="A174" s="18">
        <v>31</v>
      </c>
      <c r="B174" s="17" t="s">
        <v>504</v>
      </c>
      <c r="C174" s="17" t="s">
        <v>477</v>
      </c>
      <c r="D174" s="18">
        <v>5.87</v>
      </c>
      <c r="E174" s="18" t="s">
        <v>304</v>
      </c>
    </row>
    <row r="175" spans="1:5" ht="15.5" x14ac:dyDescent="0.35">
      <c r="A175" s="16">
        <v>32</v>
      </c>
      <c r="B175" s="15" t="s">
        <v>505</v>
      </c>
      <c r="C175" s="15" t="s">
        <v>506</v>
      </c>
      <c r="D175" s="16">
        <v>5.48</v>
      </c>
      <c r="E175" s="16" t="s">
        <v>304</v>
      </c>
    </row>
    <row r="176" spans="1:5" ht="15.5" x14ac:dyDescent="0.35">
      <c r="A176" s="18">
        <v>33</v>
      </c>
      <c r="B176" s="17" t="s">
        <v>507</v>
      </c>
      <c r="C176" s="17" t="s">
        <v>477</v>
      </c>
      <c r="D176" s="18">
        <v>5.48</v>
      </c>
      <c r="E176" s="18" t="s">
        <v>304</v>
      </c>
    </row>
    <row r="177" spans="1:5" ht="15.5" x14ac:dyDescent="0.35">
      <c r="A177" s="16">
        <v>34</v>
      </c>
      <c r="B177" s="15" t="s">
        <v>508</v>
      </c>
      <c r="C177" s="15" t="s">
        <v>509</v>
      </c>
      <c r="D177" s="16">
        <v>5.09</v>
      </c>
      <c r="E177" s="16" t="s">
        <v>304</v>
      </c>
    </row>
    <row r="178" spans="1:5" ht="15.5" x14ac:dyDescent="0.35">
      <c r="A178" s="18">
        <v>35</v>
      </c>
      <c r="B178" s="17" t="s">
        <v>510</v>
      </c>
      <c r="C178" s="17" t="s">
        <v>533</v>
      </c>
      <c r="D178" s="18">
        <v>5</v>
      </c>
      <c r="E178" s="18" t="s">
        <v>304</v>
      </c>
    </row>
    <row r="179" spans="1:5" ht="15.5" x14ac:dyDescent="0.35">
      <c r="A179" s="16">
        <v>36</v>
      </c>
      <c r="B179" s="15" t="s">
        <v>511</v>
      </c>
      <c r="C179" s="15" t="s">
        <v>512</v>
      </c>
      <c r="D179" s="16">
        <v>4.9800000000000004</v>
      </c>
      <c r="E179" s="16" t="s">
        <v>304</v>
      </c>
    </row>
    <row r="180" spans="1:5" ht="15.5" x14ac:dyDescent="0.35">
      <c r="A180" s="18">
        <v>37</v>
      </c>
      <c r="B180" s="17" t="s">
        <v>513</v>
      </c>
      <c r="C180" s="17" t="s">
        <v>514</v>
      </c>
      <c r="D180" s="18">
        <v>4.38</v>
      </c>
      <c r="E180" s="18" t="s">
        <v>390</v>
      </c>
    </row>
    <row r="181" spans="1:5" ht="15.5" x14ac:dyDescent="0.35">
      <c r="A181" s="16">
        <v>38</v>
      </c>
      <c r="B181" s="15" t="s">
        <v>515</v>
      </c>
      <c r="C181" s="15" t="s">
        <v>534</v>
      </c>
      <c r="D181" s="16">
        <v>3.49</v>
      </c>
      <c r="E181" s="16" t="s">
        <v>390</v>
      </c>
    </row>
    <row r="182" spans="1:5" ht="15.5" x14ac:dyDescent="0.35">
      <c r="A182" s="18">
        <v>39</v>
      </c>
      <c r="B182" s="17" t="s">
        <v>516</v>
      </c>
      <c r="C182" s="19" t="s">
        <v>535</v>
      </c>
      <c r="D182" s="18">
        <v>3.31</v>
      </c>
      <c r="E182" s="18" t="s">
        <v>390</v>
      </c>
    </row>
    <row r="183" spans="1:5" ht="15.5" x14ac:dyDescent="0.35">
      <c r="A183" s="16">
        <v>40</v>
      </c>
      <c r="B183" s="15" t="s">
        <v>517</v>
      </c>
      <c r="C183" s="15" t="s">
        <v>518</v>
      </c>
      <c r="D183" s="16">
        <v>2.73</v>
      </c>
      <c r="E183" s="16" t="s">
        <v>390</v>
      </c>
    </row>
    <row r="184" spans="1:5" ht="15.5" x14ac:dyDescent="0.35">
      <c r="A184" s="18">
        <v>41</v>
      </c>
      <c r="B184" s="17" t="s">
        <v>519</v>
      </c>
      <c r="C184" s="17" t="s">
        <v>518</v>
      </c>
      <c r="D184" s="18">
        <v>2.4900000000000002</v>
      </c>
      <c r="E184" s="18" t="s">
        <v>390</v>
      </c>
    </row>
    <row r="185" spans="1:5" ht="15.5" x14ac:dyDescent="0.35">
      <c r="A185" s="16">
        <v>42</v>
      </c>
      <c r="B185" s="15" t="s">
        <v>520</v>
      </c>
      <c r="C185" s="15" t="s">
        <v>518</v>
      </c>
      <c r="D185" s="16">
        <v>2.39</v>
      </c>
      <c r="E185" s="16" t="s">
        <v>390</v>
      </c>
    </row>
    <row r="186" spans="1:5" ht="15.5" x14ac:dyDescent="0.35">
      <c r="A186" s="18">
        <v>43</v>
      </c>
      <c r="B186" s="17" t="s">
        <v>164</v>
      </c>
      <c r="C186" s="17" t="s">
        <v>536</v>
      </c>
      <c r="D186" s="18">
        <v>2.38</v>
      </c>
      <c r="E186" s="18" t="s">
        <v>390</v>
      </c>
    </row>
    <row r="187" spans="1:5" ht="15.5" x14ac:dyDescent="0.35">
      <c r="A187" s="16">
        <v>44</v>
      </c>
      <c r="B187" s="15" t="s">
        <v>521</v>
      </c>
      <c r="C187" s="15" t="s">
        <v>537</v>
      </c>
      <c r="D187" s="16">
        <v>1</v>
      </c>
      <c r="E187" s="16" t="s">
        <v>390</v>
      </c>
    </row>
    <row r="188" spans="1:5" ht="15.5" x14ac:dyDescent="0.35">
      <c r="A188" s="18">
        <v>45</v>
      </c>
      <c r="B188" s="17" t="s">
        <v>522</v>
      </c>
      <c r="C188" s="17" t="s">
        <v>518</v>
      </c>
      <c r="D188" s="18">
        <v>1</v>
      </c>
      <c r="E188" s="18" t="s">
        <v>390</v>
      </c>
    </row>
    <row r="189" spans="1:5" ht="15.5" x14ac:dyDescent="0.35">
      <c r="A189" s="16">
        <v>46</v>
      </c>
      <c r="B189" s="15" t="s">
        <v>523</v>
      </c>
      <c r="C189" s="15" t="s">
        <v>518</v>
      </c>
      <c r="D189" s="16">
        <v>1</v>
      </c>
      <c r="E189" s="16" t="s">
        <v>390</v>
      </c>
    </row>
    <row r="190" spans="1:5" ht="15.5" x14ac:dyDescent="0.35">
      <c r="A190" s="18">
        <v>47</v>
      </c>
      <c r="B190" s="17" t="s">
        <v>524</v>
      </c>
      <c r="C190" s="17" t="s">
        <v>525</v>
      </c>
      <c r="D190" s="18">
        <v>1</v>
      </c>
      <c r="E190" s="18" t="s">
        <v>390</v>
      </c>
    </row>
    <row r="191" spans="1:5" ht="15.5" x14ac:dyDescent="0.35">
      <c r="A191" s="16">
        <v>48</v>
      </c>
      <c r="B191" s="15" t="s">
        <v>526</v>
      </c>
      <c r="C191" s="15" t="s">
        <v>527</v>
      </c>
      <c r="D191" s="16">
        <v>1</v>
      </c>
      <c r="E191" s="16" t="s">
        <v>390</v>
      </c>
    </row>
    <row r="192" spans="1:5" ht="15.5" x14ac:dyDescent="0.35">
      <c r="A192" s="18">
        <v>49</v>
      </c>
      <c r="B192" s="17" t="s">
        <v>528</v>
      </c>
      <c r="C192" s="17" t="s">
        <v>472</v>
      </c>
      <c r="D192" s="18">
        <v>0</v>
      </c>
      <c r="E192" s="18" t="s">
        <v>392</v>
      </c>
    </row>
    <row r="193" spans="1:5" ht="15.5" x14ac:dyDescent="0.35">
      <c r="A193" s="16">
        <v>50</v>
      </c>
      <c r="B193" s="15" t="s">
        <v>529</v>
      </c>
      <c r="C193" s="15" t="s">
        <v>538</v>
      </c>
      <c r="D193" s="16">
        <v>0</v>
      </c>
      <c r="E193" s="16" t="s">
        <v>392</v>
      </c>
    </row>
    <row r="194" spans="1:5" ht="15.5" x14ac:dyDescent="0.35">
      <c r="A194" s="18">
        <v>51</v>
      </c>
      <c r="B194" s="17" t="s">
        <v>530</v>
      </c>
      <c r="C194" s="17" t="s">
        <v>470</v>
      </c>
      <c r="D194" s="18">
        <v>0</v>
      </c>
      <c r="E194" s="18" t="s">
        <v>392</v>
      </c>
    </row>
    <row r="195" spans="1:5" ht="15.5" x14ac:dyDescent="0.35">
      <c r="A195" s="18" t="s">
        <v>693</v>
      </c>
      <c r="B195" s="17"/>
      <c r="C195" s="17"/>
      <c r="D195" s="18"/>
      <c r="E195" s="18">
        <f>SUBTOTAL(103,Table12[Observation])</f>
        <v>51</v>
      </c>
    </row>
    <row r="196" spans="1:5" ht="15.5" x14ac:dyDescent="0.35">
      <c r="A196" s="51" t="s">
        <v>531</v>
      </c>
      <c r="B196" s="46"/>
      <c r="C196" s="46"/>
      <c r="D196" s="46"/>
      <c r="E196" s="47"/>
    </row>
    <row r="197" spans="1:5" ht="15.5" x14ac:dyDescent="0.35">
      <c r="A197" s="48" t="s">
        <v>301</v>
      </c>
      <c r="B197" s="48" t="s">
        <v>12</v>
      </c>
      <c r="C197" s="48" t="s">
        <v>302</v>
      </c>
      <c r="D197" s="48" t="s">
        <v>305</v>
      </c>
      <c r="E197" s="48" t="s">
        <v>303</v>
      </c>
    </row>
    <row r="198" spans="1:5" ht="15.5" x14ac:dyDescent="0.35">
      <c r="A198" s="18">
        <v>1</v>
      </c>
      <c r="B198" s="17" t="s">
        <v>539</v>
      </c>
      <c r="C198" s="17" t="s">
        <v>540</v>
      </c>
      <c r="D198" s="18">
        <v>7.28</v>
      </c>
      <c r="E198" s="18" t="s">
        <v>304</v>
      </c>
    </row>
    <row r="199" spans="1:5" ht="15.5" x14ac:dyDescent="0.35">
      <c r="A199" s="16">
        <v>2</v>
      </c>
      <c r="B199" s="15" t="s">
        <v>541</v>
      </c>
      <c r="C199" s="15" t="s">
        <v>542</v>
      </c>
      <c r="D199" s="16">
        <v>8.2100000000000009</v>
      </c>
      <c r="E199" s="16" t="s">
        <v>304</v>
      </c>
    </row>
    <row r="200" spans="1:5" ht="15.5" x14ac:dyDescent="0.35">
      <c r="A200" s="18">
        <v>3</v>
      </c>
      <c r="B200" s="17" t="s">
        <v>543</v>
      </c>
      <c r="C200" s="17" t="s">
        <v>544</v>
      </c>
      <c r="D200" s="18">
        <v>8.0299999999999994</v>
      </c>
      <c r="E200" s="18" t="s">
        <v>304</v>
      </c>
    </row>
    <row r="201" spans="1:5" ht="15.5" x14ac:dyDescent="0.35">
      <c r="A201" s="16">
        <v>4</v>
      </c>
      <c r="B201" s="15" t="s">
        <v>545</v>
      </c>
      <c r="C201" s="15" t="s">
        <v>546</v>
      </c>
      <c r="D201" s="16">
        <v>5.51</v>
      </c>
      <c r="E201" s="16" t="s">
        <v>304</v>
      </c>
    </row>
    <row r="202" spans="1:5" ht="15.5" x14ac:dyDescent="0.35">
      <c r="A202" s="18">
        <v>5</v>
      </c>
      <c r="B202" s="17" t="s">
        <v>547</v>
      </c>
      <c r="C202" s="17" t="s">
        <v>548</v>
      </c>
      <c r="D202" s="18">
        <v>5.33</v>
      </c>
      <c r="E202" s="18" t="s">
        <v>304</v>
      </c>
    </row>
    <row r="203" spans="1:5" ht="15.5" x14ac:dyDescent="0.35">
      <c r="A203" s="16">
        <v>6</v>
      </c>
      <c r="B203" s="15" t="s">
        <v>549</v>
      </c>
      <c r="C203" s="15" t="s">
        <v>546</v>
      </c>
      <c r="D203" s="16">
        <v>5.12</v>
      </c>
      <c r="E203" s="16" t="s">
        <v>304</v>
      </c>
    </row>
    <row r="204" spans="1:5" ht="15.5" x14ac:dyDescent="0.35">
      <c r="A204" s="18">
        <v>7</v>
      </c>
      <c r="B204" s="17" t="s">
        <v>550</v>
      </c>
      <c r="C204" s="17" t="s">
        <v>546</v>
      </c>
      <c r="D204" s="18">
        <v>4.74</v>
      </c>
      <c r="E204" s="18" t="s">
        <v>304</v>
      </c>
    </row>
    <row r="205" spans="1:5" ht="15.5" x14ac:dyDescent="0.35">
      <c r="A205" s="16">
        <v>8</v>
      </c>
      <c r="B205" s="15" t="s">
        <v>551</v>
      </c>
      <c r="C205" s="15" t="s">
        <v>546</v>
      </c>
      <c r="D205" s="16">
        <v>4.5199999999999996</v>
      </c>
      <c r="E205" s="16" t="s">
        <v>304</v>
      </c>
    </row>
    <row r="206" spans="1:5" ht="15.5" x14ac:dyDescent="0.35">
      <c r="A206" s="18">
        <v>9</v>
      </c>
      <c r="B206" s="17" t="s">
        <v>78</v>
      </c>
      <c r="C206" s="17" t="s">
        <v>546</v>
      </c>
      <c r="D206" s="18">
        <v>4.41</v>
      </c>
      <c r="E206" s="18" t="s">
        <v>390</v>
      </c>
    </row>
    <row r="207" spans="1:5" ht="15.5" x14ac:dyDescent="0.35">
      <c r="A207" s="16">
        <v>10</v>
      </c>
      <c r="B207" s="15" t="s">
        <v>552</v>
      </c>
      <c r="C207" s="15" t="s">
        <v>546</v>
      </c>
      <c r="D207" s="16">
        <v>4.41</v>
      </c>
      <c r="E207" s="16" t="s">
        <v>390</v>
      </c>
    </row>
    <row r="208" spans="1:5" ht="15.5" x14ac:dyDescent="0.35">
      <c r="A208" s="18">
        <v>11</v>
      </c>
      <c r="B208" s="17" t="s">
        <v>553</v>
      </c>
      <c r="C208" s="17" t="s">
        <v>546</v>
      </c>
      <c r="D208" s="18">
        <v>4.2</v>
      </c>
      <c r="E208" s="18" t="s">
        <v>390</v>
      </c>
    </row>
    <row r="209" spans="1:5" ht="15.5" x14ac:dyDescent="0.35">
      <c r="A209" s="16">
        <v>12</v>
      </c>
      <c r="B209" s="15" t="s">
        <v>554</v>
      </c>
      <c r="C209" s="15" t="s">
        <v>569</v>
      </c>
      <c r="D209" s="16">
        <v>7.43</v>
      </c>
      <c r="E209" s="16" t="s">
        <v>304</v>
      </c>
    </row>
    <row r="210" spans="1:5" ht="15.5" x14ac:dyDescent="0.35">
      <c r="A210" s="18">
        <v>13</v>
      </c>
      <c r="B210" s="17" t="s">
        <v>555</v>
      </c>
      <c r="C210" s="17" t="s">
        <v>569</v>
      </c>
      <c r="D210" s="18">
        <v>6.12</v>
      </c>
      <c r="E210" s="18" t="s">
        <v>304</v>
      </c>
    </row>
    <row r="211" spans="1:5" ht="15.5" x14ac:dyDescent="0.35">
      <c r="A211" s="16">
        <v>14</v>
      </c>
      <c r="B211" s="15" t="s">
        <v>556</v>
      </c>
      <c r="C211" s="15" t="s">
        <v>569</v>
      </c>
      <c r="D211" s="16">
        <v>4.8099999999999996</v>
      </c>
      <c r="E211" s="16" t="s">
        <v>304</v>
      </c>
    </row>
    <row r="212" spans="1:5" ht="15.5" x14ac:dyDescent="0.35">
      <c r="A212" s="18">
        <v>15</v>
      </c>
      <c r="B212" s="17" t="s">
        <v>557</v>
      </c>
      <c r="C212" s="17" t="s">
        <v>569</v>
      </c>
      <c r="D212" s="18">
        <v>5.07</v>
      </c>
      <c r="E212" s="18" t="s">
        <v>304</v>
      </c>
    </row>
    <row r="213" spans="1:5" ht="15.5" x14ac:dyDescent="0.35">
      <c r="A213" s="16">
        <v>16</v>
      </c>
      <c r="B213" s="15" t="s">
        <v>558</v>
      </c>
      <c r="C213" s="15" t="s">
        <v>569</v>
      </c>
      <c r="D213" s="16">
        <v>6.64</v>
      </c>
      <c r="E213" s="16" t="s">
        <v>304</v>
      </c>
    </row>
    <row r="214" spans="1:5" ht="15.5" x14ac:dyDescent="0.35">
      <c r="A214" s="18">
        <v>17</v>
      </c>
      <c r="B214" s="17" t="s">
        <v>559</v>
      </c>
      <c r="C214" s="17" t="s">
        <v>569</v>
      </c>
      <c r="D214" s="18">
        <v>1.46</v>
      </c>
      <c r="E214" s="18" t="s">
        <v>390</v>
      </c>
    </row>
    <row r="215" spans="1:5" ht="15.5" x14ac:dyDescent="0.35">
      <c r="A215" s="16">
        <v>18</v>
      </c>
      <c r="B215" s="15" t="s">
        <v>560</v>
      </c>
      <c r="C215" s="15" t="s">
        <v>569</v>
      </c>
      <c r="D215" s="16">
        <v>2.33</v>
      </c>
      <c r="E215" s="16" t="s">
        <v>390</v>
      </c>
    </row>
    <row r="216" spans="1:5" ht="15.5" x14ac:dyDescent="0.35">
      <c r="A216" s="18">
        <v>19</v>
      </c>
      <c r="B216" s="17" t="s">
        <v>561</v>
      </c>
      <c r="C216" s="17" t="s">
        <v>569</v>
      </c>
      <c r="D216" s="18">
        <v>3</v>
      </c>
      <c r="E216" s="18" t="s">
        <v>390</v>
      </c>
    </row>
    <row r="217" spans="1:5" ht="15.5" x14ac:dyDescent="0.35">
      <c r="A217" s="16">
        <v>20</v>
      </c>
      <c r="B217" s="15" t="s">
        <v>562</v>
      </c>
      <c r="C217" s="15" t="s">
        <v>569</v>
      </c>
      <c r="D217" s="16">
        <v>3.07</v>
      </c>
      <c r="E217" s="16" t="s">
        <v>390</v>
      </c>
    </row>
    <row r="218" spans="1:5" ht="15.5" x14ac:dyDescent="0.35">
      <c r="A218" s="18">
        <v>21</v>
      </c>
      <c r="B218" s="17" t="s">
        <v>563</v>
      </c>
      <c r="C218" s="17" t="s">
        <v>569</v>
      </c>
      <c r="D218" s="18">
        <v>2.65</v>
      </c>
      <c r="E218" s="18" t="s">
        <v>390</v>
      </c>
    </row>
    <row r="219" spans="1:5" ht="15.5" x14ac:dyDescent="0.35">
      <c r="A219" s="16">
        <v>22</v>
      </c>
      <c r="B219" s="15" t="s">
        <v>564</v>
      </c>
      <c r="C219" s="15" t="s">
        <v>569</v>
      </c>
      <c r="D219" s="16">
        <v>2.4900000000000002</v>
      </c>
      <c r="E219" s="16" t="s">
        <v>390</v>
      </c>
    </row>
    <row r="220" spans="1:5" ht="15.5" x14ac:dyDescent="0.35">
      <c r="A220" s="18">
        <v>23</v>
      </c>
      <c r="B220" s="17" t="s">
        <v>565</v>
      </c>
      <c r="C220" s="17" t="s">
        <v>569</v>
      </c>
      <c r="D220" s="18">
        <v>4.37</v>
      </c>
      <c r="E220" s="18" t="s">
        <v>390</v>
      </c>
    </row>
    <row r="221" spans="1:5" ht="15.5" x14ac:dyDescent="0.35">
      <c r="A221" s="16">
        <v>24</v>
      </c>
      <c r="B221" s="15" t="s">
        <v>566</v>
      </c>
      <c r="C221" s="15" t="s">
        <v>569</v>
      </c>
      <c r="D221" s="16">
        <v>4.28</v>
      </c>
      <c r="E221" s="16" t="s">
        <v>390</v>
      </c>
    </row>
    <row r="222" spans="1:5" ht="15.5" x14ac:dyDescent="0.35">
      <c r="A222" s="18">
        <v>25</v>
      </c>
      <c r="B222" s="17" t="s">
        <v>567</v>
      </c>
      <c r="C222" s="17" t="s">
        <v>569</v>
      </c>
      <c r="D222" s="18">
        <v>2.3199999999999998</v>
      </c>
      <c r="E222" s="18" t="s">
        <v>390</v>
      </c>
    </row>
    <row r="223" spans="1:5" ht="15.5" x14ac:dyDescent="0.35">
      <c r="A223" s="16">
        <v>26</v>
      </c>
      <c r="B223" s="15" t="s">
        <v>568</v>
      </c>
      <c r="C223" s="15" t="s">
        <v>569</v>
      </c>
      <c r="D223" s="16">
        <v>2.2599999999999998</v>
      </c>
      <c r="E223" s="16" t="s">
        <v>390</v>
      </c>
    </row>
    <row r="224" spans="1:5" ht="15.5" x14ac:dyDescent="0.35">
      <c r="A224" s="16">
        <f>SUBTOTAL(103,Table14[N])</f>
        <v>26</v>
      </c>
      <c r="B224" s="15"/>
      <c r="C224" s="15"/>
      <c r="D224" s="16"/>
      <c r="E224" s="16">
        <f>SUBTOTAL(103,Table14[Observation])</f>
        <v>26</v>
      </c>
    </row>
    <row r="225" spans="1:5" ht="15.5" x14ac:dyDescent="0.35">
      <c r="A225" s="51" t="s">
        <v>668</v>
      </c>
      <c r="B225" s="46"/>
      <c r="C225" s="46"/>
      <c r="D225" s="46"/>
      <c r="E225" s="56"/>
    </row>
    <row r="226" spans="1:5" ht="15.5" x14ac:dyDescent="0.35">
      <c r="A226" s="48" t="s">
        <v>301</v>
      </c>
      <c r="B226" s="48" t="s">
        <v>12</v>
      </c>
      <c r="C226" s="48" t="s">
        <v>302</v>
      </c>
      <c r="D226" s="48" t="s">
        <v>305</v>
      </c>
      <c r="E226" s="48" t="s">
        <v>303</v>
      </c>
    </row>
    <row r="227" spans="1:5" ht="15.5" x14ac:dyDescent="0.35">
      <c r="A227" s="16">
        <v>1</v>
      </c>
      <c r="B227" s="15" t="s">
        <v>570</v>
      </c>
      <c r="C227" s="15" t="s">
        <v>571</v>
      </c>
      <c r="D227" s="16">
        <v>5.43</v>
      </c>
      <c r="E227" s="16" t="s">
        <v>304</v>
      </c>
    </row>
    <row r="228" spans="1:5" ht="15.5" x14ac:dyDescent="0.35">
      <c r="A228" s="18">
        <v>2</v>
      </c>
      <c r="B228" s="17" t="s">
        <v>572</v>
      </c>
      <c r="C228" s="17" t="s">
        <v>573</v>
      </c>
      <c r="D228" s="18">
        <v>3.93</v>
      </c>
      <c r="E228" s="18" t="s">
        <v>390</v>
      </c>
    </row>
    <row r="229" spans="1:5" ht="15.5" x14ac:dyDescent="0.35">
      <c r="A229" s="16">
        <v>3</v>
      </c>
      <c r="B229" s="15" t="s">
        <v>574</v>
      </c>
      <c r="C229" s="15" t="s">
        <v>571</v>
      </c>
      <c r="D229" s="16">
        <v>4.62</v>
      </c>
      <c r="E229" s="16" t="s">
        <v>304</v>
      </c>
    </row>
    <row r="230" spans="1:5" ht="15.5" x14ac:dyDescent="0.35">
      <c r="A230" s="18">
        <v>4</v>
      </c>
      <c r="B230" s="17" t="s">
        <v>575</v>
      </c>
      <c r="C230" s="17" t="s">
        <v>571</v>
      </c>
      <c r="D230" s="18">
        <v>5</v>
      </c>
      <c r="E230" s="18" t="s">
        <v>304</v>
      </c>
    </row>
    <row r="231" spans="1:5" ht="15.5" x14ac:dyDescent="0.35">
      <c r="A231" s="16">
        <v>5</v>
      </c>
      <c r="B231" s="15" t="s">
        <v>576</v>
      </c>
      <c r="C231" s="15" t="s">
        <v>571</v>
      </c>
      <c r="D231" s="16">
        <v>2.87</v>
      </c>
      <c r="E231" s="16" t="s">
        <v>390</v>
      </c>
    </row>
    <row r="232" spans="1:5" ht="15.5" x14ac:dyDescent="0.35">
      <c r="A232" s="18">
        <v>6</v>
      </c>
      <c r="B232" s="17" t="s">
        <v>577</v>
      </c>
      <c r="C232" s="17" t="s">
        <v>571</v>
      </c>
      <c r="D232" s="18">
        <v>3.87</v>
      </c>
      <c r="E232" s="18" t="s">
        <v>390</v>
      </c>
    </row>
    <row r="233" spans="1:5" ht="15.5" x14ac:dyDescent="0.35">
      <c r="A233" s="16">
        <v>7</v>
      </c>
      <c r="B233" s="15" t="s">
        <v>578</v>
      </c>
      <c r="C233" s="15" t="s">
        <v>571</v>
      </c>
      <c r="D233" s="16">
        <v>5.56</v>
      </c>
      <c r="E233" s="16" t="s">
        <v>304</v>
      </c>
    </row>
    <row r="234" spans="1:5" ht="15.5" x14ac:dyDescent="0.35">
      <c r="A234" s="18">
        <v>8</v>
      </c>
      <c r="B234" s="17" t="s">
        <v>579</v>
      </c>
      <c r="C234" s="17" t="s">
        <v>571</v>
      </c>
      <c r="D234" s="18">
        <v>4.93</v>
      </c>
      <c r="E234" s="18" t="s">
        <v>304</v>
      </c>
    </row>
    <row r="235" spans="1:5" ht="15.5" x14ac:dyDescent="0.35">
      <c r="A235" s="16">
        <v>9</v>
      </c>
      <c r="B235" s="15" t="s">
        <v>580</v>
      </c>
      <c r="C235" s="15" t="s">
        <v>571</v>
      </c>
      <c r="D235" s="16">
        <v>4.8099999999999996</v>
      </c>
      <c r="E235" s="16" t="s">
        <v>304</v>
      </c>
    </row>
    <row r="236" spans="1:5" ht="15.5" x14ac:dyDescent="0.35">
      <c r="A236" s="18">
        <v>10</v>
      </c>
      <c r="B236" s="17" t="s">
        <v>581</v>
      </c>
      <c r="C236" s="17" t="s">
        <v>571</v>
      </c>
      <c r="D236" s="18">
        <v>3.5</v>
      </c>
      <c r="E236" s="18" t="s">
        <v>390</v>
      </c>
    </row>
    <row r="237" spans="1:5" ht="15.5" x14ac:dyDescent="0.35">
      <c r="A237" s="18" t="s">
        <v>693</v>
      </c>
      <c r="B237" s="17"/>
      <c r="C237" s="17"/>
      <c r="D237" s="18"/>
      <c r="E237" s="18">
        <f>SUBTOTAL(103,Table15[Observation])</f>
        <v>10</v>
      </c>
    </row>
    <row r="238" spans="1:5" ht="15.5" x14ac:dyDescent="0.35">
      <c r="A238" s="51" t="s">
        <v>582</v>
      </c>
      <c r="B238" s="20"/>
      <c r="C238" s="20"/>
      <c r="D238" s="20"/>
      <c r="E238" s="57"/>
    </row>
    <row r="239" spans="1:5" ht="15.5" x14ac:dyDescent="0.35">
      <c r="A239" s="48" t="s">
        <v>301</v>
      </c>
      <c r="B239" s="48" t="s">
        <v>12</v>
      </c>
      <c r="C239" s="48" t="s">
        <v>302</v>
      </c>
      <c r="D239" s="48" t="s">
        <v>305</v>
      </c>
      <c r="E239" s="48" t="s">
        <v>303</v>
      </c>
    </row>
    <row r="240" spans="1:5" ht="15.5" x14ac:dyDescent="0.35">
      <c r="A240" s="18">
        <v>1</v>
      </c>
      <c r="B240" s="17" t="s">
        <v>583</v>
      </c>
      <c r="C240" s="17" t="s">
        <v>584</v>
      </c>
      <c r="D240" s="18">
        <v>5.64</v>
      </c>
      <c r="E240" s="18" t="s">
        <v>304</v>
      </c>
    </row>
    <row r="241" spans="1:5" ht="15.5" x14ac:dyDescent="0.35">
      <c r="A241" s="16">
        <v>2</v>
      </c>
      <c r="B241" s="15" t="s">
        <v>585</v>
      </c>
      <c r="C241" s="15" t="s">
        <v>591</v>
      </c>
      <c r="D241" s="16">
        <v>6.23</v>
      </c>
      <c r="E241" s="16" t="s">
        <v>304</v>
      </c>
    </row>
    <row r="242" spans="1:5" ht="15.5" x14ac:dyDescent="0.35">
      <c r="A242" s="18">
        <v>3</v>
      </c>
      <c r="B242" s="17" t="s">
        <v>586</v>
      </c>
      <c r="C242" s="17" t="s">
        <v>592</v>
      </c>
      <c r="D242" s="18">
        <v>6</v>
      </c>
      <c r="E242" s="18" t="s">
        <v>304</v>
      </c>
    </row>
    <row r="243" spans="1:5" ht="15.5" x14ac:dyDescent="0.35">
      <c r="A243" s="16">
        <v>4</v>
      </c>
      <c r="B243" s="15" t="s">
        <v>587</v>
      </c>
      <c r="C243" s="15" t="s">
        <v>590</v>
      </c>
      <c r="D243" s="16">
        <v>7.91</v>
      </c>
      <c r="E243" s="16" t="s">
        <v>304</v>
      </c>
    </row>
    <row r="244" spans="1:5" ht="15.5" x14ac:dyDescent="0.35">
      <c r="A244" s="18">
        <v>5</v>
      </c>
      <c r="B244" s="17" t="s">
        <v>588</v>
      </c>
      <c r="C244" s="17" t="s">
        <v>584</v>
      </c>
      <c r="D244" s="18">
        <v>5.64</v>
      </c>
      <c r="E244" s="18" t="s">
        <v>304</v>
      </c>
    </row>
    <row r="245" spans="1:5" ht="15.5" x14ac:dyDescent="0.35">
      <c r="A245" s="16">
        <v>6</v>
      </c>
      <c r="B245" s="15" t="s">
        <v>589</v>
      </c>
      <c r="C245" s="15" t="s">
        <v>590</v>
      </c>
      <c r="D245" s="16">
        <v>7.35</v>
      </c>
      <c r="E245" s="16" t="s">
        <v>304</v>
      </c>
    </row>
    <row r="246" spans="1:5" ht="15.5" x14ac:dyDescent="0.35">
      <c r="A246" s="18">
        <v>7</v>
      </c>
      <c r="B246" s="17" t="s">
        <v>593</v>
      </c>
      <c r="C246" s="17" t="s">
        <v>590</v>
      </c>
      <c r="D246" s="18">
        <v>7.2</v>
      </c>
      <c r="E246" s="18" t="s">
        <v>304</v>
      </c>
    </row>
    <row r="247" spans="1:5" ht="15.5" x14ac:dyDescent="0.35">
      <c r="A247" s="16">
        <v>8</v>
      </c>
      <c r="B247" s="15" t="s">
        <v>594</v>
      </c>
      <c r="C247" s="15" t="s">
        <v>590</v>
      </c>
      <c r="D247" s="16">
        <v>5.0199999999999996</v>
      </c>
      <c r="E247" s="16" t="s">
        <v>304</v>
      </c>
    </row>
    <row r="248" spans="1:5" ht="15.5" x14ac:dyDescent="0.35">
      <c r="A248" s="18">
        <v>9</v>
      </c>
      <c r="B248" s="17" t="s">
        <v>595</v>
      </c>
      <c r="C248" s="17" t="s">
        <v>590</v>
      </c>
      <c r="D248" s="18">
        <v>5.5</v>
      </c>
      <c r="E248" s="18" t="s">
        <v>304</v>
      </c>
    </row>
    <row r="249" spans="1:5" ht="15.5" x14ac:dyDescent="0.35">
      <c r="A249" s="16">
        <v>10</v>
      </c>
      <c r="B249" s="15" t="s">
        <v>596</v>
      </c>
      <c r="C249" s="15" t="s">
        <v>590</v>
      </c>
      <c r="D249" s="16">
        <v>4.9400000000000004</v>
      </c>
      <c r="E249" s="16" t="s">
        <v>304</v>
      </c>
    </row>
    <row r="250" spans="1:5" ht="15.5" x14ac:dyDescent="0.35">
      <c r="A250" s="18">
        <v>11</v>
      </c>
      <c r="B250" s="17" t="s">
        <v>597</v>
      </c>
      <c r="C250" s="17" t="s">
        <v>590</v>
      </c>
      <c r="D250" s="18">
        <v>4.7</v>
      </c>
      <c r="E250" s="18" t="s">
        <v>304</v>
      </c>
    </row>
    <row r="251" spans="1:5" ht="15.5" x14ac:dyDescent="0.35">
      <c r="A251" s="16">
        <v>12</v>
      </c>
      <c r="B251" s="15" t="s">
        <v>598</v>
      </c>
      <c r="C251" s="15" t="s">
        <v>590</v>
      </c>
      <c r="D251" s="16">
        <v>0</v>
      </c>
      <c r="E251" s="16" t="s">
        <v>392</v>
      </c>
    </row>
    <row r="252" spans="1:5" ht="15.5" x14ac:dyDescent="0.35">
      <c r="A252" s="18">
        <v>13</v>
      </c>
      <c r="B252" s="17" t="s">
        <v>599</v>
      </c>
      <c r="C252" s="17" t="s">
        <v>590</v>
      </c>
      <c r="D252" s="18">
        <v>4.2300000000000004</v>
      </c>
      <c r="E252" s="18" t="s">
        <v>390</v>
      </c>
    </row>
    <row r="253" spans="1:5" ht="15.5" x14ac:dyDescent="0.35">
      <c r="A253" s="16">
        <v>14</v>
      </c>
      <c r="B253" s="15" t="s">
        <v>600</v>
      </c>
      <c r="C253" s="15" t="s">
        <v>590</v>
      </c>
      <c r="D253" s="16">
        <v>2.7</v>
      </c>
      <c r="E253" s="16" t="s">
        <v>390</v>
      </c>
    </row>
    <row r="254" spans="1:5" ht="15.5" x14ac:dyDescent="0.35">
      <c r="A254" s="18">
        <v>15</v>
      </c>
      <c r="B254" s="17" t="s">
        <v>601</v>
      </c>
      <c r="C254" s="17" t="s">
        <v>590</v>
      </c>
      <c r="D254" s="18">
        <v>2.58</v>
      </c>
      <c r="E254" s="18" t="s">
        <v>390</v>
      </c>
    </row>
    <row r="255" spans="1:5" ht="15.5" x14ac:dyDescent="0.35">
      <c r="A255" s="16">
        <v>16</v>
      </c>
      <c r="B255" s="15" t="s">
        <v>602</v>
      </c>
      <c r="C255" s="15" t="s">
        <v>584</v>
      </c>
      <c r="D255" s="16">
        <v>2.63</v>
      </c>
      <c r="E255" s="16" t="s">
        <v>390</v>
      </c>
    </row>
    <row r="256" spans="1:5" ht="15.5" x14ac:dyDescent="0.35">
      <c r="A256" s="18">
        <v>17</v>
      </c>
      <c r="B256" s="17" t="s">
        <v>603</v>
      </c>
      <c r="C256" s="17" t="s">
        <v>590</v>
      </c>
      <c r="D256" s="18">
        <v>2.17</v>
      </c>
      <c r="E256" s="18" t="s">
        <v>390</v>
      </c>
    </row>
    <row r="257" spans="1:5" ht="15.5" x14ac:dyDescent="0.35">
      <c r="A257" s="16">
        <v>18</v>
      </c>
      <c r="B257" s="15" t="s">
        <v>605</v>
      </c>
      <c r="C257" s="15" t="s">
        <v>590</v>
      </c>
      <c r="D257" s="16">
        <v>2</v>
      </c>
      <c r="E257" s="16" t="s">
        <v>390</v>
      </c>
    </row>
    <row r="258" spans="1:5" ht="15.5" x14ac:dyDescent="0.35">
      <c r="A258" s="18">
        <v>19</v>
      </c>
      <c r="B258" s="17" t="s">
        <v>604</v>
      </c>
      <c r="C258" s="17" t="s">
        <v>584</v>
      </c>
      <c r="D258" s="18">
        <v>1.94</v>
      </c>
      <c r="E258" s="18" t="s">
        <v>390</v>
      </c>
    </row>
    <row r="259" spans="1:5" ht="15.5" x14ac:dyDescent="0.35">
      <c r="A259" s="16">
        <v>20</v>
      </c>
      <c r="B259" s="15" t="s">
        <v>606</v>
      </c>
      <c r="C259" s="15" t="s">
        <v>584</v>
      </c>
      <c r="D259" s="16">
        <v>1.76</v>
      </c>
      <c r="E259" s="16" t="s">
        <v>390</v>
      </c>
    </row>
    <row r="260" spans="1:5" ht="15.5" x14ac:dyDescent="0.35">
      <c r="A260" s="18">
        <v>21</v>
      </c>
      <c r="B260" s="17" t="s">
        <v>607</v>
      </c>
      <c r="C260" s="17" t="s">
        <v>590</v>
      </c>
      <c r="D260" s="18">
        <v>1.7</v>
      </c>
      <c r="E260" s="18" t="s">
        <v>390</v>
      </c>
    </row>
    <row r="261" spans="1:5" ht="15.5" x14ac:dyDescent="0.35">
      <c r="A261" s="16">
        <v>22</v>
      </c>
      <c r="B261" s="15" t="s">
        <v>608</v>
      </c>
      <c r="C261" s="15" t="s">
        <v>590</v>
      </c>
      <c r="D261" s="16">
        <v>1.68</v>
      </c>
      <c r="E261" s="16" t="s">
        <v>390</v>
      </c>
    </row>
    <row r="262" spans="1:5" ht="15.5" x14ac:dyDescent="0.35">
      <c r="A262" s="18">
        <v>23</v>
      </c>
      <c r="B262" s="17" t="s">
        <v>609</v>
      </c>
      <c r="C262" s="17" t="s">
        <v>590</v>
      </c>
      <c r="D262" s="18">
        <v>1.58</v>
      </c>
      <c r="E262" s="18" t="s">
        <v>390</v>
      </c>
    </row>
    <row r="263" spans="1:5" ht="15.5" x14ac:dyDescent="0.35">
      <c r="A263" s="16">
        <v>24</v>
      </c>
      <c r="B263" s="15" t="s">
        <v>610</v>
      </c>
      <c r="C263" s="15" t="s">
        <v>590</v>
      </c>
      <c r="D263" s="16">
        <v>1.55</v>
      </c>
      <c r="E263" s="16" t="s">
        <v>390</v>
      </c>
    </row>
    <row r="264" spans="1:5" ht="15.5" x14ac:dyDescent="0.35">
      <c r="A264" s="18">
        <v>25</v>
      </c>
      <c r="B264" s="17" t="s">
        <v>611</v>
      </c>
      <c r="C264" s="17" t="s">
        <v>612</v>
      </c>
      <c r="D264" s="18">
        <v>1.05</v>
      </c>
      <c r="E264" s="18" t="s">
        <v>390</v>
      </c>
    </row>
    <row r="265" spans="1:5" ht="15.5" x14ac:dyDescent="0.35">
      <c r="A265" s="16">
        <v>26</v>
      </c>
      <c r="B265" s="15" t="s">
        <v>613</v>
      </c>
      <c r="C265" s="15" t="s">
        <v>614</v>
      </c>
      <c r="D265" s="16">
        <v>0.41</v>
      </c>
      <c r="E265" s="16" t="s">
        <v>390</v>
      </c>
    </row>
    <row r="266" spans="1:5" ht="15.5" x14ac:dyDescent="0.35">
      <c r="A266" s="18">
        <v>27</v>
      </c>
      <c r="B266" s="17" t="s">
        <v>615</v>
      </c>
      <c r="C266" s="17" t="s">
        <v>584</v>
      </c>
      <c r="D266" s="18">
        <v>1.17</v>
      </c>
      <c r="E266" s="18" t="s">
        <v>390</v>
      </c>
    </row>
    <row r="267" spans="1:5" ht="15.5" x14ac:dyDescent="0.35">
      <c r="A267" s="16">
        <v>28</v>
      </c>
      <c r="B267" s="15" t="s">
        <v>616</v>
      </c>
      <c r="C267" s="15" t="s">
        <v>584</v>
      </c>
      <c r="D267" s="16">
        <v>1.29</v>
      </c>
      <c r="E267" s="16" t="s">
        <v>390</v>
      </c>
    </row>
    <row r="268" spans="1:5" ht="15.5" x14ac:dyDescent="0.35">
      <c r="A268" s="18">
        <v>29</v>
      </c>
      <c r="B268" s="17" t="s">
        <v>617</v>
      </c>
      <c r="C268" s="17" t="s">
        <v>584</v>
      </c>
      <c r="D268" s="18">
        <v>1.17</v>
      </c>
      <c r="E268" s="18" t="s">
        <v>390</v>
      </c>
    </row>
    <row r="269" spans="1:5" ht="15.5" x14ac:dyDescent="0.35">
      <c r="A269" s="16">
        <v>30</v>
      </c>
      <c r="B269" s="15" t="s">
        <v>618</v>
      </c>
      <c r="C269" s="15" t="s">
        <v>584</v>
      </c>
      <c r="D269" s="16">
        <v>1</v>
      </c>
      <c r="E269" s="16" t="s">
        <v>390</v>
      </c>
    </row>
    <row r="270" spans="1:5" ht="15.5" x14ac:dyDescent="0.35">
      <c r="A270" s="18">
        <v>31</v>
      </c>
      <c r="B270" s="17" t="s">
        <v>619</v>
      </c>
      <c r="C270" s="17" t="s">
        <v>612</v>
      </c>
      <c r="D270" s="18">
        <v>0</v>
      </c>
      <c r="E270" s="18" t="s">
        <v>392</v>
      </c>
    </row>
    <row r="271" spans="1:5" ht="15.5" x14ac:dyDescent="0.35">
      <c r="A271" s="16">
        <v>32</v>
      </c>
      <c r="B271" s="15" t="s">
        <v>620</v>
      </c>
      <c r="C271" s="15" t="s">
        <v>584</v>
      </c>
      <c r="D271" s="16">
        <v>0</v>
      </c>
      <c r="E271" s="16" t="s">
        <v>392</v>
      </c>
    </row>
    <row r="272" spans="1:5" ht="15.5" x14ac:dyDescent="0.35">
      <c r="A272" s="16" t="s">
        <v>693</v>
      </c>
      <c r="B272" s="15"/>
      <c r="C272" s="15"/>
      <c r="D272" s="16"/>
      <c r="E272" s="16">
        <f>SUBTOTAL(103,Table16[Observation])</f>
        <v>32</v>
      </c>
    </row>
    <row r="273" spans="1:5" ht="15.5" x14ac:dyDescent="0.35">
      <c r="A273" s="51" t="s">
        <v>621</v>
      </c>
      <c r="B273" s="20"/>
      <c r="C273" s="20"/>
      <c r="D273" s="20"/>
      <c r="E273" s="21"/>
    </row>
    <row r="274" spans="1:5" ht="15.5" x14ac:dyDescent="0.35">
      <c r="A274" s="48" t="s">
        <v>301</v>
      </c>
      <c r="B274" s="48" t="s">
        <v>12</v>
      </c>
      <c r="C274" s="48" t="s">
        <v>302</v>
      </c>
      <c r="D274" s="48" t="s">
        <v>305</v>
      </c>
      <c r="E274" s="48" t="s">
        <v>303</v>
      </c>
    </row>
    <row r="275" spans="1:5" ht="15.5" x14ac:dyDescent="0.35">
      <c r="A275" s="16">
        <v>1</v>
      </c>
      <c r="B275" s="15" t="s">
        <v>627</v>
      </c>
      <c r="C275" s="15" t="s">
        <v>626</v>
      </c>
      <c r="D275" s="16">
        <v>7.56</v>
      </c>
      <c r="E275" s="16" t="s">
        <v>304</v>
      </c>
    </row>
    <row r="276" spans="1:5" ht="15.5" x14ac:dyDescent="0.35">
      <c r="A276" s="18">
        <v>2</v>
      </c>
      <c r="B276" s="17" t="s">
        <v>628</v>
      </c>
      <c r="C276" s="17" t="s">
        <v>626</v>
      </c>
      <c r="D276" s="18">
        <v>5.79</v>
      </c>
      <c r="E276" s="18" t="s">
        <v>304</v>
      </c>
    </row>
    <row r="277" spans="1:5" ht="15.5" x14ac:dyDescent="0.35">
      <c r="A277" s="16">
        <v>3</v>
      </c>
      <c r="B277" s="15" t="s">
        <v>629</v>
      </c>
      <c r="C277" s="15" t="s">
        <v>626</v>
      </c>
      <c r="D277" s="16">
        <v>5.78</v>
      </c>
      <c r="E277" s="16" t="s">
        <v>304</v>
      </c>
    </row>
    <row r="278" spans="1:5" ht="15.5" x14ac:dyDescent="0.35">
      <c r="A278" s="18">
        <v>4</v>
      </c>
      <c r="B278" s="17" t="s">
        <v>630</v>
      </c>
      <c r="C278" s="17" t="s">
        <v>626</v>
      </c>
      <c r="D278" s="18">
        <v>6.43</v>
      </c>
      <c r="E278" s="18" t="s">
        <v>304</v>
      </c>
    </row>
    <row r="279" spans="1:5" ht="15.5" x14ac:dyDescent="0.35">
      <c r="A279" s="16">
        <v>5</v>
      </c>
      <c r="B279" s="15" t="s">
        <v>631</v>
      </c>
      <c r="C279" s="15" t="s">
        <v>626</v>
      </c>
      <c r="D279" s="16">
        <v>4.5</v>
      </c>
      <c r="E279" s="16" t="s">
        <v>304</v>
      </c>
    </row>
    <row r="280" spans="1:5" ht="15.5" x14ac:dyDescent="0.35">
      <c r="A280" s="18">
        <v>6</v>
      </c>
      <c r="B280" s="17" t="s">
        <v>632</v>
      </c>
      <c r="C280" s="17" t="s">
        <v>626</v>
      </c>
      <c r="D280" s="18">
        <v>6.2</v>
      </c>
      <c r="E280" s="18" t="s">
        <v>304</v>
      </c>
    </row>
    <row r="281" spans="1:5" ht="15.5" x14ac:dyDescent="0.35">
      <c r="A281" s="16">
        <v>7</v>
      </c>
      <c r="B281" s="15" t="s">
        <v>633</v>
      </c>
      <c r="C281" s="15" t="s">
        <v>626</v>
      </c>
      <c r="D281" s="16">
        <v>4.0199999999999996</v>
      </c>
      <c r="E281" s="16" t="s">
        <v>390</v>
      </c>
    </row>
    <row r="282" spans="1:5" ht="15.5" x14ac:dyDescent="0.35">
      <c r="A282" s="18">
        <v>8</v>
      </c>
      <c r="B282" s="17" t="s">
        <v>634</v>
      </c>
      <c r="C282" s="17" t="s">
        <v>626</v>
      </c>
      <c r="D282" s="18">
        <v>5.4</v>
      </c>
      <c r="E282" s="18" t="s">
        <v>304</v>
      </c>
    </row>
    <row r="283" spans="1:5" ht="15.5" x14ac:dyDescent="0.35">
      <c r="A283" s="16">
        <v>9</v>
      </c>
      <c r="B283" s="15" t="s">
        <v>635</v>
      </c>
      <c r="C283" s="15" t="s">
        <v>626</v>
      </c>
      <c r="D283" s="16">
        <v>4.4400000000000004</v>
      </c>
      <c r="E283" s="16" t="s">
        <v>390</v>
      </c>
    </row>
    <row r="284" spans="1:5" ht="15.5" x14ac:dyDescent="0.35">
      <c r="A284" s="18">
        <v>10</v>
      </c>
      <c r="B284" s="17" t="s">
        <v>636</v>
      </c>
      <c r="C284" s="17" t="s">
        <v>626</v>
      </c>
      <c r="D284" s="18">
        <v>4.3</v>
      </c>
      <c r="E284" s="18" t="s">
        <v>390</v>
      </c>
    </row>
    <row r="285" spans="1:5" ht="15.5" x14ac:dyDescent="0.35">
      <c r="A285" s="16">
        <v>11</v>
      </c>
      <c r="B285" s="15" t="s">
        <v>637</v>
      </c>
      <c r="C285" s="15" t="s">
        <v>626</v>
      </c>
      <c r="D285" s="16">
        <v>3.5</v>
      </c>
      <c r="E285" s="16" t="s">
        <v>390</v>
      </c>
    </row>
    <row r="286" spans="1:5" ht="15.5" x14ac:dyDescent="0.35">
      <c r="A286" s="18">
        <v>12</v>
      </c>
      <c r="B286" s="17" t="s">
        <v>638</v>
      </c>
      <c r="C286" s="17" t="s">
        <v>626</v>
      </c>
      <c r="D286" s="18">
        <v>3.17</v>
      </c>
      <c r="E286" s="18" t="s">
        <v>390</v>
      </c>
    </row>
    <row r="287" spans="1:5" ht="15.5" x14ac:dyDescent="0.35">
      <c r="A287" s="16">
        <v>13</v>
      </c>
      <c r="B287" s="15" t="s">
        <v>639</v>
      </c>
      <c r="C287" s="15" t="s">
        <v>626</v>
      </c>
      <c r="D287" s="16">
        <v>3.02</v>
      </c>
      <c r="E287" s="16" t="s">
        <v>390</v>
      </c>
    </row>
    <row r="288" spans="1:5" ht="15.5" x14ac:dyDescent="0.35">
      <c r="A288" s="18">
        <v>14</v>
      </c>
      <c r="B288" s="17" t="s">
        <v>640</v>
      </c>
      <c r="C288" s="17" t="s">
        <v>626</v>
      </c>
      <c r="D288" s="18">
        <v>2.71</v>
      </c>
      <c r="E288" s="18" t="s">
        <v>390</v>
      </c>
    </row>
    <row r="289" spans="1:5" ht="15.5" x14ac:dyDescent="0.35">
      <c r="A289" s="16">
        <v>15</v>
      </c>
      <c r="B289" s="15" t="s">
        <v>641</v>
      </c>
      <c r="C289" s="15" t="s">
        <v>626</v>
      </c>
      <c r="D289" s="16">
        <v>2.54</v>
      </c>
      <c r="E289" s="16" t="s">
        <v>390</v>
      </c>
    </row>
    <row r="290" spans="1:5" ht="15.5" x14ac:dyDescent="0.35">
      <c r="A290" s="18">
        <v>16</v>
      </c>
      <c r="B290" s="17" t="s">
        <v>642</v>
      </c>
      <c r="C290" s="17" t="s">
        <v>626</v>
      </c>
      <c r="D290" s="18">
        <v>2.13</v>
      </c>
      <c r="E290" s="18" t="s">
        <v>390</v>
      </c>
    </row>
    <row r="291" spans="1:5" ht="15.5" x14ac:dyDescent="0.35">
      <c r="A291" s="16">
        <v>17</v>
      </c>
      <c r="B291" s="15" t="s">
        <v>653</v>
      </c>
      <c r="C291" s="15" t="s">
        <v>332</v>
      </c>
      <c r="D291" s="16">
        <v>4.1399999999999997</v>
      </c>
      <c r="E291" s="16" t="s">
        <v>390</v>
      </c>
    </row>
    <row r="292" spans="1:5" ht="15.5" x14ac:dyDescent="0.35">
      <c r="A292" s="18">
        <v>18</v>
      </c>
      <c r="B292" s="17" t="s">
        <v>644</v>
      </c>
      <c r="C292" s="17" t="s">
        <v>332</v>
      </c>
      <c r="D292" s="18">
        <v>7.07</v>
      </c>
      <c r="E292" s="18" t="s">
        <v>304</v>
      </c>
    </row>
    <row r="293" spans="1:5" ht="15.5" x14ac:dyDescent="0.35">
      <c r="A293" s="16">
        <v>19</v>
      </c>
      <c r="B293" s="15" t="s">
        <v>645</v>
      </c>
      <c r="C293" s="15" t="s">
        <v>332</v>
      </c>
      <c r="D293" s="16">
        <v>7.02</v>
      </c>
      <c r="E293" s="16" t="s">
        <v>304</v>
      </c>
    </row>
    <row r="294" spans="1:5" ht="15.5" x14ac:dyDescent="0.35">
      <c r="A294" s="18">
        <v>20</v>
      </c>
      <c r="B294" s="17" t="s">
        <v>646</v>
      </c>
      <c r="C294" s="17" t="s">
        <v>332</v>
      </c>
      <c r="D294" s="18">
        <v>6.26</v>
      </c>
      <c r="E294" s="18" t="s">
        <v>304</v>
      </c>
    </row>
    <row r="295" spans="1:5" ht="15.5" x14ac:dyDescent="0.35">
      <c r="A295" s="16">
        <v>21</v>
      </c>
      <c r="B295" s="15" t="s">
        <v>647</v>
      </c>
      <c r="C295" s="15" t="s">
        <v>332</v>
      </c>
      <c r="D295" s="16">
        <v>6.08</v>
      </c>
      <c r="E295" s="16" t="s">
        <v>304</v>
      </c>
    </row>
    <row r="296" spans="1:5" ht="15.5" x14ac:dyDescent="0.35">
      <c r="A296" s="18">
        <v>22</v>
      </c>
      <c r="B296" s="17" t="s">
        <v>648</v>
      </c>
      <c r="C296" s="17" t="s">
        <v>649</v>
      </c>
      <c r="D296" s="18">
        <v>5.94</v>
      </c>
      <c r="E296" s="18" t="s">
        <v>304</v>
      </c>
    </row>
    <row r="297" spans="1:5" ht="15.5" x14ac:dyDescent="0.35">
      <c r="A297" s="16">
        <v>23</v>
      </c>
      <c r="B297" s="15" t="s">
        <v>650</v>
      </c>
      <c r="C297" s="15" t="s">
        <v>651</v>
      </c>
      <c r="D297" s="16">
        <v>5.91</v>
      </c>
      <c r="E297" s="16" t="s">
        <v>304</v>
      </c>
    </row>
    <row r="298" spans="1:5" ht="15.5" x14ac:dyDescent="0.35">
      <c r="A298" s="18">
        <v>24</v>
      </c>
      <c r="B298" s="17" t="s">
        <v>432</v>
      </c>
      <c r="C298" s="17" t="s">
        <v>652</v>
      </c>
      <c r="D298" s="18">
        <v>5.64</v>
      </c>
      <c r="E298" s="18" t="s">
        <v>304</v>
      </c>
    </row>
    <row r="299" spans="1:5" ht="15.5" x14ac:dyDescent="0.35">
      <c r="A299" s="16">
        <v>25</v>
      </c>
      <c r="B299" s="15" t="s">
        <v>643</v>
      </c>
      <c r="C299" s="15" t="s">
        <v>332</v>
      </c>
      <c r="D299" s="16" t="s">
        <v>654</v>
      </c>
      <c r="E299" s="16" t="s">
        <v>304</v>
      </c>
    </row>
    <row r="300" spans="1:5" ht="15.5" x14ac:dyDescent="0.35">
      <c r="A300" s="18">
        <v>26</v>
      </c>
      <c r="B300" s="17" t="s">
        <v>655</v>
      </c>
      <c r="C300" s="17" t="s">
        <v>332</v>
      </c>
      <c r="D300" s="18">
        <v>5</v>
      </c>
      <c r="E300" s="18" t="s">
        <v>304</v>
      </c>
    </row>
    <row r="301" spans="1:5" ht="15.5" x14ac:dyDescent="0.35">
      <c r="A301" s="16">
        <v>27</v>
      </c>
      <c r="B301" s="15" t="s">
        <v>656</v>
      </c>
      <c r="C301" s="15" t="s">
        <v>332</v>
      </c>
      <c r="D301" s="16">
        <v>3.52</v>
      </c>
      <c r="E301" s="16" t="s">
        <v>390</v>
      </c>
    </row>
    <row r="302" spans="1:5" ht="15.5" x14ac:dyDescent="0.35">
      <c r="A302" s="18">
        <v>28</v>
      </c>
      <c r="B302" s="17" t="s">
        <v>657</v>
      </c>
      <c r="C302" s="17" t="s">
        <v>658</v>
      </c>
      <c r="D302" s="18">
        <v>3.37</v>
      </c>
      <c r="E302" s="18" t="s">
        <v>390</v>
      </c>
    </row>
    <row r="303" spans="1:5" ht="15.5" x14ac:dyDescent="0.35">
      <c r="A303" s="16">
        <v>29</v>
      </c>
      <c r="B303" s="15" t="s">
        <v>659</v>
      </c>
      <c r="C303" s="15" t="s">
        <v>660</v>
      </c>
      <c r="D303" s="16">
        <v>3.2</v>
      </c>
      <c r="E303" s="16" t="s">
        <v>390</v>
      </c>
    </row>
    <row r="304" spans="1:5" ht="15.5" x14ac:dyDescent="0.35">
      <c r="A304" s="18">
        <v>30</v>
      </c>
      <c r="B304" s="17" t="s">
        <v>661</v>
      </c>
      <c r="C304" s="17" t="s">
        <v>662</v>
      </c>
      <c r="D304" s="18">
        <v>2.79</v>
      </c>
      <c r="E304" s="18" t="s">
        <v>390</v>
      </c>
    </row>
    <row r="305" spans="1:5" ht="15.5" x14ac:dyDescent="0.35">
      <c r="A305" s="16">
        <v>31</v>
      </c>
      <c r="B305" s="15" t="s">
        <v>663</v>
      </c>
      <c r="C305" s="15" t="s">
        <v>664</v>
      </c>
      <c r="D305" s="16">
        <v>2.82</v>
      </c>
      <c r="E305" s="16" t="s">
        <v>390</v>
      </c>
    </row>
    <row r="306" spans="1:5" ht="15.5" x14ac:dyDescent="0.35">
      <c r="A306" s="18">
        <v>32</v>
      </c>
      <c r="B306" s="17" t="s">
        <v>665</v>
      </c>
      <c r="C306" s="17" t="s">
        <v>666</v>
      </c>
      <c r="D306" s="18">
        <v>2.5</v>
      </c>
      <c r="E306" s="18" t="s">
        <v>390</v>
      </c>
    </row>
    <row r="307" spans="1:5" ht="15.5" x14ac:dyDescent="0.35">
      <c r="A307" s="16">
        <v>33</v>
      </c>
      <c r="B307" s="15" t="s">
        <v>667</v>
      </c>
      <c r="C307" s="15" t="s">
        <v>332</v>
      </c>
      <c r="D307" s="16">
        <v>2.41</v>
      </c>
      <c r="E307" s="16" t="s">
        <v>390</v>
      </c>
    </row>
    <row r="308" spans="1:5" ht="15.5" x14ac:dyDescent="0.35">
      <c r="A308" s="16" t="s">
        <v>693</v>
      </c>
      <c r="B308" s="15"/>
      <c r="C308" s="15"/>
      <c r="D308" s="16"/>
      <c r="E308" s="16">
        <f>SUBTOTAL(103,Table17[Observation])</f>
        <v>33</v>
      </c>
    </row>
  </sheetData>
  <pageMargins left="0.7" right="0.7" top="0.75" bottom="0.75" header="0.3" footer="0.3"/>
  <pageSetup paperSize="9" orientation="portrait" horizontalDpi="0" verticalDpi="0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8"/>
  <sheetViews>
    <sheetView topLeftCell="A9" workbookViewId="0">
      <selection activeCell="E21" sqref="E9:E21"/>
    </sheetView>
  </sheetViews>
  <sheetFormatPr defaultColWidth="10.90625" defaultRowHeight="14.5" x14ac:dyDescent="0.35"/>
  <cols>
    <col min="1" max="1" width="8.453125" customWidth="1"/>
    <col min="2" max="2" width="23.453125" customWidth="1"/>
    <col min="3" max="3" width="25.36328125" customWidth="1"/>
    <col min="4" max="4" width="13.81640625" customWidth="1"/>
    <col min="5" max="5" width="12.453125" customWidth="1"/>
    <col min="6" max="6" width="13.1796875" customWidth="1"/>
    <col min="7" max="7" width="22.1796875" customWidth="1"/>
  </cols>
  <sheetData>
    <row r="1" spans="1:7" x14ac:dyDescent="0.35">
      <c r="A1" s="1" t="s">
        <v>8</v>
      </c>
      <c r="B1" s="1"/>
      <c r="C1" s="1"/>
      <c r="D1" s="1"/>
      <c r="E1" s="2"/>
      <c r="F1" s="2"/>
      <c r="G1" s="2"/>
    </row>
    <row r="2" spans="1:7" x14ac:dyDescent="0.35">
      <c r="A2" s="1" t="s">
        <v>0</v>
      </c>
      <c r="B2" s="1"/>
      <c r="C2" s="1"/>
      <c r="D2" s="1"/>
      <c r="E2" s="2"/>
      <c r="F2" s="2"/>
      <c r="G2" s="2"/>
    </row>
    <row r="3" spans="1:7" x14ac:dyDescent="0.35">
      <c r="A3" s="1" t="s">
        <v>1</v>
      </c>
      <c r="B3" s="1"/>
      <c r="C3" s="1"/>
      <c r="D3" s="1"/>
      <c r="E3" s="2"/>
      <c r="F3" s="2"/>
      <c r="G3" s="2"/>
    </row>
    <row r="4" spans="1:7" x14ac:dyDescent="0.35">
      <c r="A4" s="1" t="s">
        <v>2</v>
      </c>
      <c r="B4" s="1"/>
      <c r="C4" s="1"/>
      <c r="D4" s="1"/>
      <c r="E4" s="2"/>
      <c r="F4" s="2"/>
      <c r="G4" s="2"/>
    </row>
    <row r="5" spans="1:7" x14ac:dyDescent="0.35">
      <c r="A5" s="1" t="s">
        <v>3</v>
      </c>
      <c r="B5" s="1"/>
      <c r="C5" s="1"/>
      <c r="D5" s="1"/>
      <c r="E5" s="2"/>
      <c r="F5" s="2"/>
      <c r="G5" s="2"/>
    </row>
    <row r="6" spans="1:7" x14ac:dyDescent="0.35">
      <c r="A6" s="1" t="s">
        <v>9</v>
      </c>
      <c r="B6" s="1"/>
      <c r="C6" s="1"/>
      <c r="D6" s="1"/>
      <c r="E6" s="2"/>
      <c r="F6" s="2"/>
      <c r="G6" s="2"/>
    </row>
    <row r="7" spans="1:7" x14ac:dyDescent="0.35">
      <c r="A7" s="1"/>
      <c r="B7" s="1"/>
      <c r="C7" s="1"/>
      <c r="D7" s="1"/>
      <c r="E7" s="2"/>
      <c r="F7" s="2"/>
      <c r="G7" s="2"/>
    </row>
    <row r="8" spans="1:7" x14ac:dyDescent="0.35">
      <c r="A8" s="1"/>
      <c r="B8" s="1" t="s">
        <v>10</v>
      </c>
      <c r="C8" s="1" t="s">
        <v>19</v>
      </c>
      <c r="D8" s="1"/>
      <c r="E8" s="2"/>
      <c r="F8" s="2"/>
      <c r="G8" s="2"/>
    </row>
    <row r="9" spans="1:7" ht="37.5" customHeight="1" x14ac:dyDescent="0.35">
      <c r="A9" s="82" t="s">
        <v>4</v>
      </c>
      <c r="B9" s="83" t="s">
        <v>11</v>
      </c>
      <c r="C9" s="83" t="s">
        <v>12</v>
      </c>
      <c r="D9" s="84" t="s">
        <v>147</v>
      </c>
      <c r="E9" s="84" t="s">
        <v>148</v>
      </c>
      <c r="F9" s="83" t="s">
        <v>13</v>
      </c>
    </row>
    <row r="10" spans="1:7" x14ac:dyDescent="0.35">
      <c r="A10" s="77">
        <v>1</v>
      </c>
      <c r="B10" s="58" t="s">
        <v>14</v>
      </c>
      <c r="C10" s="58" t="s">
        <v>69</v>
      </c>
      <c r="D10" s="58">
        <v>8.7200000000000006</v>
      </c>
      <c r="E10" s="59">
        <v>7</v>
      </c>
      <c r="F10" s="80" t="s">
        <v>15</v>
      </c>
    </row>
    <row r="11" spans="1:7" x14ac:dyDescent="0.35">
      <c r="A11" s="78">
        <f t="shared" ref="A11:A38" si="0">A10+1</f>
        <v>2</v>
      </c>
      <c r="B11" s="58" t="s">
        <v>14</v>
      </c>
      <c r="C11" s="58" t="s">
        <v>70</v>
      </c>
      <c r="D11" s="58">
        <v>8.5</v>
      </c>
      <c r="E11" s="60">
        <v>6.9285714285714297</v>
      </c>
      <c r="F11" s="81" t="s">
        <v>15</v>
      </c>
    </row>
    <row r="12" spans="1:7" x14ac:dyDescent="0.35">
      <c r="A12" s="77">
        <f t="shared" si="0"/>
        <v>3</v>
      </c>
      <c r="B12" s="58" t="s">
        <v>14</v>
      </c>
      <c r="C12" s="58" t="s">
        <v>71</v>
      </c>
      <c r="D12" s="58">
        <v>8.52</v>
      </c>
      <c r="E12" s="59">
        <v>5.5</v>
      </c>
      <c r="F12" s="80" t="s">
        <v>15</v>
      </c>
    </row>
    <row r="13" spans="1:7" x14ac:dyDescent="0.35">
      <c r="A13" s="78">
        <f t="shared" si="0"/>
        <v>4</v>
      </c>
      <c r="B13" s="58" t="s">
        <v>14</v>
      </c>
      <c r="C13" s="58" t="s">
        <v>72</v>
      </c>
      <c r="D13" s="58">
        <v>8.1300000000000008</v>
      </c>
      <c r="E13" s="60">
        <v>4.42</v>
      </c>
      <c r="F13" s="81" t="s">
        <v>293</v>
      </c>
    </row>
    <row r="14" spans="1:7" x14ac:dyDescent="0.35">
      <c r="A14" s="77">
        <f t="shared" si="0"/>
        <v>5</v>
      </c>
      <c r="B14" s="58" t="s">
        <v>14</v>
      </c>
      <c r="C14" s="58" t="s">
        <v>73</v>
      </c>
      <c r="D14" s="58">
        <v>8.02</v>
      </c>
      <c r="E14" s="59">
        <v>4.3</v>
      </c>
      <c r="F14" s="80" t="s">
        <v>293</v>
      </c>
    </row>
    <row r="15" spans="1:7" x14ac:dyDescent="0.35">
      <c r="A15" s="78">
        <f t="shared" si="0"/>
        <v>6</v>
      </c>
      <c r="B15" s="58" t="s">
        <v>14</v>
      </c>
      <c r="C15" s="58" t="s">
        <v>74</v>
      </c>
      <c r="D15" s="58">
        <v>7.77</v>
      </c>
      <c r="E15" s="60">
        <v>4.26</v>
      </c>
      <c r="F15" s="81" t="s">
        <v>293</v>
      </c>
    </row>
    <row r="16" spans="1:7" x14ac:dyDescent="0.35">
      <c r="A16" s="77">
        <f t="shared" si="0"/>
        <v>7</v>
      </c>
      <c r="B16" s="58" t="s">
        <v>14</v>
      </c>
      <c r="C16" s="58" t="s">
        <v>75</v>
      </c>
      <c r="D16" s="58">
        <v>7.05</v>
      </c>
      <c r="E16" s="59">
        <v>4.22</v>
      </c>
      <c r="F16" s="80" t="s">
        <v>293</v>
      </c>
    </row>
    <row r="17" spans="1:10" x14ac:dyDescent="0.35">
      <c r="A17" s="78">
        <f t="shared" si="0"/>
        <v>8</v>
      </c>
      <c r="B17" s="58" t="s">
        <v>14</v>
      </c>
      <c r="C17" s="58" t="s">
        <v>76</v>
      </c>
      <c r="D17" s="58">
        <v>7.77</v>
      </c>
      <c r="E17" s="60">
        <v>3.99</v>
      </c>
      <c r="F17" s="81" t="s">
        <v>293</v>
      </c>
    </row>
    <row r="18" spans="1:10" x14ac:dyDescent="0.35">
      <c r="A18" s="77">
        <f t="shared" si="0"/>
        <v>9</v>
      </c>
      <c r="B18" s="58" t="s">
        <v>14</v>
      </c>
      <c r="C18" s="58" t="s">
        <v>223</v>
      </c>
      <c r="D18" s="61">
        <v>6.06</v>
      </c>
      <c r="E18" s="62">
        <v>3.8214285714285716</v>
      </c>
      <c r="F18" s="80" t="s">
        <v>293</v>
      </c>
    </row>
    <row r="19" spans="1:10" x14ac:dyDescent="0.35">
      <c r="A19" s="78">
        <f t="shared" si="0"/>
        <v>10</v>
      </c>
      <c r="B19" s="58" t="s">
        <v>14</v>
      </c>
      <c r="C19" s="58" t="s">
        <v>224</v>
      </c>
      <c r="D19" s="63">
        <v>4.7699999999999996</v>
      </c>
      <c r="E19" s="64">
        <v>2.4642857142857144</v>
      </c>
      <c r="F19" s="81" t="s">
        <v>293</v>
      </c>
    </row>
    <row r="20" spans="1:10" x14ac:dyDescent="0.35">
      <c r="A20" s="77">
        <f t="shared" si="0"/>
        <v>11</v>
      </c>
      <c r="B20" s="58" t="s">
        <v>14</v>
      </c>
      <c r="C20" s="58" t="s">
        <v>289</v>
      </c>
      <c r="D20" s="65">
        <v>3.83</v>
      </c>
      <c r="E20" s="62">
        <v>2.1428571428571428</v>
      </c>
      <c r="F20" s="80" t="s">
        <v>293</v>
      </c>
    </row>
    <row r="21" spans="1:10" x14ac:dyDescent="0.35">
      <c r="A21" s="78">
        <f t="shared" si="0"/>
        <v>12</v>
      </c>
      <c r="B21" s="58" t="s">
        <v>14</v>
      </c>
      <c r="C21" s="58" t="s">
        <v>225</v>
      </c>
      <c r="D21" s="66">
        <v>5.5</v>
      </c>
      <c r="E21" s="64">
        <v>0</v>
      </c>
      <c r="F21" s="81" t="s">
        <v>293</v>
      </c>
    </row>
    <row r="22" spans="1:10" x14ac:dyDescent="0.35">
      <c r="A22" s="77">
        <f t="shared" si="0"/>
        <v>13</v>
      </c>
      <c r="B22" s="58" t="s">
        <v>14</v>
      </c>
      <c r="C22" s="58" t="s">
        <v>227</v>
      </c>
      <c r="D22" s="65">
        <v>5.33</v>
      </c>
      <c r="E22" s="62">
        <v>0</v>
      </c>
      <c r="F22" s="80" t="s">
        <v>293</v>
      </c>
    </row>
    <row r="23" spans="1:10" x14ac:dyDescent="0.35">
      <c r="A23" s="78">
        <f t="shared" si="0"/>
        <v>14</v>
      </c>
      <c r="B23" s="58" t="s">
        <v>14</v>
      </c>
      <c r="C23" s="58" t="s">
        <v>226</v>
      </c>
      <c r="D23" s="66">
        <v>4.63</v>
      </c>
      <c r="E23" s="64">
        <v>0</v>
      </c>
      <c r="F23" s="81" t="s">
        <v>293</v>
      </c>
    </row>
    <row r="24" spans="1:10" x14ac:dyDescent="0.35">
      <c r="A24" s="77">
        <v>1</v>
      </c>
      <c r="B24" s="58" t="s">
        <v>5</v>
      </c>
      <c r="C24" s="58" t="s">
        <v>20</v>
      </c>
      <c r="D24" s="58">
        <v>9.58</v>
      </c>
      <c r="E24" s="59">
        <v>7.7142857142857144</v>
      </c>
      <c r="F24" s="80" t="s">
        <v>670</v>
      </c>
    </row>
    <row r="25" spans="1:10" x14ac:dyDescent="0.35">
      <c r="A25" s="78">
        <f t="shared" si="0"/>
        <v>2</v>
      </c>
      <c r="B25" s="58" t="s">
        <v>5</v>
      </c>
      <c r="C25" s="58" t="s">
        <v>23</v>
      </c>
      <c r="D25" s="58">
        <v>8.61</v>
      </c>
      <c r="E25" s="60">
        <v>5.0714285714285703</v>
      </c>
      <c r="F25" s="81" t="s">
        <v>670</v>
      </c>
    </row>
    <row r="26" spans="1:10" x14ac:dyDescent="0.35">
      <c r="A26" s="77">
        <f t="shared" si="0"/>
        <v>3</v>
      </c>
      <c r="B26" s="58" t="s">
        <v>5</v>
      </c>
      <c r="C26" s="58" t="s">
        <v>22</v>
      </c>
      <c r="D26" s="58">
        <v>7.38</v>
      </c>
      <c r="E26" s="59">
        <v>4.5857142857142899</v>
      </c>
      <c r="F26" s="80" t="s">
        <v>670</v>
      </c>
    </row>
    <row r="27" spans="1:10" x14ac:dyDescent="0.35">
      <c r="A27" s="78">
        <f t="shared" si="0"/>
        <v>4</v>
      </c>
      <c r="B27" s="58" t="s">
        <v>5</v>
      </c>
      <c r="C27" s="58" t="s">
        <v>21</v>
      </c>
      <c r="D27" s="58">
        <v>6.63</v>
      </c>
      <c r="E27" s="60">
        <v>4.34</v>
      </c>
      <c r="F27" s="81" t="s">
        <v>293</v>
      </c>
    </row>
    <row r="28" spans="1:10" x14ac:dyDescent="0.35">
      <c r="A28" s="77">
        <f t="shared" si="0"/>
        <v>5</v>
      </c>
      <c r="B28" s="58" t="s">
        <v>5</v>
      </c>
      <c r="C28" s="58" t="s">
        <v>25</v>
      </c>
      <c r="D28" s="58">
        <v>7.08</v>
      </c>
      <c r="E28" s="59">
        <v>4.3</v>
      </c>
      <c r="F28" s="80" t="s">
        <v>293</v>
      </c>
    </row>
    <row r="29" spans="1:10" x14ac:dyDescent="0.35">
      <c r="A29" s="78">
        <f t="shared" si="0"/>
        <v>6</v>
      </c>
      <c r="B29" s="58" t="s">
        <v>5</v>
      </c>
      <c r="C29" s="58" t="s">
        <v>24</v>
      </c>
      <c r="D29" s="58">
        <v>5.52</v>
      </c>
      <c r="E29" s="60">
        <v>4.05</v>
      </c>
      <c r="F29" s="81" t="s">
        <v>293</v>
      </c>
      <c r="J29" s="3"/>
    </row>
    <row r="30" spans="1:10" x14ac:dyDescent="0.35">
      <c r="A30" s="77">
        <f t="shared" si="0"/>
        <v>7</v>
      </c>
      <c r="B30" s="58" t="s">
        <v>5</v>
      </c>
      <c r="C30" s="58" t="s">
        <v>149</v>
      </c>
      <c r="D30" s="59">
        <v>4.1099999999999994</v>
      </c>
      <c r="E30" s="62">
        <v>3.43</v>
      </c>
      <c r="F30" s="80" t="s">
        <v>293</v>
      </c>
      <c r="J30" s="3"/>
    </row>
    <row r="31" spans="1:10" x14ac:dyDescent="0.35">
      <c r="A31" s="78">
        <f t="shared" si="0"/>
        <v>8</v>
      </c>
      <c r="B31" s="58" t="s">
        <v>5</v>
      </c>
      <c r="C31" s="58" t="s">
        <v>157</v>
      </c>
      <c r="D31" s="60">
        <v>7.7050000000000001</v>
      </c>
      <c r="E31" s="64">
        <v>0</v>
      </c>
      <c r="F31" s="81" t="s">
        <v>293</v>
      </c>
      <c r="J31" s="3"/>
    </row>
    <row r="32" spans="1:10" x14ac:dyDescent="0.35">
      <c r="A32" s="77">
        <f t="shared" si="0"/>
        <v>9</v>
      </c>
      <c r="B32" s="58" t="s">
        <v>5</v>
      </c>
      <c r="C32" s="58" t="s">
        <v>150</v>
      </c>
      <c r="D32" s="59">
        <v>3.6399999999999997</v>
      </c>
      <c r="E32" s="62">
        <v>3.2857142857142856</v>
      </c>
      <c r="F32" s="80" t="s">
        <v>293</v>
      </c>
      <c r="J32" s="3"/>
    </row>
    <row r="33" spans="1:10" x14ac:dyDescent="0.35">
      <c r="A33" s="78">
        <f t="shared" si="0"/>
        <v>10</v>
      </c>
      <c r="B33" s="58" t="s">
        <v>5</v>
      </c>
      <c r="C33" s="58" t="s">
        <v>151</v>
      </c>
      <c r="D33" s="60">
        <v>3.85</v>
      </c>
      <c r="E33" s="64">
        <v>2.5714285714285716</v>
      </c>
      <c r="F33" s="81" t="s">
        <v>293</v>
      </c>
      <c r="J33" s="3"/>
    </row>
    <row r="34" spans="1:10" x14ac:dyDescent="0.35">
      <c r="A34" s="77">
        <f t="shared" si="0"/>
        <v>11</v>
      </c>
      <c r="B34" s="58" t="s">
        <v>5</v>
      </c>
      <c r="C34" s="58" t="s">
        <v>152</v>
      </c>
      <c r="D34" s="59">
        <v>3.7949999999999999</v>
      </c>
      <c r="E34" s="62">
        <v>2.5</v>
      </c>
      <c r="F34" s="80" t="s">
        <v>293</v>
      </c>
      <c r="J34" s="3"/>
    </row>
    <row r="35" spans="1:10" x14ac:dyDescent="0.35">
      <c r="A35" s="78">
        <f t="shared" si="0"/>
        <v>12</v>
      </c>
      <c r="B35" s="58" t="s">
        <v>5</v>
      </c>
      <c r="C35" s="58" t="s">
        <v>155</v>
      </c>
      <c r="D35" s="60">
        <v>4.21</v>
      </c>
      <c r="E35" s="64">
        <v>2</v>
      </c>
      <c r="F35" s="81" t="s">
        <v>293</v>
      </c>
      <c r="J35" s="3"/>
    </row>
    <row r="36" spans="1:10" x14ac:dyDescent="0.35">
      <c r="A36" s="77">
        <f t="shared" si="0"/>
        <v>13</v>
      </c>
      <c r="B36" s="58" t="s">
        <v>5</v>
      </c>
      <c r="C36" s="58" t="s">
        <v>154</v>
      </c>
      <c r="D36" s="59">
        <v>3.7600000000000002</v>
      </c>
      <c r="E36" s="62">
        <v>2.0357142857142856</v>
      </c>
      <c r="F36" s="80" t="s">
        <v>293</v>
      </c>
      <c r="J36" s="3"/>
    </row>
    <row r="37" spans="1:10" x14ac:dyDescent="0.35">
      <c r="A37" s="78">
        <f t="shared" si="0"/>
        <v>14</v>
      </c>
      <c r="B37" s="58" t="s">
        <v>5</v>
      </c>
      <c r="C37" s="58" t="s">
        <v>156</v>
      </c>
      <c r="D37" s="60">
        <v>3.6850000000000001</v>
      </c>
      <c r="E37" s="64">
        <v>1.9642857142857142</v>
      </c>
      <c r="F37" s="81" t="s">
        <v>293</v>
      </c>
      <c r="J37" s="3"/>
    </row>
    <row r="38" spans="1:10" x14ac:dyDescent="0.35">
      <c r="A38" s="77">
        <f t="shared" si="0"/>
        <v>15</v>
      </c>
      <c r="B38" s="58" t="s">
        <v>5</v>
      </c>
      <c r="C38" s="58" t="s">
        <v>153</v>
      </c>
      <c r="D38" s="59">
        <v>3.1349999999999998</v>
      </c>
      <c r="E38" s="62">
        <v>2.3928571428571428</v>
      </c>
      <c r="F38" s="80" t="s">
        <v>293</v>
      </c>
    </row>
    <row r="39" spans="1:10" x14ac:dyDescent="0.35">
      <c r="A39" s="78">
        <v>1</v>
      </c>
      <c r="B39" s="58" t="s">
        <v>16</v>
      </c>
      <c r="C39" s="58" t="s">
        <v>46</v>
      </c>
      <c r="D39" s="58">
        <v>8.92</v>
      </c>
      <c r="E39" s="67">
        <v>6.7142857142857144</v>
      </c>
      <c r="F39" s="81" t="s">
        <v>670</v>
      </c>
    </row>
    <row r="40" spans="1:10" x14ac:dyDescent="0.35">
      <c r="A40" s="77">
        <f t="shared" ref="A40:A58" si="1">A39+1</f>
        <v>2</v>
      </c>
      <c r="B40" s="58" t="s">
        <v>16</v>
      </c>
      <c r="C40" s="58" t="s">
        <v>45</v>
      </c>
      <c r="D40" s="58">
        <v>8.5</v>
      </c>
      <c r="E40" s="68">
        <v>6.8928571428571432</v>
      </c>
      <c r="F40" s="80" t="s">
        <v>670</v>
      </c>
    </row>
    <row r="41" spans="1:10" x14ac:dyDescent="0.35">
      <c r="A41" s="78">
        <f t="shared" si="1"/>
        <v>3</v>
      </c>
      <c r="B41" s="58" t="s">
        <v>16</v>
      </c>
      <c r="C41" s="58" t="s">
        <v>48</v>
      </c>
      <c r="D41" s="58">
        <v>8.82</v>
      </c>
      <c r="E41" s="67">
        <v>6.5535714285714288</v>
      </c>
      <c r="F41" s="81" t="s">
        <v>670</v>
      </c>
    </row>
    <row r="42" spans="1:10" x14ac:dyDescent="0.35">
      <c r="A42" s="77">
        <f t="shared" si="1"/>
        <v>4</v>
      </c>
      <c r="B42" s="58" t="s">
        <v>16</v>
      </c>
      <c r="C42" s="58" t="s">
        <v>44</v>
      </c>
      <c r="D42" s="58">
        <v>7.87</v>
      </c>
      <c r="E42" s="68">
        <v>7.25</v>
      </c>
      <c r="F42" s="80" t="s">
        <v>670</v>
      </c>
    </row>
    <row r="43" spans="1:10" x14ac:dyDescent="0.35">
      <c r="A43" s="78">
        <f t="shared" si="1"/>
        <v>5</v>
      </c>
      <c r="B43" s="58" t="s">
        <v>16</v>
      </c>
      <c r="C43" s="58" t="s">
        <v>47</v>
      </c>
      <c r="D43" s="58">
        <v>7.92</v>
      </c>
      <c r="E43" s="67">
        <v>4.53</v>
      </c>
      <c r="F43" s="81" t="s">
        <v>670</v>
      </c>
    </row>
    <row r="44" spans="1:10" x14ac:dyDescent="0.35">
      <c r="A44" s="77">
        <f t="shared" si="1"/>
        <v>6</v>
      </c>
      <c r="B44" s="58" t="s">
        <v>16</v>
      </c>
      <c r="C44" s="58" t="s">
        <v>50</v>
      </c>
      <c r="D44" s="58">
        <v>7.5</v>
      </c>
      <c r="E44" s="68">
        <v>4.38</v>
      </c>
      <c r="F44" s="80" t="s">
        <v>293</v>
      </c>
    </row>
    <row r="45" spans="1:10" x14ac:dyDescent="0.35">
      <c r="A45" s="78">
        <f t="shared" si="1"/>
        <v>7</v>
      </c>
      <c r="B45" s="58" t="s">
        <v>16</v>
      </c>
      <c r="C45" s="58" t="s">
        <v>49</v>
      </c>
      <c r="D45" s="58">
        <v>7.4</v>
      </c>
      <c r="E45" s="67">
        <v>4.37</v>
      </c>
      <c r="F45" s="81" t="s">
        <v>293</v>
      </c>
    </row>
    <row r="46" spans="1:10" x14ac:dyDescent="0.35">
      <c r="A46" s="77">
        <f t="shared" si="1"/>
        <v>8</v>
      </c>
      <c r="B46" s="58" t="s">
        <v>16</v>
      </c>
      <c r="C46" s="58" t="s">
        <v>51</v>
      </c>
      <c r="D46" s="58">
        <v>7.56</v>
      </c>
      <c r="E46" s="68">
        <v>4.37</v>
      </c>
      <c r="F46" s="80" t="s">
        <v>293</v>
      </c>
    </row>
    <row r="47" spans="1:10" x14ac:dyDescent="0.35">
      <c r="A47" s="78">
        <f t="shared" si="1"/>
        <v>9</v>
      </c>
      <c r="B47" s="58" t="s">
        <v>16</v>
      </c>
      <c r="C47" s="58" t="s">
        <v>52</v>
      </c>
      <c r="D47" s="58">
        <v>7.58</v>
      </c>
      <c r="E47" s="67">
        <v>4.34</v>
      </c>
      <c r="F47" s="81" t="s">
        <v>293</v>
      </c>
    </row>
    <row r="48" spans="1:10" x14ac:dyDescent="0.35">
      <c r="A48" s="77">
        <f t="shared" si="1"/>
        <v>10</v>
      </c>
      <c r="B48" s="58" t="s">
        <v>16</v>
      </c>
      <c r="C48" s="58" t="s">
        <v>54</v>
      </c>
      <c r="D48" s="69">
        <v>8.1999999999999993</v>
      </c>
      <c r="E48" s="68">
        <v>4.29</v>
      </c>
      <c r="F48" s="80" t="s">
        <v>293</v>
      </c>
    </row>
    <row r="49" spans="1:10" x14ac:dyDescent="0.35">
      <c r="A49" s="78">
        <f t="shared" si="1"/>
        <v>11</v>
      </c>
      <c r="B49" s="58" t="s">
        <v>16</v>
      </c>
      <c r="C49" s="58" t="s">
        <v>59</v>
      </c>
      <c r="D49" s="58">
        <v>8.5</v>
      </c>
      <c r="E49" s="67">
        <v>4.1900000000000004</v>
      </c>
      <c r="F49" s="81" t="s">
        <v>293</v>
      </c>
    </row>
    <row r="50" spans="1:10" x14ac:dyDescent="0.35">
      <c r="A50" s="77">
        <f t="shared" si="1"/>
        <v>12</v>
      </c>
      <c r="B50" s="58" t="s">
        <v>16</v>
      </c>
      <c r="C50" s="58" t="s">
        <v>60</v>
      </c>
      <c r="D50" s="58">
        <v>8.4499999999999993</v>
      </c>
      <c r="E50" s="68">
        <v>4.17</v>
      </c>
      <c r="F50" s="80" t="s">
        <v>293</v>
      </c>
    </row>
    <row r="51" spans="1:10" x14ac:dyDescent="0.35">
      <c r="A51" s="78">
        <f t="shared" si="1"/>
        <v>13</v>
      </c>
      <c r="B51" s="58" t="s">
        <v>16</v>
      </c>
      <c r="C51" s="58" t="s">
        <v>53</v>
      </c>
      <c r="D51" s="58">
        <v>6.5</v>
      </c>
      <c r="E51" s="67">
        <v>4.12</v>
      </c>
      <c r="F51" s="81" t="s">
        <v>293</v>
      </c>
    </row>
    <row r="52" spans="1:10" x14ac:dyDescent="0.35">
      <c r="A52" s="77">
        <f t="shared" si="1"/>
        <v>14</v>
      </c>
      <c r="B52" s="58" t="s">
        <v>16</v>
      </c>
      <c r="C52" s="58" t="s">
        <v>58</v>
      </c>
      <c r="D52" s="58">
        <v>7.26</v>
      </c>
      <c r="E52" s="68">
        <v>4.09</v>
      </c>
      <c r="F52" s="80" t="s">
        <v>293</v>
      </c>
    </row>
    <row r="53" spans="1:10" x14ac:dyDescent="0.35">
      <c r="A53" s="78">
        <f t="shared" si="1"/>
        <v>15</v>
      </c>
      <c r="B53" s="58" t="s">
        <v>16</v>
      </c>
      <c r="C53" s="58" t="s">
        <v>57</v>
      </c>
      <c r="D53" s="58">
        <v>6.18</v>
      </c>
      <c r="E53" s="67">
        <v>4.03</v>
      </c>
      <c r="F53" s="81" t="s">
        <v>293</v>
      </c>
    </row>
    <row r="54" spans="1:10" x14ac:dyDescent="0.35">
      <c r="A54" s="77">
        <f t="shared" si="1"/>
        <v>16</v>
      </c>
      <c r="B54" s="58" t="s">
        <v>16</v>
      </c>
      <c r="C54" s="58" t="s">
        <v>55</v>
      </c>
      <c r="D54" s="58">
        <v>5.37</v>
      </c>
      <c r="E54" s="68">
        <v>4.03</v>
      </c>
      <c r="F54" s="80" t="s">
        <v>293</v>
      </c>
    </row>
    <row r="55" spans="1:10" x14ac:dyDescent="0.35">
      <c r="A55" s="78">
        <f t="shared" si="1"/>
        <v>17</v>
      </c>
      <c r="B55" s="58" t="s">
        <v>16</v>
      </c>
      <c r="C55" s="58" t="s">
        <v>56</v>
      </c>
      <c r="D55" s="58">
        <v>5.23</v>
      </c>
      <c r="E55" s="67">
        <v>4.1399999999999997</v>
      </c>
      <c r="F55" s="81" t="s">
        <v>293</v>
      </c>
    </row>
    <row r="56" spans="1:10" x14ac:dyDescent="0.35">
      <c r="A56" s="77">
        <f t="shared" si="1"/>
        <v>18</v>
      </c>
      <c r="B56" s="65" t="s">
        <v>16</v>
      </c>
      <c r="C56" s="58" t="s">
        <v>160</v>
      </c>
      <c r="D56" s="59">
        <v>5.3149999999999995</v>
      </c>
      <c r="E56" s="62">
        <v>4</v>
      </c>
      <c r="F56" s="80" t="s">
        <v>295</v>
      </c>
    </row>
    <row r="57" spans="1:10" x14ac:dyDescent="0.35">
      <c r="A57" s="78">
        <f t="shared" si="1"/>
        <v>19</v>
      </c>
      <c r="B57" s="66" t="s">
        <v>16</v>
      </c>
      <c r="C57" s="58" t="s">
        <v>168</v>
      </c>
      <c r="D57" s="60">
        <v>5.8450000000000006</v>
      </c>
      <c r="E57" s="64">
        <v>3.3392857142857144</v>
      </c>
      <c r="F57" s="81" t="s">
        <v>295</v>
      </c>
    </row>
    <row r="58" spans="1:10" x14ac:dyDescent="0.35">
      <c r="A58" s="77">
        <f t="shared" si="1"/>
        <v>20</v>
      </c>
      <c r="B58" s="65" t="s">
        <v>16</v>
      </c>
      <c r="C58" s="58" t="s">
        <v>167</v>
      </c>
      <c r="D58" s="59">
        <v>5.375</v>
      </c>
      <c r="E58" s="62">
        <v>3.5714285714285716</v>
      </c>
      <c r="F58" s="80" t="s">
        <v>293</v>
      </c>
    </row>
    <row r="59" spans="1:10" x14ac:dyDescent="0.35">
      <c r="A59" s="78">
        <f t="shared" ref="A59:A95" si="2">A58+1</f>
        <v>21</v>
      </c>
      <c r="B59" s="66" t="s">
        <v>16</v>
      </c>
      <c r="C59" s="58" t="s">
        <v>170</v>
      </c>
      <c r="D59" s="60">
        <v>5.6</v>
      </c>
      <c r="E59" s="64">
        <v>3.1785714285714284</v>
      </c>
      <c r="F59" s="81" t="s">
        <v>293</v>
      </c>
    </row>
    <row r="60" spans="1:10" x14ac:dyDescent="0.35">
      <c r="A60" s="77">
        <f t="shared" si="2"/>
        <v>22</v>
      </c>
      <c r="B60" s="65" t="s">
        <v>16</v>
      </c>
      <c r="C60" s="58" t="s">
        <v>174</v>
      </c>
      <c r="D60" s="59">
        <v>5.79</v>
      </c>
      <c r="E60" s="62">
        <v>2.9285714285714284</v>
      </c>
      <c r="F60" s="80" t="s">
        <v>295</v>
      </c>
    </row>
    <row r="61" spans="1:10" x14ac:dyDescent="0.35">
      <c r="A61" s="78">
        <f t="shared" si="2"/>
        <v>23</v>
      </c>
      <c r="B61" s="66" t="s">
        <v>16</v>
      </c>
      <c r="C61" s="58" t="s">
        <v>162</v>
      </c>
      <c r="D61" s="60">
        <v>4.76</v>
      </c>
      <c r="E61" s="64">
        <v>3.75</v>
      </c>
      <c r="F61" s="81" t="s">
        <v>293</v>
      </c>
    </row>
    <row r="62" spans="1:10" x14ac:dyDescent="0.35">
      <c r="A62" s="77">
        <f t="shared" si="2"/>
        <v>24</v>
      </c>
      <c r="B62" s="65" t="s">
        <v>16</v>
      </c>
      <c r="C62" s="58" t="s">
        <v>169</v>
      </c>
      <c r="D62" s="59">
        <v>5.2200000000000006</v>
      </c>
      <c r="E62" s="62">
        <v>3.1785714285714284</v>
      </c>
      <c r="F62" s="80" t="s">
        <v>293</v>
      </c>
    </row>
    <row r="63" spans="1:10" x14ac:dyDescent="0.35">
      <c r="A63" s="78">
        <f t="shared" si="2"/>
        <v>25</v>
      </c>
      <c r="B63" s="66" t="s">
        <v>16</v>
      </c>
      <c r="C63" s="58" t="s">
        <v>159</v>
      </c>
      <c r="D63" s="60">
        <v>3.9550000000000001</v>
      </c>
      <c r="E63" s="64">
        <v>4.3928571428571432</v>
      </c>
      <c r="F63" s="81" t="s">
        <v>293</v>
      </c>
      <c r="J63" s="3"/>
    </row>
    <row r="64" spans="1:10" x14ac:dyDescent="0.35">
      <c r="A64" s="77">
        <f t="shared" si="2"/>
        <v>26</v>
      </c>
      <c r="B64" s="65" t="s">
        <v>16</v>
      </c>
      <c r="C64" s="58" t="s">
        <v>173</v>
      </c>
      <c r="D64" s="59">
        <v>5.3650000000000002</v>
      </c>
      <c r="E64" s="62">
        <v>2.9821428571428572</v>
      </c>
      <c r="F64" s="80" t="s">
        <v>293</v>
      </c>
      <c r="J64" s="3"/>
    </row>
    <row r="65" spans="1:10" x14ac:dyDescent="0.35">
      <c r="A65" s="78">
        <f t="shared" si="2"/>
        <v>27</v>
      </c>
      <c r="B65" s="66" t="s">
        <v>16</v>
      </c>
      <c r="C65" s="58" t="s">
        <v>164</v>
      </c>
      <c r="D65" s="60">
        <v>4.5650000000000004</v>
      </c>
      <c r="E65" s="64">
        <v>3.7142857142857144</v>
      </c>
      <c r="F65" s="81" t="s">
        <v>293</v>
      </c>
      <c r="J65" s="3"/>
    </row>
    <row r="66" spans="1:10" x14ac:dyDescent="0.35">
      <c r="A66" s="77">
        <f t="shared" si="2"/>
        <v>28</v>
      </c>
      <c r="B66" s="65" t="s">
        <v>16</v>
      </c>
      <c r="C66" s="58" t="s">
        <v>165</v>
      </c>
      <c r="D66" s="59">
        <v>4.58</v>
      </c>
      <c r="E66" s="62">
        <v>3.6785714285714284</v>
      </c>
      <c r="F66" s="80" t="s">
        <v>293</v>
      </c>
      <c r="J66" s="3"/>
    </row>
    <row r="67" spans="1:10" x14ac:dyDescent="0.35">
      <c r="A67" s="78">
        <f t="shared" si="2"/>
        <v>29</v>
      </c>
      <c r="B67" s="66" t="s">
        <v>16</v>
      </c>
      <c r="C67" s="58" t="s">
        <v>166</v>
      </c>
      <c r="D67" s="60">
        <v>4.58</v>
      </c>
      <c r="E67" s="64">
        <v>3.625</v>
      </c>
      <c r="F67" s="81" t="s">
        <v>293</v>
      </c>
      <c r="J67" s="3"/>
    </row>
    <row r="68" spans="1:10" x14ac:dyDescent="0.35">
      <c r="A68" s="77">
        <f t="shared" si="2"/>
        <v>30</v>
      </c>
      <c r="B68" s="65" t="s">
        <v>16</v>
      </c>
      <c r="C68" s="58" t="s">
        <v>161</v>
      </c>
      <c r="D68" s="59">
        <v>4.1899999999999995</v>
      </c>
      <c r="E68" s="62">
        <v>3.9821428571428572</v>
      </c>
      <c r="F68" s="80" t="s">
        <v>293</v>
      </c>
      <c r="J68" s="3"/>
    </row>
    <row r="69" spans="1:10" x14ac:dyDescent="0.35">
      <c r="A69" s="78">
        <f t="shared" si="2"/>
        <v>31</v>
      </c>
      <c r="B69" s="66" t="s">
        <v>16</v>
      </c>
      <c r="C69" s="58" t="s">
        <v>172</v>
      </c>
      <c r="D69" s="60">
        <v>4.76</v>
      </c>
      <c r="E69" s="64">
        <v>3.0357142857142856</v>
      </c>
      <c r="F69" s="81" t="s">
        <v>293</v>
      </c>
      <c r="J69" s="3"/>
    </row>
    <row r="70" spans="1:10" x14ac:dyDescent="0.35">
      <c r="A70" s="77">
        <f t="shared" si="2"/>
        <v>32</v>
      </c>
      <c r="B70" s="65" t="s">
        <v>16</v>
      </c>
      <c r="C70" s="58" t="s">
        <v>176</v>
      </c>
      <c r="D70" s="59">
        <v>4.915</v>
      </c>
      <c r="E70" s="62">
        <v>2.5535714285714284</v>
      </c>
      <c r="F70" s="80" t="s">
        <v>293</v>
      </c>
      <c r="J70" s="3"/>
    </row>
    <row r="71" spans="1:10" x14ac:dyDescent="0.35">
      <c r="A71" s="78">
        <f t="shared" si="2"/>
        <v>33</v>
      </c>
      <c r="B71" s="66" t="s">
        <v>16</v>
      </c>
      <c r="C71" s="58" t="s">
        <v>163</v>
      </c>
      <c r="D71" s="60">
        <v>3.7050000000000001</v>
      </c>
      <c r="E71" s="64">
        <v>3.7321428571428572</v>
      </c>
      <c r="F71" s="81" t="s">
        <v>293</v>
      </c>
      <c r="J71" s="3"/>
    </row>
    <row r="72" spans="1:10" x14ac:dyDescent="0.35">
      <c r="A72" s="77">
        <f t="shared" si="2"/>
        <v>34</v>
      </c>
      <c r="B72" s="65" t="s">
        <v>16</v>
      </c>
      <c r="C72" s="58" t="s">
        <v>171</v>
      </c>
      <c r="D72" s="59">
        <v>4.1749999999999998</v>
      </c>
      <c r="E72" s="62">
        <v>3.0535714285714284</v>
      </c>
      <c r="F72" s="80" t="s">
        <v>293</v>
      </c>
      <c r="J72" s="3"/>
    </row>
    <row r="73" spans="1:10" x14ac:dyDescent="0.35">
      <c r="A73" s="78">
        <f t="shared" si="2"/>
        <v>35</v>
      </c>
      <c r="B73" s="66" t="s">
        <v>16</v>
      </c>
      <c r="C73" s="58" t="s">
        <v>181</v>
      </c>
      <c r="D73" s="60">
        <v>5.5649999999999995</v>
      </c>
      <c r="E73" s="64">
        <v>1.6071428571428572</v>
      </c>
      <c r="F73" s="81" t="s">
        <v>293</v>
      </c>
      <c r="J73" s="3"/>
    </row>
    <row r="74" spans="1:10" x14ac:dyDescent="0.35">
      <c r="A74" s="77">
        <f t="shared" si="2"/>
        <v>36</v>
      </c>
      <c r="B74" s="65" t="s">
        <v>16</v>
      </c>
      <c r="C74" s="58" t="s">
        <v>179</v>
      </c>
      <c r="D74" s="59">
        <v>5.13</v>
      </c>
      <c r="E74" s="62">
        <v>1.7857142857142858</v>
      </c>
      <c r="F74" s="80" t="s">
        <v>293</v>
      </c>
      <c r="J74" s="3"/>
    </row>
    <row r="75" spans="1:10" x14ac:dyDescent="0.35">
      <c r="A75" s="78">
        <f t="shared" si="2"/>
        <v>37</v>
      </c>
      <c r="B75" s="66" t="s">
        <v>16</v>
      </c>
      <c r="C75" s="58" t="s">
        <v>177</v>
      </c>
      <c r="D75" s="60">
        <v>4.43</v>
      </c>
      <c r="E75" s="64">
        <v>2.4285714285714284</v>
      </c>
      <c r="F75" s="81" t="s">
        <v>293</v>
      </c>
      <c r="J75" s="3"/>
    </row>
    <row r="76" spans="1:10" x14ac:dyDescent="0.35">
      <c r="A76" s="77">
        <f t="shared" si="2"/>
        <v>38</v>
      </c>
      <c r="B76" s="65" t="s">
        <v>16</v>
      </c>
      <c r="C76" s="58" t="s">
        <v>175</v>
      </c>
      <c r="D76" s="59">
        <v>4.1050000000000004</v>
      </c>
      <c r="E76" s="62">
        <v>2.625</v>
      </c>
      <c r="F76" s="80" t="s">
        <v>293</v>
      </c>
      <c r="J76" s="3"/>
    </row>
    <row r="77" spans="1:10" x14ac:dyDescent="0.35">
      <c r="A77" s="78">
        <f t="shared" si="2"/>
        <v>39</v>
      </c>
      <c r="B77" s="66" t="s">
        <v>16</v>
      </c>
      <c r="C77" s="58" t="s">
        <v>184</v>
      </c>
      <c r="D77" s="60">
        <v>5.17</v>
      </c>
      <c r="E77" s="64">
        <v>1.4642857142857142</v>
      </c>
      <c r="F77" s="81" t="s">
        <v>293</v>
      </c>
      <c r="J77" s="3"/>
    </row>
    <row r="78" spans="1:10" x14ac:dyDescent="0.35">
      <c r="A78" s="77">
        <f t="shared" si="2"/>
        <v>40</v>
      </c>
      <c r="B78" s="65" t="s">
        <v>16</v>
      </c>
      <c r="C78" s="58" t="s">
        <v>178</v>
      </c>
      <c r="D78" s="59">
        <v>4.1750000000000007</v>
      </c>
      <c r="E78" s="62">
        <v>1.8214285714285714</v>
      </c>
      <c r="F78" s="80" t="s">
        <v>295</v>
      </c>
      <c r="J78" s="3"/>
    </row>
    <row r="79" spans="1:10" x14ac:dyDescent="0.35">
      <c r="A79" s="78">
        <f t="shared" si="2"/>
        <v>41</v>
      </c>
      <c r="B79" s="66" t="s">
        <v>16</v>
      </c>
      <c r="C79" s="58" t="s">
        <v>182</v>
      </c>
      <c r="D79" s="60">
        <v>4.37</v>
      </c>
      <c r="E79" s="64">
        <v>1.5535714285714286</v>
      </c>
      <c r="F79" s="81" t="s">
        <v>293</v>
      </c>
      <c r="J79" s="3"/>
    </row>
    <row r="80" spans="1:10" x14ac:dyDescent="0.35">
      <c r="A80" s="77">
        <f t="shared" si="2"/>
        <v>42</v>
      </c>
      <c r="B80" s="65" t="s">
        <v>16</v>
      </c>
      <c r="C80" s="58" t="s">
        <v>186</v>
      </c>
      <c r="D80" s="59">
        <v>4.0449999999999999</v>
      </c>
      <c r="E80" s="62">
        <v>1.2142857142857142</v>
      </c>
      <c r="F80" s="80" t="s">
        <v>293</v>
      </c>
      <c r="J80" s="3"/>
    </row>
    <row r="81" spans="1:10" x14ac:dyDescent="0.35">
      <c r="A81" s="78">
        <f t="shared" si="2"/>
        <v>43</v>
      </c>
      <c r="B81" s="66" t="s">
        <v>16</v>
      </c>
      <c r="C81" s="58" t="s">
        <v>180</v>
      </c>
      <c r="D81" s="60">
        <v>3.6500000000000004</v>
      </c>
      <c r="E81" s="64">
        <v>1.6071428571428572</v>
      </c>
      <c r="F81" s="81" t="s">
        <v>293</v>
      </c>
      <c r="J81" s="3"/>
    </row>
    <row r="82" spans="1:10" x14ac:dyDescent="0.35">
      <c r="A82" s="77">
        <f t="shared" si="2"/>
        <v>44</v>
      </c>
      <c r="B82" s="65" t="s">
        <v>16</v>
      </c>
      <c r="C82" s="58" t="s">
        <v>185</v>
      </c>
      <c r="D82" s="59">
        <v>3.8149999999999999</v>
      </c>
      <c r="E82" s="62">
        <v>1.3928571428571428</v>
      </c>
      <c r="F82" s="80" t="s">
        <v>293</v>
      </c>
      <c r="J82" s="3"/>
    </row>
    <row r="83" spans="1:10" x14ac:dyDescent="0.35">
      <c r="A83" s="78">
        <f t="shared" si="2"/>
        <v>45</v>
      </c>
      <c r="B83" s="66" t="s">
        <v>16</v>
      </c>
      <c r="C83" s="58" t="s">
        <v>187</v>
      </c>
      <c r="D83" s="60">
        <v>4.0250000000000004</v>
      </c>
      <c r="E83" s="64">
        <v>1.1785714285714286</v>
      </c>
      <c r="F83" s="81" t="s">
        <v>293</v>
      </c>
      <c r="J83" s="3"/>
    </row>
    <row r="84" spans="1:10" x14ac:dyDescent="0.35">
      <c r="A84" s="77">
        <f t="shared" si="2"/>
        <v>46</v>
      </c>
      <c r="B84" s="65" t="s">
        <v>16</v>
      </c>
      <c r="C84" s="58" t="s">
        <v>158</v>
      </c>
      <c r="D84" s="59">
        <v>3.5350000000000001</v>
      </c>
      <c r="E84" s="62">
        <v>1.1607142857142858</v>
      </c>
      <c r="F84" s="80" t="s">
        <v>293</v>
      </c>
      <c r="J84" s="3"/>
    </row>
    <row r="85" spans="1:10" x14ac:dyDescent="0.35">
      <c r="A85" s="78">
        <f t="shared" si="2"/>
        <v>47</v>
      </c>
      <c r="B85" s="66" t="s">
        <v>16</v>
      </c>
      <c r="C85" s="58" t="s">
        <v>163</v>
      </c>
      <c r="D85" s="60">
        <v>3.6749999999999998</v>
      </c>
      <c r="E85" s="64">
        <v>0.9821428571428571</v>
      </c>
      <c r="F85" s="81" t="s">
        <v>293</v>
      </c>
      <c r="J85" s="3"/>
    </row>
    <row r="86" spans="1:10" x14ac:dyDescent="0.35">
      <c r="A86" s="77">
        <f t="shared" si="2"/>
        <v>48</v>
      </c>
      <c r="B86" s="65" t="s">
        <v>16</v>
      </c>
      <c r="C86" s="58" t="s">
        <v>188</v>
      </c>
      <c r="D86" s="59">
        <v>3.86</v>
      </c>
      <c r="E86" s="62">
        <v>0.35714285714285715</v>
      </c>
      <c r="F86" s="80" t="s">
        <v>293</v>
      </c>
      <c r="J86" s="3"/>
    </row>
    <row r="87" spans="1:10" x14ac:dyDescent="0.35">
      <c r="A87" s="78">
        <f t="shared" si="2"/>
        <v>49</v>
      </c>
      <c r="B87" s="66" t="s">
        <v>16</v>
      </c>
      <c r="C87" s="58" t="s">
        <v>189</v>
      </c>
      <c r="D87" s="60">
        <v>3.84</v>
      </c>
      <c r="E87" s="64">
        <v>0</v>
      </c>
      <c r="F87" s="81" t="s">
        <v>293</v>
      </c>
      <c r="J87" s="3"/>
    </row>
    <row r="88" spans="1:10" x14ac:dyDescent="0.35">
      <c r="A88" s="77">
        <f t="shared" si="2"/>
        <v>50</v>
      </c>
      <c r="B88" s="65" t="s">
        <v>16</v>
      </c>
      <c r="C88" s="58" t="s">
        <v>196</v>
      </c>
      <c r="D88" s="59">
        <v>3.65</v>
      </c>
      <c r="E88" s="62">
        <v>0</v>
      </c>
      <c r="F88" s="80" t="s">
        <v>293</v>
      </c>
      <c r="J88" s="3"/>
    </row>
    <row r="89" spans="1:10" x14ac:dyDescent="0.35">
      <c r="A89" s="78">
        <f t="shared" si="2"/>
        <v>51</v>
      </c>
      <c r="B89" s="66" t="s">
        <v>16</v>
      </c>
      <c r="C89" s="58" t="s">
        <v>183</v>
      </c>
      <c r="D89" s="60">
        <v>2.04</v>
      </c>
      <c r="E89" s="64">
        <v>1.4642857142857142</v>
      </c>
      <c r="F89" s="81" t="s">
        <v>293</v>
      </c>
      <c r="J89" s="3"/>
    </row>
    <row r="90" spans="1:10" x14ac:dyDescent="0.35">
      <c r="A90" s="77">
        <f t="shared" si="2"/>
        <v>52</v>
      </c>
      <c r="B90" s="65" t="s">
        <v>16</v>
      </c>
      <c r="C90" s="58" t="s">
        <v>195</v>
      </c>
      <c r="D90" s="59">
        <v>2.665</v>
      </c>
      <c r="E90" s="62">
        <v>0</v>
      </c>
      <c r="F90" s="80" t="s">
        <v>293</v>
      </c>
      <c r="J90" s="3"/>
    </row>
    <row r="91" spans="1:10" x14ac:dyDescent="0.35">
      <c r="A91" s="78">
        <f t="shared" si="2"/>
        <v>53</v>
      </c>
      <c r="B91" s="66" t="s">
        <v>16</v>
      </c>
      <c r="C91" s="58" t="s">
        <v>193</v>
      </c>
      <c r="D91" s="60">
        <v>2.5249999999999999</v>
      </c>
      <c r="E91" s="64">
        <v>0</v>
      </c>
      <c r="F91" s="81" t="s">
        <v>293</v>
      </c>
      <c r="J91" s="3"/>
    </row>
    <row r="92" spans="1:10" x14ac:dyDescent="0.35">
      <c r="A92" s="77">
        <f t="shared" si="2"/>
        <v>54</v>
      </c>
      <c r="B92" s="65" t="s">
        <v>16</v>
      </c>
      <c r="C92" s="58" t="s">
        <v>190</v>
      </c>
      <c r="D92" s="59">
        <v>1.895</v>
      </c>
      <c r="E92" s="62">
        <v>0</v>
      </c>
      <c r="F92" s="80" t="s">
        <v>293</v>
      </c>
      <c r="J92" s="3"/>
    </row>
    <row r="93" spans="1:10" x14ac:dyDescent="0.35">
      <c r="A93" s="78">
        <f t="shared" si="2"/>
        <v>55</v>
      </c>
      <c r="B93" s="66" t="s">
        <v>16</v>
      </c>
      <c r="C93" s="58" t="s">
        <v>191</v>
      </c>
      <c r="D93" s="60">
        <v>0</v>
      </c>
      <c r="E93" s="64">
        <v>0</v>
      </c>
      <c r="F93" s="81" t="s">
        <v>292</v>
      </c>
      <c r="J93" s="3"/>
    </row>
    <row r="94" spans="1:10" x14ac:dyDescent="0.35">
      <c r="A94" s="77">
        <f t="shared" si="2"/>
        <v>56</v>
      </c>
      <c r="B94" s="65" t="s">
        <v>16</v>
      </c>
      <c r="C94" s="58" t="s">
        <v>192</v>
      </c>
      <c r="D94" s="59">
        <v>0</v>
      </c>
      <c r="E94" s="62">
        <v>0</v>
      </c>
      <c r="F94" s="80" t="s">
        <v>292</v>
      </c>
      <c r="J94" s="3"/>
    </row>
    <row r="95" spans="1:10" x14ac:dyDescent="0.35">
      <c r="A95" s="78">
        <f t="shared" si="2"/>
        <v>57</v>
      </c>
      <c r="B95" s="66" t="s">
        <v>16</v>
      </c>
      <c r="C95" s="58" t="s">
        <v>194</v>
      </c>
      <c r="D95" s="60">
        <v>0</v>
      </c>
      <c r="E95" s="64">
        <v>0</v>
      </c>
      <c r="F95" s="81" t="s">
        <v>292</v>
      </c>
      <c r="J95" s="3"/>
    </row>
    <row r="96" spans="1:10" x14ac:dyDescent="0.35">
      <c r="A96" s="77">
        <v>1</v>
      </c>
      <c r="B96" s="65" t="s">
        <v>245</v>
      </c>
      <c r="C96" s="65" t="s">
        <v>94</v>
      </c>
      <c r="D96" s="65">
        <v>8.9</v>
      </c>
      <c r="E96" s="70">
        <v>7.35</v>
      </c>
      <c r="F96" s="80" t="s">
        <v>296</v>
      </c>
      <c r="J96" s="3"/>
    </row>
    <row r="97" spans="1:10" x14ac:dyDescent="0.35">
      <c r="A97" s="78">
        <f t="shared" ref="A97:A136" si="3">A96+1</f>
        <v>2</v>
      </c>
      <c r="B97" s="66" t="s">
        <v>245</v>
      </c>
      <c r="C97" s="66" t="s">
        <v>79</v>
      </c>
      <c r="D97" s="66">
        <v>7.27</v>
      </c>
      <c r="E97" s="70">
        <v>8.8928571428571423</v>
      </c>
      <c r="F97" s="81" t="s">
        <v>294</v>
      </c>
      <c r="J97" s="3"/>
    </row>
    <row r="98" spans="1:10" x14ac:dyDescent="0.35">
      <c r="A98" s="77">
        <f t="shared" si="3"/>
        <v>3</v>
      </c>
      <c r="B98" s="65" t="s">
        <v>245</v>
      </c>
      <c r="C98" s="65" t="s">
        <v>80</v>
      </c>
      <c r="D98" s="65">
        <v>7.19</v>
      </c>
      <c r="E98" s="70">
        <v>8.1071428571428577</v>
      </c>
      <c r="F98" s="80" t="s">
        <v>294</v>
      </c>
      <c r="J98" s="3"/>
    </row>
    <row r="99" spans="1:10" x14ac:dyDescent="0.35">
      <c r="A99" s="78">
        <f t="shared" si="3"/>
        <v>4</v>
      </c>
      <c r="B99" s="66" t="s">
        <v>245</v>
      </c>
      <c r="C99" s="66" t="s">
        <v>84</v>
      </c>
      <c r="D99" s="66">
        <v>7.55</v>
      </c>
      <c r="E99" s="70">
        <v>7.1785714285714288</v>
      </c>
      <c r="F99" s="81" t="s">
        <v>294</v>
      </c>
      <c r="J99" s="3"/>
    </row>
    <row r="100" spans="1:10" x14ac:dyDescent="0.35">
      <c r="A100" s="77">
        <f t="shared" si="3"/>
        <v>5</v>
      </c>
      <c r="B100" s="65" t="s">
        <v>245</v>
      </c>
      <c r="C100" s="65" t="s">
        <v>82</v>
      </c>
      <c r="D100" s="65">
        <v>6.21</v>
      </c>
      <c r="E100" s="70">
        <v>5.98</v>
      </c>
      <c r="F100" s="80" t="s">
        <v>294</v>
      </c>
      <c r="J100" s="3"/>
    </row>
    <row r="101" spans="1:10" x14ac:dyDescent="0.35">
      <c r="A101" s="78">
        <f t="shared" si="3"/>
        <v>6</v>
      </c>
      <c r="B101" s="66" t="s">
        <v>245</v>
      </c>
      <c r="C101" s="66" t="s">
        <v>81</v>
      </c>
      <c r="D101" s="66">
        <v>5.94</v>
      </c>
      <c r="E101" s="70">
        <v>4.54</v>
      </c>
      <c r="F101" s="81" t="s">
        <v>294</v>
      </c>
      <c r="J101" s="3"/>
    </row>
    <row r="102" spans="1:10" x14ac:dyDescent="0.35">
      <c r="A102" s="77">
        <f t="shared" si="3"/>
        <v>7</v>
      </c>
      <c r="B102" s="65" t="s">
        <v>245</v>
      </c>
      <c r="C102" s="65" t="s">
        <v>85</v>
      </c>
      <c r="D102" s="65">
        <v>5.94</v>
      </c>
      <c r="E102" s="70">
        <v>3.39</v>
      </c>
      <c r="F102" s="80" t="s">
        <v>293</v>
      </c>
      <c r="J102" s="3"/>
    </row>
    <row r="103" spans="1:10" x14ac:dyDescent="0.35">
      <c r="A103" s="78">
        <f t="shared" si="3"/>
        <v>8</v>
      </c>
      <c r="B103" s="66" t="s">
        <v>245</v>
      </c>
      <c r="C103" s="66" t="s">
        <v>86</v>
      </c>
      <c r="D103" s="66">
        <v>6.13</v>
      </c>
      <c r="E103" s="70">
        <v>4.09</v>
      </c>
      <c r="F103" s="81" t="s">
        <v>293</v>
      </c>
      <c r="J103" s="3"/>
    </row>
    <row r="104" spans="1:10" x14ac:dyDescent="0.35">
      <c r="A104" s="77">
        <f t="shared" si="3"/>
        <v>9</v>
      </c>
      <c r="B104" s="65" t="s">
        <v>245</v>
      </c>
      <c r="C104" s="65" t="s">
        <v>92</v>
      </c>
      <c r="D104" s="65">
        <v>6.8</v>
      </c>
      <c r="E104" s="70">
        <v>4.01</v>
      </c>
      <c r="F104" s="80" t="s">
        <v>293</v>
      </c>
      <c r="J104" s="3"/>
    </row>
    <row r="105" spans="1:10" x14ac:dyDescent="0.35">
      <c r="A105" s="78">
        <f t="shared" si="3"/>
        <v>10</v>
      </c>
      <c r="B105" s="66" t="s">
        <v>245</v>
      </c>
      <c r="C105" s="66" t="s">
        <v>83</v>
      </c>
      <c r="D105" s="66">
        <v>4.8</v>
      </c>
      <c r="E105" s="70">
        <v>4</v>
      </c>
      <c r="F105" s="81" t="s">
        <v>293</v>
      </c>
      <c r="J105" s="3"/>
    </row>
    <row r="106" spans="1:10" x14ac:dyDescent="0.35">
      <c r="A106" s="77">
        <f t="shared" si="3"/>
        <v>11</v>
      </c>
      <c r="B106" s="65" t="s">
        <v>245</v>
      </c>
      <c r="C106" s="65" t="s">
        <v>89</v>
      </c>
      <c r="D106" s="65">
        <v>5.6</v>
      </c>
      <c r="E106" s="70">
        <v>2.67</v>
      </c>
      <c r="F106" s="80" t="s">
        <v>293</v>
      </c>
      <c r="J106" s="3"/>
    </row>
    <row r="107" spans="1:10" x14ac:dyDescent="0.35">
      <c r="A107" s="78">
        <f t="shared" si="3"/>
        <v>12</v>
      </c>
      <c r="B107" s="66" t="s">
        <v>245</v>
      </c>
      <c r="C107" s="66" t="s">
        <v>87</v>
      </c>
      <c r="D107" s="66">
        <v>5.13</v>
      </c>
      <c r="E107" s="70">
        <v>2.98</v>
      </c>
      <c r="F107" s="81" t="s">
        <v>293</v>
      </c>
    </row>
    <row r="108" spans="1:10" x14ac:dyDescent="0.35">
      <c r="A108" s="77">
        <f t="shared" si="3"/>
        <v>13</v>
      </c>
      <c r="B108" s="65" t="s">
        <v>245</v>
      </c>
      <c r="C108" s="65" t="s">
        <v>18</v>
      </c>
      <c r="D108" s="65">
        <v>4.71</v>
      </c>
      <c r="E108" s="70">
        <v>3.09</v>
      </c>
      <c r="F108" s="80" t="s">
        <v>293</v>
      </c>
    </row>
    <row r="109" spans="1:10" x14ac:dyDescent="0.35">
      <c r="A109" s="78">
        <f t="shared" si="3"/>
        <v>14</v>
      </c>
      <c r="B109" s="66" t="s">
        <v>245</v>
      </c>
      <c r="C109" s="66" t="s">
        <v>95</v>
      </c>
      <c r="D109" s="66">
        <v>6.02</v>
      </c>
      <c r="E109" s="70">
        <v>4.21</v>
      </c>
      <c r="F109" s="81" t="s">
        <v>293</v>
      </c>
    </row>
    <row r="110" spans="1:10" x14ac:dyDescent="0.35">
      <c r="A110" s="77">
        <f t="shared" si="3"/>
        <v>15</v>
      </c>
      <c r="B110" s="65" t="s">
        <v>245</v>
      </c>
      <c r="C110" s="65" t="s">
        <v>88</v>
      </c>
      <c r="D110" s="65">
        <v>4.6900000000000004</v>
      </c>
      <c r="E110" s="70">
        <v>3.88</v>
      </c>
      <c r="F110" s="80" t="s">
        <v>293</v>
      </c>
    </row>
    <row r="111" spans="1:10" x14ac:dyDescent="0.35">
      <c r="A111" s="78">
        <f t="shared" si="3"/>
        <v>16</v>
      </c>
      <c r="B111" s="66" t="s">
        <v>245</v>
      </c>
      <c r="C111" s="66" t="s">
        <v>90</v>
      </c>
      <c r="D111" s="66">
        <v>4.91</v>
      </c>
      <c r="E111" s="70">
        <v>3.15</v>
      </c>
      <c r="F111" s="81" t="s">
        <v>293</v>
      </c>
    </row>
    <row r="112" spans="1:10" x14ac:dyDescent="0.35">
      <c r="A112" s="77">
        <f t="shared" si="3"/>
        <v>17</v>
      </c>
      <c r="B112" s="65" t="s">
        <v>245</v>
      </c>
      <c r="C112" s="65" t="s">
        <v>91</v>
      </c>
      <c r="D112" s="65">
        <v>5.13</v>
      </c>
      <c r="E112" s="70">
        <v>4.32</v>
      </c>
      <c r="F112" s="80" t="s">
        <v>293</v>
      </c>
    </row>
    <row r="113" spans="1:10" x14ac:dyDescent="0.35">
      <c r="A113" s="78">
        <f t="shared" si="3"/>
        <v>18</v>
      </c>
      <c r="B113" s="66" t="s">
        <v>245</v>
      </c>
      <c r="C113" s="66" t="s">
        <v>97</v>
      </c>
      <c r="D113" s="66">
        <v>6.05</v>
      </c>
      <c r="E113" s="70">
        <v>5.49</v>
      </c>
      <c r="F113" s="81" t="s">
        <v>294</v>
      </c>
    </row>
    <row r="114" spans="1:10" x14ac:dyDescent="0.35">
      <c r="A114" s="77">
        <f t="shared" si="3"/>
        <v>19</v>
      </c>
      <c r="B114" s="65" t="s">
        <v>245</v>
      </c>
      <c r="C114" s="65" t="s">
        <v>93</v>
      </c>
      <c r="D114" s="65">
        <v>4.5</v>
      </c>
      <c r="E114" s="70">
        <v>3.64</v>
      </c>
      <c r="F114" s="80" t="s">
        <v>293</v>
      </c>
    </row>
    <row r="115" spans="1:10" x14ac:dyDescent="0.35">
      <c r="A115" s="78">
        <f t="shared" si="3"/>
        <v>20</v>
      </c>
      <c r="B115" s="66" t="s">
        <v>245</v>
      </c>
      <c r="C115" s="58" t="s">
        <v>228</v>
      </c>
      <c r="D115" s="60">
        <v>5.3249999999999993</v>
      </c>
      <c r="E115" s="71">
        <v>4.4285714285714288</v>
      </c>
      <c r="F115" s="81" t="s">
        <v>293</v>
      </c>
    </row>
    <row r="116" spans="1:10" x14ac:dyDescent="0.35">
      <c r="A116" s="77">
        <f t="shared" si="3"/>
        <v>21</v>
      </c>
      <c r="B116" s="65" t="s">
        <v>245</v>
      </c>
      <c r="C116" s="65" t="s">
        <v>96</v>
      </c>
      <c r="D116" s="65">
        <v>4.17</v>
      </c>
      <c r="E116" s="70">
        <v>3.93</v>
      </c>
      <c r="F116" s="80" t="s">
        <v>293</v>
      </c>
    </row>
    <row r="117" spans="1:10" x14ac:dyDescent="0.35">
      <c r="A117" s="78">
        <f t="shared" si="3"/>
        <v>22</v>
      </c>
      <c r="B117" s="66" t="s">
        <v>245</v>
      </c>
      <c r="C117" s="58" t="s">
        <v>238</v>
      </c>
      <c r="D117" s="60">
        <v>5.9649999999999999</v>
      </c>
      <c r="E117" s="64">
        <v>1.75</v>
      </c>
      <c r="F117" s="81" t="s">
        <v>295</v>
      </c>
    </row>
    <row r="118" spans="1:10" x14ac:dyDescent="0.35">
      <c r="A118" s="77">
        <f t="shared" si="3"/>
        <v>23</v>
      </c>
      <c r="B118" s="65" t="s">
        <v>245</v>
      </c>
      <c r="C118" s="58" t="s">
        <v>229</v>
      </c>
      <c r="D118" s="59">
        <v>3.55</v>
      </c>
      <c r="E118" s="62">
        <v>4.0357142857142856</v>
      </c>
      <c r="F118" s="80" t="s">
        <v>295</v>
      </c>
    </row>
    <row r="119" spans="1:10" x14ac:dyDescent="0.35">
      <c r="A119" s="78">
        <f t="shared" si="3"/>
        <v>24</v>
      </c>
      <c r="B119" s="66" t="s">
        <v>245</v>
      </c>
      <c r="C119" s="58" t="s">
        <v>236</v>
      </c>
      <c r="D119" s="60">
        <v>4.8550000000000004</v>
      </c>
      <c r="E119" s="64">
        <v>2.6071428571428572</v>
      </c>
      <c r="F119" s="81" t="s">
        <v>293</v>
      </c>
    </row>
    <row r="120" spans="1:10" x14ac:dyDescent="0.35">
      <c r="A120" s="77">
        <f t="shared" si="3"/>
        <v>25</v>
      </c>
      <c r="B120" s="65" t="s">
        <v>245</v>
      </c>
      <c r="C120" s="58" t="s">
        <v>230</v>
      </c>
      <c r="D120" s="59">
        <v>4.1349999999999998</v>
      </c>
      <c r="E120" s="62">
        <v>3.3214285714285716</v>
      </c>
      <c r="F120" s="80" t="s">
        <v>293</v>
      </c>
    </row>
    <row r="121" spans="1:10" x14ac:dyDescent="0.35">
      <c r="A121" s="78">
        <f t="shared" si="3"/>
        <v>26</v>
      </c>
      <c r="B121" s="66" t="s">
        <v>245</v>
      </c>
      <c r="C121" s="58" t="s">
        <v>231</v>
      </c>
      <c r="D121" s="60">
        <v>4.0750000000000002</v>
      </c>
      <c r="E121" s="64">
        <v>3.1428571428571428</v>
      </c>
      <c r="F121" s="81" t="s">
        <v>295</v>
      </c>
    </row>
    <row r="122" spans="1:10" x14ac:dyDescent="0.35">
      <c r="A122" s="77">
        <f t="shared" si="3"/>
        <v>27</v>
      </c>
      <c r="B122" s="65" t="s">
        <v>245</v>
      </c>
      <c r="C122" s="58" t="s">
        <v>234</v>
      </c>
      <c r="D122" s="59">
        <v>3.9699999999999998</v>
      </c>
      <c r="E122" s="62">
        <v>2.8214285714285716</v>
      </c>
      <c r="F122" s="80" t="s">
        <v>293</v>
      </c>
    </row>
    <row r="123" spans="1:10" x14ac:dyDescent="0.35">
      <c r="A123" s="78">
        <f t="shared" si="3"/>
        <v>28</v>
      </c>
      <c r="B123" s="66" t="s">
        <v>245</v>
      </c>
      <c r="C123" s="58" t="s">
        <v>232</v>
      </c>
      <c r="D123" s="60">
        <v>3.5750000000000002</v>
      </c>
      <c r="E123" s="64">
        <v>3.0535714285714284</v>
      </c>
      <c r="F123" s="81" t="s">
        <v>293</v>
      </c>
    </row>
    <row r="124" spans="1:10" x14ac:dyDescent="0.35">
      <c r="A124" s="77">
        <f t="shared" si="3"/>
        <v>29</v>
      </c>
      <c r="B124" s="65" t="s">
        <v>245</v>
      </c>
      <c r="C124" s="58" t="s">
        <v>235</v>
      </c>
      <c r="D124" s="59">
        <v>3.8</v>
      </c>
      <c r="E124" s="62">
        <v>2.75</v>
      </c>
      <c r="F124" s="80" t="s">
        <v>293</v>
      </c>
      <c r="J124" s="3"/>
    </row>
    <row r="125" spans="1:10" x14ac:dyDescent="0.35">
      <c r="A125" s="78">
        <f t="shared" si="3"/>
        <v>30</v>
      </c>
      <c r="B125" s="66" t="s">
        <v>245</v>
      </c>
      <c r="C125" s="58" t="s">
        <v>233</v>
      </c>
      <c r="D125" s="60">
        <v>3.4699999999999998</v>
      </c>
      <c r="E125" s="64">
        <v>3.0357142857142856</v>
      </c>
      <c r="F125" s="81" t="s">
        <v>293</v>
      </c>
      <c r="J125" s="3"/>
    </row>
    <row r="126" spans="1:10" x14ac:dyDescent="0.35">
      <c r="A126" s="77">
        <f t="shared" si="3"/>
        <v>31</v>
      </c>
      <c r="B126" s="65" t="s">
        <v>245</v>
      </c>
      <c r="C126" s="58" t="s">
        <v>237</v>
      </c>
      <c r="D126" s="59">
        <v>4.4400000000000004</v>
      </c>
      <c r="E126" s="62">
        <v>1.9821428571428572</v>
      </c>
      <c r="F126" s="80" t="s">
        <v>295</v>
      </c>
      <c r="J126" s="3"/>
    </row>
    <row r="127" spans="1:10" x14ac:dyDescent="0.35">
      <c r="A127" s="78">
        <f t="shared" si="3"/>
        <v>32</v>
      </c>
      <c r="B127" s="66" t="s">
        <v>245</v>
      </c>
      <c r="C127" s="58" t="s">
        <v>81</v>
      </c>
      <c r="D127" s="60">
        <v>5.9399999999999995</v>
      </c>
      <c r="E127" s="64">
        <v>0</v>
      </c>
      <c r="F127" s="81" t="s">
        <v>293</v>
      </c>
      <c r="J127" s="3"/>
    </row>
    <row r="128" spans="1:10" x14ac:dyDescent="0.35">
      <c r="A128" s="77">
        <f t="shared" si="3"/>
        <v>33</v>
      </c>
      <c r="B128" s="65" t="s">
        <v>245</v>
      </c>
      <c r="C128" s="58" t="s">
        <v>244</v>
      </c>
      <c r="D128" s="59">
        <v>5.7200000000000006</v>
      </c>
      <c r="E128" s="62">
        <v>0</v>
      </c>
      <c r="F128" s="80" t="s">
        <v>293</v>
      </c>
      <c r="J128" s="3"/>
    </row>
    <row r="129" spans="1:10" x14ac:dyDescent="0.35">
      <c r="A129" s="78">
        <f t="shared" si="3"/>
        <v>34</v>
      </c>
      <c r="B129" s="66" t="s">
        <v>245</v>
      </c>
      <c r="C129" s="58" t="s">
        <v>239</v>
      </c>
      <c r="D129" s="60">
        <v>4.1050000000000004</v>
      </c>
      <c r="E129" s="64">
        <v>1.5</v>
      </c>
      <c r="F129" s="81" t="s">
        <v>293</v>
      </c>
      <c r="J129" s="3"/>
    </row>
    <row r="130" spans="1:10" x14ac:dyDescent="0.35">
      <c r="A130" s="77">
        <f t="shared" si="3"/>
        <v>35</v>
      </c>
      <c r="B130" s="65" t="s">
        <v>245</v>
      </c>
      <c r="C130" s="58" t="s">
        <v>243</v>
      </c>
      <c r="D130" s="59">
        <v>4.05</v>
      </c>
      <c r="E130" s="62">
        <v>0</v>
      </c>
      <c r="F130" s="80" t="s">
        <v>293</v>
      </c>
      <c r="J130" s="3"/>
    </row>
    <row r="131" spans="1:10" x14ac:dyDescent="0.35">
      <c r="A131" s="78">
        <f t="shared" si="3"/>
        <v>36</v>
      </c>
      <c r="B131" s="66" t="s">
        <v>245</v>
      </c>
      <c r="C131" s="58" t="s">
        <v>240</v>
      </c>
      <c r="D131" s="60">
        <v>2.2200000000000002</v>
      </c>
      <c r="E131" s="64">
        <v>1</v>
      </c>
      <c r="F131" s="81" t="s">
        <v>293</v>
      </c>
      <c r="J131" s="3"/>
    </row>
    <row r="132" spans="1:10" x14ac:dyDescent="0.35">
      <c r="A132" s="77">
        <f t="shared" si="3"/>
        <v>37</v>
      </c>
      <c r="B132" s="65" t="s">
        <v>245</v>
      </c>
      <c r="C132" s="58" t="s">
        <v>242</v>
      </c>
      <c r="D132" s="59">
        <v>2.1349999999999998</v>
      </c>
      <c r="E132" s="62">
        <v>0</v>
      </c>
      <c r="F132" s="80" t="s">
        <v>293</v>
      </c>
      <c r="J132" s="3"/>
    </row>
    <row r="133" spans="1:10" x14ac:dyDescent="0.35">
      <c r="A133" s="78">
        <f t="shared" si="3"/>
        <v>38</v>
      </c>
      <c r="B133" s="66" t="s">
        <v>245</v>
      </c>
      <c r="C133" s="58" t="s">
        <v>83</v>
      </c>
      <c r="D133" s="60">
        <v>0</v>
      </c>
      <c r="E133" s="64">
        <v>0.96499999999999997</v>
      </c>
      <c r="F133" s="81" t="s">
        <v>293</v>
      </c>
      <c r="J133" s="3"/>
    </row>
    <row r="134" spans="1:10" x14ac:dyDescent="0.35">
      <c r="A134" s="77">
        <f t="shared" si="3"/>
        <v>39</v>
      </c>
      <c r="B134" s="65" t="s">
        <v>245</v>
      </c>
      <c r="C134" s="58" t="s">
        <v>241</v>
      </c>
      <c r="D134" s="59">
        <v>0</v>
      </c>
      <c r="E134" s="62">
        <v>0.2857142857142857</v>
      </c>
      <c r="F134" s="80" t="s">
        <v>293</v>
      </c>
      <c r="J134" s="3"/>
    </row>
    <row r="135" spans="1:10" x14ac:dyDescent="0.35">
      <c r="A135" s="78">
        <f t="shared" si="3"/>
        <v>40</v>
      </c>
      <c r="B135" s="66" t="s">
        <v>245</v>
      </c>
      <c r="C135" s="58" t="s">
        <v>85</v>
      </c>
      <c r="D135" s="60">
        <v>0</v>
      </c>
      <c r="E135" s="64">
        <v>0</v>
      </c>
      <c r="F135" s="81" t="s">
        <v>292</v>
      </c>
      <c r="J135" s="3"/>
    </row>
    <row r="136" spans="1:10" x14ac:dyDescent="0.35">
      <c r="A136" s="77">
        <f t="shared" si="3"/>
        <v>41</v>
      </c>
      <c r="B136" s="65" t="s">
        <v>245</v>
      </c>
      <c r="C136" s="58" t="s">
        <v>175</v>
      </c>
      <c r="D136" s="59">
        <v>0</v>
      </c>
      <c r="E136" s="62">
        <v>0</v>
      </c>
      <c r="F136" s="80" t="s">
        <v>292</v>
      </c>
      <c r="J136" s="3"/>
    </row>
    <row r="137" spans="1:10" x14ac:dyDescent="0.35">
      <c r="A137" s="78">
        <v>1</v>
      </c>
      <c r="B137" s="66" t="s">
        <v>246</v>
      </c>
      <c r="C137" s="58" t="s">
        <v>99</v>
      </c>
      <c r="D137" s="58">
        <v>9.39</v>
      </c>
      <c r="E137" s="67">
        <v>6</v>
      </c>
      <c r="F137" s="81" t="s">
        <v>294</v>
      </c>
      <c r="J137" s="3"/>
    </row>
    <row r="138" spans="1:10" x14ac:dyDescent="0.35">
      <c r="A138" s="77">
        <f t="shared" ref="A138:A181" si="4">A137+1</f>
        <v>2</v>
      </c>
      <c r="B138" s="65" t="s">
        <v>246</v>
      </c>
      <c r="C138" s="58" t="s">
        <v>98</v>
      </c>
      <c r="D138" s="58">
        <v>8.94</v>
      </c>
      <c r="E138" s="68">
        <v>5.25</v>
      </c>
      <c r="F138" s="80" t="s">
        <v>294</v>
      </c>
      <c r="J138" s="3"/>
    </row>
    <row r="139" spans="1:10" x14ac:dyDescent="0.35">
      <c r="A139" s="78">
        <f t="shared" si="4"/>
        <v>3</v>
      </c>
      <c r="B139" s="66" t="s">
        <v>246</v>
      </c>
      <c r="C139" s="58" t="s">
        <v>100</v>
      </c>
      <c r="D139" s="58">
        <v>8.23</v>
      </c>
      <c r="E139" s="67">
        <v>6.03571428571429</v>
      </c>
      <c r="F139" s="81" t="s">
        <v>294</v>
      </c>
      <c r="J139" s="3"/>
    </row>
    <row r="140" spans="1:10" x14ac:dyDescent="0.35">
      <c r="A140" s="77">
        <f t="shared" si="4"/>
        <v>4</v>
      </c>
      <c r="B140" s="65" t="s">
        <v>246</v>
      </c>
      <c r="C140" s="58" t="s">
        <v>101</v>
      </c>
      <c r="D140" s="58">
        <v>7.91</v>
      </c>
      <c r="E140" s="68">
        <v>4.5632099999999998</v>
      </c>
      <c r="F140" s="80" t="s">
        <v>294</v>
      </c>
      <c r="J140" s="3"/>
    </row>
    <row r="141" spans="1:10" x14ac:dyDescent="0.35">
      <c r="A141" s="78">
        <f t="shared" si="4"/>
        <v>5</v>
      </c>
      <c r="B141" s="66" t="s">
        <v>246</v>
      </c>
      <c r="C141" s="58" t="s">
        <v>103</v>
      </c>
      <c r="D141" s="58">
        <v>8.06</v>
      </c>
      <c r="E141" s="67">
        <v>3.56</v>
      </c>
      <c r="F141" s="81" t="s">
        <v>293</v>
      </c>
      <c r="J141" s="3"/>
    </row>
    <row r="142" spans="1:10" x14ac:dyDescent="0.35">
      <c r="A142" s="77">
        <f t="shared" si="4"/>
        <v>6</v>
      </c>
      <c r="B142" s="65" t="s">
        <v>246</v>
      </c>
      <c r="C142" s="58" t="s">
        <v>102</v>
      </c>
      <c r="D142" s="58">
        <v>7.84</v>
      </c>
      <c r="E142" s="68">
        <v>2.4700000000000002</v>
      </c>
      <c r="F142" s="80" t="s">
        <v>293</v>
      </c>
      <c r="J142" s="3"/>
    </row>
    <row r="143" spans="1:10" x14ac:dyDescent="0.35">
      <c r="A143" s="78">
        <f t="shared" si="4"/>
        <v>7</v>
      </c>
      <c r="B143" s="66" t="s">
        <v>246</v>
      </c>
      <c r="C143" s="58" t="s">
        <v>104</v>
      </c>
      <c r="D143" s="58">
        <v>7.9</v>
      </c>
      <c r="E143" s="67">
        <v>3.13</v>
      </c>
      <c r="F143" s="81" t="s">
        <v>293</v>
      </c>
      <c r="J143" s="3"/>
    </row>
    <row r="144" spans="1:10" x14ac:dyDescent="0.35">
      <c r="A144" s="77">
        <f t="shared" si="4"/>
        <v>8</v>
      </c>
      <c r="B144" s="65" t="s">
        <v>246</v>
      </c>
      <c r="C144" s="58" t="s">
        <v>105</v>
      </c>
      <c r="D144" s="58">
        <v>7.47</v>
      </c>
      <c r="E144" s="68">
        <v>4.03</v>
      </c>
      <c r="F144" s="80" t="s">
        <v>293</v>
      </c>
      <c r="J144" s="3"/>
    </row>
    <row r="145" spans="1:10" x14ac:dyDescent="0.35">
      <c r="A145" s="78">
        <f t="shared" si="4"/>
        <v>9</v>
      </c>
      <c r="B145" s="66" t="s">
        <v>246</v>
      </c>
      <c r="C145" s="58" t="s">
        <v>109</v>
      </c>
      <c r="D145" s="58">
        <v>8.06</v>
      </c>
      <c r="E145" s="67">
        <v>4</v>
      </c>
      <c r="F145" s="81" t="s">
        <v>293</v>
      </c>
      <c r="J145" s="3"/>
    </row>
    <row r="146" spans="1:10" x14ac:dyDescent="0.35">
      <c r="A146" s="77">
        <f t="shared" si="4"/>
        <v>10</v>
      </c>
      <c r="B146" s="65" t="s">
        <v>246</v>
      </c>
      <c r="C146" s="58" t="s">
        <v>107</v>
      </c>
      <c r="D146" s="58">
        <v>6.97</v>
      </c>
      <c r="E146" s="68">
        <v>3.6</v>
      </c>
      <c r="F146" s="80" t="s">
        <v>293</v>
      </c>
      <c r="J146" s="3"/>
    </row>
    <row r="147" spans="1:10" x14ac:dyDescent="0.35">
      <c r="A147" s="78">
        <f t="shared" si="4"/>
        <v>11</v>
      </c>
      <c r="B147" s="66" t="s">
        <v>246</v>
      </c>
      <c r="C147" s="58" t="s">
        <v>116</v>
      </c>
      <c r="D147" s="58">
        <v>7.86</v>
      </c>
      <c r="E147" s="67">
        <v>3.33</v>
      </c>
      <c r="F147" s="81" t="s">
        <v>293</v>
      </c>
      <c r="J147" s="3"/>
    </row>
    <row r="148" spans="1:10" x14ac:dyDescent="0.35">
      <c r="A148" s="77">
        <f t="shared" si="4"/>
        <v>12</v>
      </c>
      <c r="B148" s="65" t="s">
        <v>246</v>
      </c>
      <c r="C148" s="58" t="s">
        <v>111</v>
      </c>
      <c r="D148" s="58">
        <v>6.7</v>
      </c>
      <c r="E148" s="68">
        <v>2.87</v>
      </c>
      <c r="F148" s="80" t="s">
        <v>293</v>
      </c>
      <c r="J148" s="3"/>
    </row>
    <row r="149" spans="1:10" x14ac:dyDescent="0.35">
      <c r="A149" s="78">
        <f t="shared" si="4"/>
        <v>13</v>
      </c>
      <c r="B149" s="66" t="s">
        <v>246</v>
      </c>
      <c r="C149" s="58" t="s">
        <v>108</v>
      </c>
      <c r="D149" s="58">
        <v>6.44</v>
      </c>
      <c r="E149" s="67">
        <v>4</v>
      </c>
      <c r="F149" s="81" t="s">
        <v>293</v>
      </c>
      <c r="J149" s="3"/>
    </row>
    <row r="150" spans="1:10" x14ac:dyDescent="0.35">
      <c r="A150" s="77">
        <f t="shared" si="4"/>
        <v>14</v>
      </c>
      <c r="B150" s="65" t="s">
        <v>246</v>
      </c>
      <c r="C150" s="58" t="s">
        <v>106</v>
      </c>
      <c r="D150" s="58">
        <v>5.77</v>
      </c>
      <c r="E150" s="68">
        <v>4.99</v>
      </c>
      <c r="F150" s="80" t="s">
        <v>294</v>
      </c>
      <c r="J150" s="3"/>
    </row>
    <row r="151" spans="1:10" x14ac:dyDescent="0.35">
      <c r="A151" s="78">
        <f t="shared" si="4"/>
        <v>15</v>
      </c>
      <c r="B151" s="66" t="s">
        <v>246</v>
      </c>
      <c r="C151" s="58" t="s">
        <v>248</v>
      </c>
      <c r="D151" s="66">
        <v>7.82</v>
      </c>
      <c r="E151" s="71">
        <v>4.4285714285714288</v>
      </c>
      <c r="F151" s="81" t="s">
        <v>293</v>
      </c>
      <c r="J151" s="3"/>
    </row>
    <row r="152" spans="1:10" x14ac:dyDescent="0.35">
      <c r="A152" s="77">
        <f t="shared" si="4"/>
        <v>16</v>
      </c>
      <c r="B152" s="65" t="s">
        <v>246</v>
      </c>
      <c r="C152" s="58" t="s">
        <v>110</v>
      </c>
      <c r="D152" s="58">
        <v>6.3</v>
      </c>
      <c r="E152" s="68">
        <v>2.4500000000000002</v>
      </c>
      <c r="F152" s="80" t="s">
        <v>293</v>
      </c>
      <c r="J152" s="3"/>
    </row>
    <row r="153" spans="1:10" x14ac:dyDescent="0.35">
      <c r="A153" s="78">
        <f t="shared" si="4"/>
        <v>17</v>
      </c>
      <c r="B153" s="66" t="s">
        <v>246</v>
      </c>
      <c r="C153" s="58" t="s">
        <v>114</v>
      </c>
      <c r="D153" s="58">
        <v>6.3</v>
      </c>
      <c r="E153" s="67">
        <v>3.56</v>
      </c>
      <c r="F153" s="81" t="s">
        <v>293</v>
      </c>
      <c r="J153" s="3"/>
    </row>
    <row r="154" spans="1:10" x14ac:dyDescent="0.35">
      <c r="A154" s="77">
        <f t="shared" si="4"/>
        <v>18</v>
      </c>
      <c r="B154" s="65" t="s">
        <v>246</v>
      </c>
      <c r="C154" s="58" t="s">
        <v>112</v>
      </c>
      <c r="D154" s="58">
        <v>5.95</v>
      </c>
      <c r="E154" s="68">
        <v>2.99</v>
      </c>
      <c r="F154" s="80" t="s">
        <v>293</v>
      </c>
      <c r="J154" s="3"/>
    </row>
    <row r="155" spans="1:10" x14ac:dyDescent="0.35">
      <c r="A155" s="78">
        <f t="shared" si="4"/>
        <v>19</v>
      </c>
      <c r="B155" s="66" t="s">
        <v>246</v>
      </c>
      <c r="C155" s="58" t="s">
        <v>113</v>
      </c>
      <c r="D155" s="58">
        <v>5.42</v>
      </c>
      <c r="E155" s="67">
        <v>4.32</v>
      </c>
      <c r="F155" s="81" t="s">
        <v>293</v>
      </c>
      <c r="J155" s="3"/>
    </row>
    <row r="156" spans="1:10" x14ac:dyDescent="0.35">
      <c r="A156" s="77">
        <f t="shared" si="4"/>
        <v>20</v>
      </c>
      <c r="B156" s="65" t="s">
        <v>246</v>
      </c>
      <c r="C156" s="58" t="s">
        <v>117</v>
      </c>
      <c r="D156" s="58">
        <v>6.03</v>
      </c>
      <c r="E156" s="68">
        <v>4.3499999999999996</v>
      </c>
      <c r="F156" s="80" t="s">
        <v>293</v>
      </c>
      <c r="J156" s="3"/>
    </row>
    <row r="157" spans="1:10" x14ac:dyDescent="0.35">
      <c r="A157" s="78">
        <f t="shared" si="4"/>
        <v>21</v>
      </c>
      <c r="B157" s="66" t="s">
        <v>246</v>
      </c>
      <c r="C157" s="58" t="s">
        <v>115</v>
      </c>
      <c r="D157" s="58">
        <v>5.57</v>
      </c>
      <c r="E157" s="67">
        <v>4.4000000000000004</v>
      </c>
      <c r="F157" s="81" t="s">
        <v>293</v>
      </c>
      <c r="J157" s="3"/>
    </row>
    <row r="158" spans="1:10" x14ac:dyDescent="0.35">
      <c r="A158" s="77">
        <f t="shared" si="4"/>
        <v>22</v>
      </c>
      <c r="B158" s="65" t="s">
        <v>246</v>
      </c>
      <c r="C158" s="58" t="s">
        <v>259</v>
      </c>
      <c r="D158" s="65">
        <v>9.6300000000000008</v>
      </c>
      <c r="E158" s="62">
        <v>0</v>
      </c>
      <c r="F158" s="80" t="s">
        <v>293</v>
      </c>
      <c r="J158" s="3"/>
    </row>
    <row r="159" spans="1:10" x14ac:dyDescent="0.35">
      <c r="A159" s="78">
        <f t="shared" si="4"/>
        <v>23</v>
      </c>
      <c r="B159" s="66" t="s">
        <v>246</v>
      </c>
      <c r="C159" s="58" t="s">
        <v>247</v>
      </c>
      <c r="D159" s="66">
        <v>4.7699999999999996</v>
      </c>
      <c r="E159" s="64">
        <v>4.4642857142857144</v>
      </c>
      <c r="F159" s="81" t="s">
        <v>293</v>
      </c>
      <c r="J159" s="3"/>
    </row>
    <row r="160" spans="1:10" x14ac:dyDescent="0.35">
      <c r="A160" s="77">
        <f t="shared" si="4"/>
        <v>24</v>
      </c>
      <c r="B160" s="65" t="s">
        <v>246</v>
      </c>
      <c r="C160" s="58" t="s">
        <v>252</v>
      </c>
      <c r="D160" s="65">
        <v>4.63</v>
      </c>
      <c r="E160" s="62">
        <v>4.1071428571428568</v>
      </c>
      <c r="F160" s="80" t="s">
        <v>293</v>
      </c>
      <c r="J160" s="3"/>
    </row>
    <row r="161" spans="1:10" x14ac:dyDescent="0.35">
      <c r="A161" s="78">
        <f t="shared" si="4"/>
        <v>25</v>
      </c>
      <c r="B161" s="66" t="s">
        <v>246</v>
      </c>
      <c r="C161" s="58" t="s">
        <v>251</v>
      </c>
      <c r="D161" s="66">
        <v>4.3</v>
      </c>
      <c r="E161" s="64">
        <v>4.2142857142857144</v>
      </c>
      <c r="F161" s="81" t="s">
        <v>293</v>
      </c>
      <c r="J161" s="3"/>
    </row>
    <row r="162" spans="1:10" x14ac:dyDescent="0.35">
      <c r="A162" s="77">
        <f t="shared" si="4"/>
        <v>26</v>
      </c>
      <c r="B162" s="65" t="s">
        <v>246</v>
      </c>
      <c r="C162" s="58" t="s">
        <v>160</v>
      </c>
      <c r="D162" s="65">
        <v>8.27</v>
      </c>
      <c r="E162" s="62">
        <v>0</v>
      </c>
      <c r="F162" s="80" t="s">
        <v>293</v>
      </c>
      <c r="J162" s="3"/>
    </row>
    <row r="163" spans="1:10" x14ac:dyDescent="0.35">
      <c r="A163" s="78">
        <f t="shared" si="4"/>
        <v>27</v>
      </c>
      <c r="B163" s="66" t="s">
        <v>246</v>
      </c>
      <c r="C163" s="58" t="s">
        <v>254</v>
      </c>
      <c r="D163" s="66">
        <v>4.33</v>
      </c>
      <c r="E163" s="64">
        <v>2.6785714285714284</v>
      </c>
      <c r="F163" s="81" t="s">
        <v>293</v>
      </c>
      <c r="J163" s="3"/>
    </row>
    <row r="164" spans="1:10" x14ac:dyDescent="0.35">
      <c r="A164" s="77">
        <f t="shared" si="4"/>
        <v>28</v>
      </c>
      <c r="B164" s="65" t="s">
        <v>246</v>
      </c>
      <c r="C164" s="58" t="s">
        <v>253</v>
      </c>
      <c r="D164" s="65">
        <v>3.94</v>
      </c>
      <c r="E164" s="62">
        <v>2.9107142857142856</v>
      </c>
      <c r="F164" s="80" t="s">
        <v>293</v>
      </c>
      <c r="J164" s="3"/>
    </row>
    <row r="165" spans="1:10" x14ac:dyDescent="0.35">
      <c r="A165" s="78">
        <f t="shared" si="4"/>
        <v>29</v>
      </c>
      <c r="B165" s="66" t="s">
        <v>246</v>
      </c>
      <c r="C165" s="58" t="s">
        <v>258</v>
      </c>
      <c r="D165" s="66">
        <v>5.8</v>
      </c>
      <c r="E165" s="64">
        <v>0</v>
      </c>
      <c r="F165" s="81" t="s">
        <v>293</v>
      </c>
      <c r="J165" s="3"/>
    </row>
    <row r="166" spans="1:10" x14ac:dyDescent="0.35">
      <c r="A166" s="77">
        <f t="shared" si="4"/>
        <v>30</v>
      </c>
      <c r="B166" s="65" t="s">
        <v>246</v>
      </c>
      <c r="C166" s="58" t="s">
        <v>255</v>
      </c>
      <c r="D166" s="65">
        <v>3.11</v>
      </c>
      <c r="E166" s="62">
        <v>2.4642857142857144</v>
      </c>
      <c r="F166" s="80" t="s">
        <v>293</v>
      </c>
      <c r="J166" s="3"/>
    </row>
    <row r="167" spans="1:10" x14ac:dyDescent="0.35">
      <c r="A167" s="78">
        <f t="shared" si="4"/>
        <v>31</v>
      </c>
      <c r="B167" s="66" t="s">
        <v>246</v>
      </c>
      <c r="C167" s="58" t="s">
        <v>257</v>
      </c>
      <c r="D167" s="66">
        <v>4.66</v>
      </c>
      <c r="E167" s="64">
        <v>0</v>
      </c>
      <c r="F167" s="81" t="s">
        <v>293</v>
      </c>
      <c r="J167" s="3"/>
    </row>
    <row r="168" spans="1:10" x14ac:dyDescent="0.35">
      <c r="A168" s="77">
        <f t="shared" si="4"/>
        <v>32</v>
      </c>
      <c r="B168" s="65" t="s">
        <v>246</v>
      </c>
      <c r="C168" s="58" t="s">
        <v>249</v>
      </c>
      <c r="D168" s="65">
        <v>0</v>
      </c>
      <c r="E168" s="62">
        <v>4.3928571428571432</v>
      </c>
      <c r="F168" s="80" t="s">
        <v>293</v>
      </c>
      <c r="J168" s="3"/>
    </row>
    <row r="169" spans="1:10" x14ac:dyDescent="0.35">
      <c r="A169" s="78">
        <f t="shared" si="4"/>
        <v>33</v>
      </c>
      <c r="B169" s="66" t="s">
        <v>246</v>
      </c>
      <c r="C169" s="58" t="s">
        <v>250</v>
      </c>
      <c r="D169" s="66">
        <v>0</v>
      </c>
      <c r="E169" s="64">
        <v>4.3571428571428568</v>
      </c>
      <c r="F169" s="81" t="s">
        <v>293</v>
      </c>
      <c r="J169" s="3"/>
    </row>
    <row r="170" spans="1:10" x14ac:dyDescent="0.35">
      <c r="A170" s="77">
        <f t="shared" si="4"/>
        <v>34</v>
      </c>
      <c r="B170" s="65" t="s">
        <v>246</v>
      </c>
      <c r="C170" s="58" t="s">
        <v>256</v>
      </c>
      <c r="D170" s="65">
        <v>2.6</v>
      </c>
      <c r="E170" s="62">
        <v>1.5</v>
      </c>
      <c r="F170" s="80" t="s">
        <v>293</v>
      </c>
      <c r="J170" s="3"/>
    </row>
    <row r="171" spans="1:10" x14ac:dyDescent="0.35">
      <c r="A171" s="78">
        <f t="shared" si="4"/>
        <v>35</v>
      </c>
      <c r="B171" s="66" t="s">
        <v>246</v>
      </c>
      <c r="C171" s="58" t="s">
        <v>266</v>
      </c>
      <c r="D171" s="66">
        <v>3.72</v>
      </c>
      <c r="E171" s="64">
        <v>0</v>
      </c>
      <c r="F171" s="81" t="s">
        <v>293</v>
      </c>
      <c r="J171" s="3"/>
    </row>
    <row r="172" spans="1:10" x14ac:dyDescent="0.35">
      <c r="A172" s="77">
        <f t="shared" si="4"/>
        <v>36</v>
      </c>
      <c r="B172" s="65" t="s">
        <v>246</v>
      </c>
      <c r="C172" s="58" t="s">
        <v>260</v>
      </c>
      <c r="D172" s="65">
        <v>0</v>
      </c>
      <c r="E172" s="62">
        <v>0</v>
      </c>
      <c r="F172" s="80" t="s">
        <v>292</v>
      </c>
      <c r="J172" s="3"/>
    </row>
    <row r="173" spans="1:10" x14ac:dyDescent="0.35">
      <c r="A173" s="78">
        <f t="shared" si="4"/>
        <v>37</v>
      </c>
      <c r="B173" s="66" t="s">
        <v>246</v>
      </c>
      <c r="C173" s="58" t="s">
        <v>261</v>
      </c>
      <c r="D173" s="66">
        <v>0</v>
      </c>
      <c r="E173" s="64">
        <v>0</v>
      </c>
      <c r="F173" s="81" t="s">
        <v>292</v>
      </c>
      <c r="J173" s="3"/>
    </row>
    <row r="174" spans="1:10" x14ac:dyDescent="0.35">
      <c r="A174" s="77">
        <f t="shared" si="4"/>
        <v>38</v>
      </c>
      <c r="B174" s="65" t="s">
        <v>246</v>
      </c>
      <c r="C174" s="58" t="s">
        <v>262</v>
      </c>
      <c r="D174" s="65">
        <v>0</v>
      </c>
      <c r="E174" s="62">
        <v>0</v>
      </c>
      <c r="F174" s="80" t="s">
        <v>292</v>
      </c>
      <c r="J174" s="3"/>
    </row>
    <row r="175" spans="1:10" x14ac:dyDescent="0.35">
      <c r="A175" s="79">
        <f t="shared" si="4"/>
        <v>39</v>
      </c>
      <c r="B175" s="66" t="s">
        <v>246</v>
      </c>
      <c r="C175" s="58" t="s">
        <v>263</v>
      </c>
      <c r="D175" s="66">
        <v>0</v>
      </c>
      <c r="E175" s="64">
        <v>0</v>
      </c>
      <c r="F175" s="81" t="s">
        <v>292</v>
      </c>
      <c r="J175" s="3"/>
    </row>
    <row r="176" spans="1:10" x14ac:dyDescent="0.35">
      <c r="A176" s="77">
        <f t="shared" si="4"/>
        <v>40</v>
      </c>
      <c r="B176" s="65" t="s">
        <v>246</v>
      </c>
      <c r="C176" s="58" t="s">
        <v>264</v>
      </c>
      <c r="D176" s="65">
        <v>0</v>
      </c>
      <c r="E176" s="62">
        <v>0</v>
      </c>
      <c r="F176" s="80" t="s">
        <v>292</v>
      </c>
      <c r="J176" s="3"/>
    </row>
    <row r="177" spans="1:10" x14ac:dyDescent="0.35">
      <c r="A177" s="78">
        <f t="shared" si="4"/>
        <v>41</v>
      </c>
      <c r="B177" s="66" t="s">
        <v>246</v>
      </c>
      <c r="C177" s="58" t="s">
        <v>265</v>
      </c>
      <c r="D177" s="66">
        <v>0</v>
      </c>
      <c r="E177" s="64">
        <v>0</v>
      </c>
      <c r="F177" s="81" t="s">
        <v>292</v>
      </c>
      <c r="J177" s="3"/>
    </row>
    <row r="178" spans="1:10" x14ac:dyDescent="0.35">
      <c r="A178" s="77">
        <v>1</v>
      </c>
      <c r="B178" s="65" t="s">
        <v>267</v>
      </c>
      <c r="C178" s="58" t="s">
        <v>118</v>
      </c>
      <c r="D178" s="58">
        <v>9.1199999999999992</v>
      </c>
      <c r="E178" s="68">
        <v>6.7678571428571397</v>
      </c>
      <c r="F178" s="80" t="s">
        <v>294</v>
      </c>
      <c r="J178" s="3"/>
    </row>
    <row r="179" spans="1:10" x14ac:dyDescent="0.35">
      <c r="A179" s="78">
        <f t="shared" si="4"/>
        <v>2</v>
      </c>
      <c r="B179" s="66" t="s">
        <v>267</v>
      </c>
      <c r="C179" s="58" t="s">
        <v>119</v>
      </c>
      <c r="D179" s="58">
        <v>8.6199999999999992</v>
      </c>
      <c r="E179" s="67">
        <v>7.3571428571428603</v>
      </c>
      <c r="F179" s="81" t="s">
        <v>294</v>
      </c>
      <c r="J179" s="3"/>
    </row>
    <row r="180" spans="1:10" x14ac:dyDescent="0.35">
      <c r="A180" s="77">
        <f t="shared" si="4"/>
        <v>3</v>
      </c>
      <c r="B180" s="65" t="s">
        <v>267</v>
      </c>
      <c r="C180" s="58" t="s">
        <v>120</v>
      </c>
      <c r="D180" s="58">
        <v>7.47</v>
      </c>
      <c r="E180" s="68">
        <v>6.1785714285714297</v>
      </c>
      <c r="F180" s="80" t="s">
        <v>294</v>
      </c>
      <c r="J180" s="3"/>
    </row>
    <row r="181" spans="1:10" x14ac:dyDescent="0.35">
      <c r="A181" s="78">
        <f t="shared" si="4"/>
        <v>4</v>
      </c>
      <c r="B181" s="66" t="s">
        <v>267</v>
      </c>
      <c r="C181" s="58" t="s">
        <v>123</v>
      </c>
      <c r="D181" s="58">
        <v>7.8</v>
      </c>
      <c r="E181" s="67">
        <v>7.6428571428571432</v>
      </c>
      <c r="F181" s="81" t="s">
        <v>294</v>
      </c>
    </row>
    <row r="182" spans="1:10" x14ac:dyDescent="0.35">
      <c r="A182" s="77">
        <f t="shared" ref="A182:A246" si="5">A181+1</f>
        <v>5</v>
      </c>
      <c r="B182" s="65" t="s">
        <v>267</v>
      </c>
      <c r="C182" s="58" t="s">
        <v>124</v>
      </c>
      <c r="D182" s="58">
        <v>7.79</v>
      </c>
      <c r="E182" s="68">
        <v>7.5178571428571432</v>
      </c>
      <c r="F182" s="80" t="s">
        <v>294</v>
      </c>
    </row>
    <row r="183" spans="1:10" x14ac:dyDescent="0.35">
      <c r="A183" s="78">
        <f t="shared" si="5"/>
        <v>6</v>
      </c>
      <c r="B183" s="66" t="s">
        <v>267</v>
      </c>
      <c r="C183" s="58" t="s">
        <v>121</v>
      </c>
      <c r="D183" s="58">
        <v>7.04</v>
      </c>
      <c r="E183" s="67">
        <v>4.83</v>
      </c>
      <c r="F183" s="81" t="s">
        <v>294</v>
      </c>
    </row>
    <row r="184" spans="1:10" x14ac:dyDescent="0.35">
      <c r="A184" s="77">
        <f t="shared" si="5"/>
        <v>7</v>
      </c>
      <c r="B184" s="65" t="s">
        <v>267</v>
      </c>
      <c r="C184" s="58" t="s">
        <v>108</v>
      </c>
      <c r="D184" s="58">
        <v>7.11</v>
      </c>
      <c r="E184" s="68">
        <v>4.8899999999999997</v>
      </c>
      <c r="F184" s="80" t="s">
        <v>294</v>
      </c>
    </row>
    <row r="185" spans="1:10" x14ac:dyDescent="0.35">
      <c r="A185" s="78">
        <f t="shared" si="5"/>
        <v>8</v>
      </c>
      <c r="B185" s="66" t="s">
        <v>267</v>
      </c>
      <c r="C185" s="58" t="s">
        <v>122</v>
      </c>
      <c r="D185" s="58">
        <v>6.61</v>
      </c>
      <c r="E185" s="67">
        <v>4.53</v>
      </c>
      <c r="F185" s="81" t="s">
        <v>294</v>
      </c>
    </row>
    <row r="186" spans="1:10" x14ac:dyDescent="0.35">
      <c r="A186" s="77">
        <f t="shared" si="5"/>
        <v>9</v>
      </c>
      <c r="B186" s="65" t="s">
        <v>267</v>
      </c>
      <c r="C186" s="58" t="s">
        <v>135</v>
      </c>
      <c r="D186" s="58">
        <v>8.23</v>
      </c>
      <c r="E186" s="68">
        <v>5</v>
      </c>
      <c r="F186" s="80" t="s">
        <v>294</v>
      </c>
    </row>
    <row r="187" spans="1:10" x14ac:dyDescent="0.35">
      <c r="A187" s="78">
        <f t="shared" si="5"/>
        <v>10</v>
      </c>
      <c r="B187" s="66" t="s">
        <v>267</v>
      </c>
      <c r="C187" s="58" t="s">
        <v>131</v>
      </c>
      <c r="D187" s="58">
        <v>7.63</v>
      </c>
      <c r="E187" s="67">
        <v>3</v>
      </c>
      <c r="F187" s="81" t="s">
        <v>293</v>
      </c>
    </row>
    <row r="188" spans="1:10" x14ac:dyDescent="0.35">
      <c r="A188" s="77">
        <f t="shared" si="5"/>
        <v>11</v>
      </c>
      <c r="B188" s="65" t="s">
        <v>267</v>
      </c>
      <c r="C188" s="58" t="s">
        <v>126</v>
      </c>
      <c r="D188" s="58">
        <v>7.08</v>
      </c>
      <c r="E188" s="68">
        <v>4.08</v>
      </c>
      <c r="F188" s="80" t="s">
        <v>293</v>
      </c>
    </row>
    <row r="189" spans="1:10" x14ac:dyDescent="0.35">
      <c r="A189" s="78">
        <f t="shared" si="5"/>
        <v>12</v>
      </c>
      <c r="B189" s="66" t="s">
        <v>267</v>
      </c>
      <c r="C189" s="58" t="s">
        <v>125</v>
      </c>
      <c r="D189" s="58">
        <v>6.74</v>
      </c>
      <c r="E189" s="67">
        <v>2.5</v>
      </c>
      <c r="F189" s="81" t="s">
        <v>293</v>
      </c>
    </row>
    <row r="190" spans="1:10" x14ac:dyDescent="0.35">
      <c r="A190" s="77">
        <f t="shared" si="5"/>
        <v>13</v>
      </c>
      <c r="B190" s="65" t="s">
        <v>267</v>
      </c>
      <c r="C190" s="58" t="s">
        <v>132</v>
      </c>
      <c r="D190" s="58">
        <v>7.06</v>
      </c>
      <c r="E190" s="68">
        <v>4</v>
      </c>
      <c r="F190" s="80" t="s">
        <v>293</v>
      </c>
    </row>
    <row r="191" spans="1:10" x14ac:dyDescent="0.35">
      <c r="A191" s="78">
        <f t="shared" si="5"/>
        <v>14</v>
      </c>
      <c r="B191" s="66" t="s">
        <v>267</v>
      </c>
      <c r="C191" s="58" t="s">
        <v>127</v>
      </c>
      <c r="D191" s="58">
        <v>6.77</v>
      </c>
      <c r="E191" s="67">
        <v>4</v>
      </c>
      <c r="F191" s="81" t="s">
        <v>293</v>
      </c>
    </row>
    <row r="192" spans="1:10" x14ac:dyDescent="0.35">
      <c r="A192" s="77">
        <f t="shared" si="5"/>
        <v>15</v>
      </c>
      <c r="B192" s="65" t="s">
        <v>267</v>
      </c>
      <c r="C192" s="58" t="s">
        <v>129</v>
      </c>
      <c r="D192" s="58">
        <v>6.3</v>
      </c>
      <c r="E192" s="68">
        <v>3.5</v>
      </c>
      <c r="F192" s="80" t="s">
        <v>293</v>
      </c>
    </row>
    <row r="193" spans="1:10" x14ac:dyDescent="0.35">
      <c r="A193" s="78">
        <f t="shared" si="5"/>
        <v>16</v>
      </c>
      <c r="B193" s="66" t="s">
        <v>267</v>
      </c>
      <c r="C193" s="58" t="s">
        <v>128</v>
      </c>
      <c r="D193" s="58">
        <v>6.27</v>
      </c>
      <c r="E193" s="67">
        <v>3.06</v>
      </c>
      <c r="F193" s="81" t="s">
        <v>293</v>
      </c>
    </row>
    <row r="194" spans="1:10" x14ac:dyDescent="0.35">
      <c r="A194" s="77">
        <f t="shared" si="5"/>
        <v>17</v>
      </c>
      <c r="B194" s="65" t="s">
        <v>267</v>
      </c>
      <c r="C194" s="58" t="s">
        <v>134</v>
      </c>
      <c r="D194" s="58">
        <v>6.55</v>
      </c>
      <c r="E194" s="68">
        <v>4.3</v>
      </c>
      <c r="F194" s="80" t="s">
        <v>293</v>
      </c>
    </row>
    <row r="195" spans="1:10" x14ac:dyDescent="0.35">
      <c r="A195" s="78">
        <f t="shared" si="5"/>
        <v>18</v>
      </c>
      <c r="B195" s="66" t="s">
        <v>267</v>
      </c>
      <c r="C195" s="58" t="s">
        <v>136</v>
      </c>
      <c r="D195" s="58">
        <v>6.27</v>
      </c>
      <c r="E195" s="67">
        <v>1.06</v>
      </c>
      <c r="F195" s="81" t="s">
        <v>293</v>
      </c>
    </row>
    <row r="196" spans="1:10" x14ac:dyDescent="0.35">
      <c r="A196" s="77">
        <f t="shared" si="5"/>
        <v>19</v>
      </c>
      <c r="B196" s="65" t="s">
        <v>267</v>
      </c>
      <c r="C196" s="58" t="s">
        <v>139</v>
      </c>
      <c r="D196" s="58">
        <v>6.58</v>
      </c>
      <c r="E196" s="68">
        <v>3.07</v>
      </c>
      <c r="F196" s="80" t="s">
        <v>293</v>
      </c>
    </row>
    <row r="197" spans="1:10" x14ac:dyDescent="0.35">
      <c r="A197" s="78">
        <f t="shared" si="5"/>
        <v>20</v>
      </c>
      <c r="B197" s="66" t="s">
        <v>267</v>
      </c>
      <c r="C197" s="58" t="s">
        <v>140</v>
      </c>
      <c r="D197" s="58">
        <v>6.34</v>
      </c>
      <c r="E197" s="67">
        <v>3</v>
      </c>
      <c r="F197" s="81" t="s">
        <v>293</v>
      </c>
    </row>
    <row r="198" spans="1:10" x14ac:dyDescent="0.35">
      <c r="A198" s="77">
        <f t="shared" si="5"/>
        <v>21</v>
      </c>
      <c r="B198" s="65" t="s">
        <v>267</v>
      </c>
      <c r="C198" s="58" t="s">
        <v>130</v>
      </c>
      <c r="D198" s="58">
        <v>5.01</v>
      </c>
      <c r="E198" s="68">
        <v>4.4000000000000004</v>
      </c>
      <c r="F198" s="80" t="s">
        <v>293</v>
      </c>
      <c r="J198" s="3"/>
    </row>
    <row r="199" spans="1:10" x14ac:dyDescent="0.35">
      <c r="A199" s="78">
        <f t="shared" si="5"/>
        <v>22</v>
      </c>
      <c r="B199" s="66" t="s">
        <v>267</v>
      </c>
      <c r="C199" s="58" t="s">
        <v>133</v>
      </c>
      <c r="D199" s="58">
        <v>5.25</v>
      </c>
      <c r="E199" s="67">
        <v>2.6</v>
      </c>
      <c r="F199" s="81" t="s">
        <v>293</v>
      </c>
      <c r="J199" s="3"/>
    </row>
    <row r="200" spans="1:10" x14ac:dyDescent="0.35">
      <c r="A200" s="77">
        <f t="shared" si="5"/>
        <v>23</v>
      </c>
      <c r="B200" s="65" t="s">
        <v>267</v>
      </c>
      <c r="C200" s="58" t="s">
        <v>141</v>
      </c>
      <c r="D200" s="58">
        <v>6.31</v>
      </c>
      <c r="E200" s="68">
        <v>4.0199999999999996</v>
      </c>
      <c r="F200" s="80" t="s">
        <v>293</v>
      </c>
      <c r="J200" s="3"/>
    </row>
    <row r="201" spans="1:10" x14ac:dyDescent="0.35">
      <c r="A201" s="78">
        <f t="shared" si="5"/>
        <v>24</v>
      </c>
      <c r="B201" s="66" t="s">
        <v>267</v>
      </c>
      <c r="C201" s="58" t="s">
        <v>137</v>
      </c>
      <c r="D201" s="58">
        <v>5.58</v>
      </c>
      <c r="E201" s="67">
        <v>2.6</v>
      </c>
      <c r="F201" s="81" t="s">
        <v>293</v>
      </c>
      <c r="J201" s="3"/>
    </row>
    <row r="202" spans="1:10" x14ac:dyDescent="0.35">
      <c r="A202" s="77">
        <f t="shared" si="5"/>
        <v>25</v>
      </c>
      <c r="B202" s="65" t="s">
        <v>267</v>
      </c>
      <c r="C202" s="58" t="s">
        <v>138</v>
      </c>
      <c r="D202" s="58">
        <v>5.46</v>
      </c>
      <c r="E202" s="68">
        <v>2.8</v>
      </c>
      <c r="F202" s="80" t="s">
        <v>293</v>
      </c>
      <c r="J202" s="3"/>
    </row>
    <row r="203" spans="1:10" x14ac:dyDescent="0.35">
      <c r="A203" s="78">
        <f t="shared" si="5"/>
        <v>26</v>
      </c>
      <c r="B203" s="66" t="s">
        <v>267</v>
      </c>
      <c r="C203" s="58" t="s">
        <v>271</v>
      </c>
      <c r="D203" s="60">
        <v>6.6899999999999995</v>
      </c>
      <c r="E203" s="64">
        <v>4</v>
      </c>
      <c r="F203" s="81" t="s">
        <v>293</v>
      </c>
      <c r="J203" s="3"/>
    </row>
    <row r="204" spans="1:10" x14ac:dyDescent="0.35">
      <c r="A204" s="77">
        <f t="shared" si="5"/>
        <v>27</v>
      </c>
      <c r="B204" s="65" t="s">
        <v>267</v>
      </c>
      <c r="C204" s="58" t="s">
        <v>270</v>
      </c>
      <c r="D204" s="59">
        <v>6.0649999999999995</v>
      </c>
      <c r="E204" s="62">
        <v>4.0357142857142856</v>
      </c>
      <c r="F204" s="80" t="s">
        <v>293</v>
      </c>
      <c r="J204" s="3"/>
    </row>
    <row r="205" spans="1:10" x14ac:dyDescent="0.35">
      <c r="A205" s="78">
        <f t="shared" si="5"/>
        <v>28</v>
      </c>
      <c r="B205" s="66" t="s">
        <v>267</v>
      </c>
      <c r="C205" s="58" t="s">
        <v>269</v>
      </c>
      <c r="D205" s="60">
        <v>5.76</v>
      </c>
      <c r="E205" s="64">
        <v>4.1785714285714288</v>
      </c>
      <c r="F205" s="81" t="s">
        <v>293</v>
      </c>
      <c r="J205" s="3"/>
    </row>
    <row r="206" spans="1:10" x14ac:dyDescent="0.35">
      <c r="A206" s="77">
        <f t="shared" si="5"/>
        <v>29</v>
      </c>
      <c r="B206" s="65" t="s">
        <v>267</v>
      </c>
      <c r="C206" s="58" t="s">
        <v>142</v>
      </c>
      <c r="D206" s="58">
        <v>5.15</v>
      </c>
      <c r="E206" s="59">
        <v>4.3</v>
      </c>
      <c r="F206" s="80" t="s">
        <v>293</v>
      </c>
      <c r="J206" s="3"/>
    </row>
    <row r="207" spans="1:10" x14ac:dyDescent="0.35">
      <c r="A207" s="78">
        <f t="shared" si="5"/>
        <v>30</v>
      </c>
      <c r="B207" s="66" t="s">
        <v>267</v>
      </c>
      <c r="C207" s="58" t="s">
        <v>274</v>
      </c>
      <c r="D207" s="60">
        <v>5.93</v>
      </c>
      <c r="E207" s="64">
        <v>3.25</v>
      </c>
      <c r="F207" s="81" t="s">
        <v>293</v>
      </c>
      <c r="J207" s="3"/>
    </row>
    <row r="208" spans="1:10" x14ac:dyDescent="0.35">
      <c r="A208" s="77">
        <f t="shared" si="5"/>
        <v>31</v>
      </c>
      <c r="B208" s="65" t="s">
        <v>267</v>
      </c>
      <c r="C208" s="58" t="s">
        <v>272</v>
      </c>
      <c r="D208" s="59">
        <v>5.1150000000000002</v>
      </c>
      <c r="E208" s="62">
        <v>3.9464285714285716</v>
      </c>
      <c r="F208" s="80" t="s">
        <v>295</v>
      </c>
      <c r="J208" s="3"/>
    </row>
    <row r="209" spans="1:10" x14ac:dyDescent="0.35">
      <c r="A209" s="78">
        <f t="shared" si="5"/>
        <v>32</v>
      </c>
      <c r="B209" s="66" t="s">
        <v>267</v>
      </c>
      <c r="C209" s="58" t="s">
        <v>268</v>
      </c>
      <c r="D209" s="60">
        <v>4.7450000000000001</v>
      </c>
      <c r="E209" s="64">
        <v>4.2142857142857144</v>
      </c>
      <c r="F209" s="81" t="s">
        <v>293</v>
      </c>
      <c r="J209" s="3"/>
    </row>
    <row r="210" spans="1:10" x14ac:dyDescent="0.35">
      <c r="A210" s="77">
        <f t="shared" si="5"/>
        <v>33</v>
      </c>
      <c r="B210" s="65" t="s">
        <v>267</v>
      </c>
      <c r="C210" s="58" t="s">
        <v>276</v>
      </c>
      <c r="D210" s="59">
        <v>5.15</v>
      </c>
      <c r="E210" s="62">
        <v>2.1428571428571428</v>
      </c>
      <c r="F210" s="80" t="s">
        <v>293</v>
      </c>
      <c r="J210" s="3"/>
    </row>
    <row r="211" spans="1:10" x14ac:dyDescent="0.35">
      <c r="A211" s="78">
        <f t="shared" si="5"/>
        <v>34</v>
      </c>
      <c r="B211" s="66" t="s">
        <v>267</v>
      </c>
      <c r="C211" s="58" t="s">
        <v>273</v>
      </c>
      <c r="D211" s="60">
        <v>3.54</v>
      </c>
      <c r="E211" s="64">
        <v>3.7142857142857144</v>
      </c>
      <c r="F211" s="81" t="s">
        <v>293</v>
      </c>
      <c r="J211" s="3"/>
    </row>
    <row r="212" spans="1:10" x14ac:dyDescent="0.35">
      <c r="A212" s="77">
        <f t="shared" si="5"/>
        <v>35</v>
      </c>
      <c r="B212" s="65" t="s">
        <v>267</v>
      </c>
      <c r="C212" s="58" t="s">
        <v>275</v>
      </c>
      <c r="D212" s="59">
        <v>4.4850000000000003</v>
      </c>
      <c r="E212" s="62">
        <v>2.1785714285714284</v>
      </c>
      <c r="F212" s="80" t="s">
        <v>295</v>
      </c>
      <c r="J212" s="3"/>
    </row>
    <row r="213" spans="1:10" x14ac:dyDescent="0.35">
      <c r="A213" s="78">
        <f t="shared" si="5"/>
        <v>36</v>
      </c>
      <c r="B213" s="66" t="s">
        <v>267</v>
      </c>
      <c r="C213" s="58" t="s">
        <v>287</v>
      </c>
      <c r="D213" s="60">
        <v>6.38</v>
      </c>
      <c r="E213" s="64">
        <v>0</v>
      </c>
      <c r="F213" s="81" t="s">
        <v>293</v>
      </c>
      <c r="J213" s="3"/>
    </row>
    <row r="214" spans="1:10" x14ac:dyDescent="0.35">
      <c r="A214" s="77">
        <f t="shared" si="5"/>
        <v>37</v>
      </c>
      <c r="B214" s="65" t="s">
        <v>267</v>
      </c>
      <c r="C214" s="58" t="s">
        <v>277</v>
      </c>
      <c r="D214" s="59">
        <v>3.915</v>
      </c>
      <c r="E214" s="62">
        <v>2.125</v>
      </c>
      <c r="F214" s="80" t="s">
        <v>293</v>
      </c>
      <c r="J214" s="3"/>
    </row>
    <row r="215" spans="1:10" x14ac:dyDescent="0.35">
      <c r="A215" s="78">
        <f t="shared" si="5"/>
        <v>38</v>
      </c>
      <c r="B215" s="66" t="s">
        <v>267</v>
      </c>
      <c r="C215" s="58" t="s">
        <v>280</v>
      </c>
      <c r="D215" s="60">
        <v>2.9349999999999996</v>
      </c>
      <c r="E215" s="64">
        <v>1.7857142857142858</v>
      </c>
      <c r="F215" s="81" t="s">
        <v>293</v>
      </c>
      <c r="J215" s="3"/>
    </row>
    <row r="216" spans="1:10" x14ac:dyDescent="0.35">
      <c r="A216" s="77">
        <f t="shared" si="5"/>
        <v>39</v>
      </c>
      <c r="B216" s="65" t="s">
        <v>267</v>
      </c>
      <c r="C216" s="58" t="s">
        <v>279</v>
      </c>
      <c r="D216" s="59">
        <v>2.44</v>
      </c>
      <c r="E216" s="62">
        <v>1.8214285714285714</v>
      </c>
      <c r="F216" s="80" t="s">
        <v>293</v>
      </c>
      <c r="J216" s="3"/>
    </row>
    <row r="217" spans="1:10" x14ac:dyDescent="0.35">
      <c r="A217" s="78">
        <f t="shared" si="5"/>
        <v>40</v>
      </c>
      <c r="B217" s="66" t="s">
        <v>267</v>
      </c>
      <c r="C217" s="58" t="s">
        <v>285</v>
      </c>
      <c r="D217" s="60">
        <v>4.09</v>
      </c>
      <c r="E217" s="64">
        <v>0</v>
      </c>
      <c r="F217" s="81" t="s">
        <v>293</v>
      </c>
      <c r="J217" s="3"/>
    </row>
    <row r="218" spans="1:10" x14ac:dyDescent="0.35">
      <c r="A218" s="77">
        <f t="shared" si="5"/>
        <v>41</v>
      </c>
      <c r="B218" s="65" t="s">
        <v>267</v>
      </c>
      <c r="C218" s="58" t="s">
        <v>278</v>
      </c>
      <c r="D218" s="59">
        <v>2.165</v>
      </c>
      <c r="E218" s="62">
        <v>1.875</v>
      </c>
      <c r="F218" s="80" t="s">
        <v>293</v>
      </c>
      <c r="J218" s="3"/>
    </row>
    <row r="219" spans="1:10" x14ac:dyDescent="0.35">
      <c r="A219" s="78">
        <f t="shared" si="5"/>
        <v>42</v>
      </c>
      <c r="B219" s="66" t="s">
        <v>267</v>
      </c>
      <c r="C219" s="58" t="s">
        <v>284</v>
      </c>
      <c r="D219" s="60">
        <v>3.5950000000000002</v>
      </c>
      <c r="E219" s="64">
        <v>0</v>
      </c>
      <c r="F219" s="81" t="s">
        <v>293</v>
      </c>
      <c r="J219" s="3"/>
    </row>
    <row r="220" spans="1:10" x14ac:dyDescent="0.35">
      <c r="A220" s="77">
        <f t="shared" si="5"/>
        <v>43</v>
      </c>
      <c r="B220" s="65" t="s">
        <v>267</v>
      </c>
      <c r="C220" s="58" t="s">
        <v>281</v>
      </c>
      <c r="D220" s="59">
        <v>2.355</v>
      </c>
      <c r="E220" s="62">
        <v>1.2142857142857142</v>
      </c>
      <c r="F220" s="80" t="s">
        <v>293</v>
      </c>
      <c r="J220" s="3"/>
    </row>
    <row r="221" spans="1:10" x14ac:dyDescent="0.35">
      <c r="A221" s="78">
        <f t="shared" si="5"/>
        <v>44</v>
      </c>
      <c r="B221" s="66" t="s">
        <v>267</v>
      </c>
      <c r="C221" s="58" t="s">
        <v>282</v>
      </c>
      <c r="D221" s="60">
        <v>2.415</v>
      </c>
      <c r="E221" s="64">
        <v>1</v>
      </c>
      <c r="F221" s="81" t="s">
        <v>293</v>
      </c>
      <c r="J221" s="3"/>
    </row>
    <row r="222" spans="1:10" x14ac:dyDescent="0.35">
      <c r="A222" s="77">
        <f t="shared" si="5"/>
        <v>45</v>
      </c>
      <c r="B222" s="65" t="s">
        <v>267</v>
      </c>
      <c r="C222" s="58" t="s">
        <v>283</v>
      </c>
      <c r="D222" s="59">
        <v>0</v>
      </c>
      <c r="E222" s="62">
        <v>0</v>
      </c>
      <c r="F222" s="80" t="s">
        <v>671</v>
      </c>
      <c r="J222" s="3"/>
    </row>
    <row r="223" spans="1:10" x14ac:dyDescent="0.35">
      <c r="A223" s="78">
        <f t="shared" si="5"/>
        <v>46</v>
      </c>
      <c r="B223" s="66" t="s">
        <v>267</v>
      </c>
      <c r="C223" s="58" t="s">
        <v>286</v>
      </c>
      <c r="D223" s="60">
        <v>0</v>
      </c>
      <c r="E223" s="64">
        <v>0</v>
      </c>
      <c r="F223" s="81" t="s">
        <v>671</v>
      </c>
      <c r="J223" s="3"/>
    </row>
    <row r="224" spans="1:10" x14ac:dyDescent="0.35">
      <c r="A224" s="77">
        <v>1</v>
      </c>
      <c r="B224" s="58" t="s">
        <v>17</v>
      </c>
      <c r="C224" s="58" t="s">
        <v>61</v>
      </c>
      <c r="D224" s="58">
        <v>7.18</v>
      </c>
      <c r="E224" s="68">
        <v>6.71428571428571</v>
      </c>
      <c r="F224" s="80" t="s">
        <v>670</v>
      </c>
      <c r="J224" s="3"/>
    </row>
    <row r="225" spans="1:10" x14ac:dyDescent="0.35">
      <c r="A225" s="78">
        <f t="shared" si="5"/>
        <v>2</v>
      </c>
      <c r="B225" s="58" t="s">
        <v>17</v>
      </c>
      <c r="C225" s="58" t="s">
        <v>62</v>
      </c>
      <c r="D225" s="58">
        <v>7.22</v>
      </c>
      <c r="E225" s="67">
        <v>5.0714285714285703</v>
      </c>
      <c r="F225" s="81" t="s">
        <v>670</v>
      </c>
      <c r="J225" s="3"/>
    </row>
    <row r="226" spans="1:10" x14ac:dyDescent="0.35">
      <c r="A226" s="77">
        <f t="shared" si="5"/>
        <v>3</v>
      </c>
      <c r="B226" s="58" t="s">
        <v>17</v>
      </c>
      <c r="C226" s="58" t="s">
        <v>63</v>
      </c>
      <c r="D226" s="58">
        <v>6.55</v>
      </c>
      <c r="E226" s="68">
        <v>5.8571428571428568</v>
      </c>
      <c r="F226" s="80" t="s">
        <v>670</v>
      </c>
      <c r="J226" s="3"/>
    </row>
    <row r="227" spans="1:10" x14ac:dyDescent="0.35">
      <c r="A227" s="78">
        <f t="shared" si="5"/>
        <v>4</v>
      </c>
      <c r="B227" s="58" t="s">
        <v>17</v>
      </c>
      <c r="C227" s="58" t="s">
        <v>64</v>
      </c>
      <c r="D227" s="58">
        <v>5.6</v>
      </c>
      <c r="E227" s="67">
        <v>4.57</v>
      </c>
      <c r="F227" s="81" t="s">
        <v>670</v>
      </c>
      <c r="J227" s="3"/>
    </row>
    <row r="228" spans="1:10" x14ac:dyDescent="0.35">
      <c r="A228" s="77">
        <f t="shared" si="5"/>
        <v>5</v>
      </c>
      <c r="B228" s="58" t="s">
        <v>17</v>
      </c>
      <c r="C228" s="58" t="s">
        <v>65</v>
      </c>
      <c r="D228" s="58">
        <v>5.85</v>
      </c>
      <c r="E228" s="68">
        <v>4.5</v>
      </c>
      <c r="F228" s="80" t="s">
        <v>670</v>
      </c>
      <c r="J228" s="3"/>
    </row>
    <row r="229" spans="1:10" x14ac:dyDescent="0.35">
      <c r="A229" s="78">
        <f t="shared" si="5"/>
        <v>6</v>
      </c>
      <c r="B229" s="58" t="s">
        <v>17</v>
      </c>
      <c r="C229" s="58" t="s">
        <v>66</v>
      </c>
      <c r="D229" s="58">
        <v>5.13</v>
      </c>
      <c r="E229" s="67">
        <v>4.66</v>
      </c>
      <c r="F229" s="81" t="s">
        <v>670</v>
      </c>
      <c r="J229" s="3"/>
    </row>
    <row r="230" spans="1:10" x14ac:dyDescent="0.35">
      <c r="A230" s="77">
        <f t="shared" si="5"/>
        <v>7</v>
      </c>
      <c r="B230" s="58" t="s">
        <v>17</v>
      </c>
      <c r="C230" s="58" t="s">
        <v>288</v>
      </c>
      <c r="D230" s="72">
        <v>5.55</v>
      </c>
      <c r="E230" s="73">
        <v>4.3</v>
      </c>
      <c r="F230" s="80" t="s">
        <v>293</v>
      </c>
      <c r="J230" s="3"/>
    </row>
    <row r="231" spans="1:10" x14ac:dyDescent="0.35">
      <c r="A231" s="78">
        <f t="shared" si="5"/>
        <v>8</v>
      </c>
      <c r="B231" s="58" t="s">
        <v>17</v>
      </c>
      <c r="C231" s="58" t="s">
        <v>68</v>
      </c>
      <c r="D231" s="58">
        <v>4.8899999999999997</v>
      </c>
      <c r="E231" s="67">
        <v>3.08</v>
      </c>
      <c r="F231" s="81" t="s">
        <v>293</v>
      </c>
      <c r="J231" s="3"/>
    </row>
    <row r="232" spans="1:10" x14ac:dyDescent="0.35">
      <c r="A232" s="77">
        <f t="shared" si="5"/>
        <v>9</v>
      </c>
      <c r="B232" s="58" t="s">
        <v>17</v>
      </c>
      <c r="C232" s="58" t="s">
        <v>67</v>
      </c>
      <c r="D232" s="58">
        <v>4.5199999999999996</v>
      </c>
      <c r="E232" s="68">
        <v>3.01</v>
      </c>
      <c r="F232" s="80" t="s">
        <v>293</v>
      </c>
      <c r="J232" s="3"/>
    </row>
    <row r="233" spans="1:10" x14ac:dyDescent="0.35">
      <c r="A233" s="78">
        <f t="shared" si="5"/>
        <v>10</v>
      </c>
      <c r="B233" s="58" t="s">
        <v>17</v>
      </c>
      <c r="C233" s="58" t="s">
        <v>201</v>
      </c>
      <c r="D233" s="74">
        <v>6.27</v>
      </c>
      <c r="E233" s="64">
        <v>2.7857142857142856</v>
      </c>
      <c r="F233" s="81" t="s">
        <v>293</v>
      </c>
      <c r="J233" s="3"/>
    </row>
    <row r="234" spans="1:10" x14ac:dyDescent="0.35">
      <c r="A234" s="77">
        <f t="shared" si="5"/>
        <v>11</v>
      </c>
      <c r="B234" s="58" t="s">
        <v>17</v>
      </c>
      <c r="C234" s="58" t="s">
        <v>199</v>
      </c>
      <c r="D234" s="72">
        <v>5.75</v>
      </c>
      <c r="E234" s="62">
        <v>3</v>
      </c>
      <c r="F234" s="80" t="s">
        <v>295</v>
      </c>
      <c r="J234" s="3"/>
    </row>
    <row r="235" spans="1:10" x14ac:dyDescent="0.35">
      <c r="A235" s="78">
        <f t="shared" si="5"/>
        <v>12</v>
      </c>
      <c r="B235" s="58" t="s">
        <v>17</v>
      </c>
      <c r="C235" s="58" t="s">
        <v>197</v>
      </c>
      <c r="D235" s="74">
        <v>4.75</v>
      </c>
      <c r="E235" s="64">
        <v>3.5535714285714284</v>
      </c>
      <c r="F235" s="81" t="s">
        <v>295</v>
      </c>
      <c r="J235" s="3"/>
    </row>
    <row r="236" spans="1:10" x14ac:dyDescent="0.35">
      <c r="A236" s="77">
        <f t="shared" si="5"/>
        <v>13</v>
      </c>
      <c r="B236" s="58" t="s">
        <v>17</v>
      </c>
      <c r="C236" s="58" t="s">
        <v>200</v>
      </c>
      <c r="D236" s="72">
        <v>5.13</v>
      </c>
      <c r="E236" s="62">
        <v>2.8571428571428572</v>
      </c>
      <c r="F236" s="80" t="s">
        <v>293</v>
      </c>
      <c r="J236" s="3"/>
    </row>
    <row r="237" spans="1:10" x14ac:dyDescent="0.35">
      <c r="A237" s="78">
        <f t="shared" si="5"/>
        <v>14</v>
      </c>
      <c r="B237" s="58" t="s">
        <v>17</v>
      </c>
      <c r="C237" s="58" t="s">
        <v>198</v>
      </c>
      <c r="D237" s="74">
        <v>4</v>
      </c>
      <c r="E237" s="64">
        <v>3.2857142857142856</v>
      </c>
      <c r="F237" s="81" t="s">
        <v>293</v>
      </c>
      <c r="J237" s="3"/>
    </row>
    <row r="238" spans="1:10" x14ac:dyDescent="0.35">
      <c r="A238" s="77">
        <f t="shared" si="5"/>
        <v>15</v>
      </c>
      <c r="B238" s="58" t="s">
        <v>17</v>
      </c>
      <c r="C238" s="58" t="s">
        <v>208</v>
      </c>
      <c r="D238" s="75">
        <v>5.0199999999999996</v>
      </c>
      <c r="E238" s="62">
        <v>1.9285714285714286</v>
      </c>
      <c r="F238" s="80" t="s">
        <v>293</v>
      </c>
      <c r="J238" s="3"/>
    </row>
    <row r="239" spans="1:10" x14ac:dyDescent="0.35">
      <c r="A239" s="78">
        <f t="shared" si="5"/>
        <v>16</v>
      </c>
      <c r="B239" s="58" t="s">
        <v>17</v>
      </c>
      <c r="C239" s="58" t="s">
        <v>204</v>
      </c>
      <c r="D239" s="76">
        <v>4</v>
      </c>
      <c r="E239" s="64">
        <v>2.5</v>
      </c>
      <c r="F239" s="81" t="s">
        <v>293</v>
      </c>
      <c r="J239" s="3"/>
    </row>
    <row r="240" spans="1:10" x14ac:dyDescent="0.35">
      <c r="A240" s="77">
        <f t="shared" si="5"/>
        <v>17</v>
      </c>
      <c r="B240" s="58" t="s">
        <v>17</v>
      </c>
      <c r="C240" s="58" t="s">
        <v>209</v>
      </c>
      <c r="D240" s="75">
        <v>4.6100000000000003</v>
      </c>
      <c r="E240" s="62">
        <v>1.8571428571428572</v>
      </c>
      <c r="F240" s="80" t="s">
        <v>293</v>
      </c>
      <c r="J240" s="3"/>
    </row>
    <row r="241" spans="1:10" x14ac:dyDescent="0.35">
      <c r="A241" s="78">
        <f t="shared" si="5"/>
        <v>18</v>
      </c>
      <c r="B241" s="58" t="s">
        <v>17</v>
      </c>
      <c r="C241" s="58" t="s">
        <v>202</v>
      </c>
      <c r="D241" s="74">
        <v>3.44</v>
      </c>
      <c r="E241" s="64">
        <v>2.7857142857142856</v>
      </c>
      <c r="F241" s="81" t="s">
        <v>293</v>
      </c>
      <c r="J241" s="3"/>
    </row>
    <row r="242" spans="1:10" x14ac:dyDescent="0.35">
      <c r="A242" s="77">
        <f t="shared" si="5"/>
        <v>19</v>
      </c>
      <c r="B242" s="58" t="s">
        <v>17</v>
      </c>
      <c r="C242" s="58" t="s">
        <v>210</v>
      </c>
      <c r="D242" s="75">
        <v>4.22</v>
      </c>
      <c r="E242" s="62">
        <v>1.8571428571428572</v>
      </c>
      <c r="F242" s="80" t="s">
        <v>293</v>
      </c>
      <c r="J242" s="3"/>
    </row>
    <row r="243" spans="1:10" x14ac:dyDescent="0.35">
      <c r="A243" s="78">
        <f t="shared" si="5"/>
        <v>20</v>
      </c>
      <c r="B243" s="58" t="s">
        <v>17</v>
      </c>
      <c r="C243" s="58" t="s">
        <v>207</v>
      </c>
      <c r="D243" s="76">
        <v>3.94</v>
      </c>
      <c r="E243" s="64">
        <v>1.9642857142857142</v>
      </c>
      <c r="F243" s="81" t="s">
        <v>293</v>
      </c>
      <c r="J243" s="3"/>
    </row>
    <row r="244" spans="1:10" x14ac:dyDescent="0.35">
      <c r="A244" s="77">
        <f t="shared" si="5"/>
        <v>21</v>
      </c>
      <c r="B244" s="58" t="s">
        <v>17</v>
      </c>
      <c r="C244" s="58" t="s">
        <v>203</v>
      </c>
      <c r="D244" s="72">
        <v>2.94</v>
      </c>
      <c r="E244" s="62">
        <v>2.6071428571428572</v>
      </c>
      <c r="F244" s="80" t="s">
        <v>293</v>
      </c>
      <c r="J244" s="3"/>
    </row>
    <row r="245" spans="1:10" x14ac:dyDescent="0.35">
      <c r="A245" s="78">
        <f t="shared" si="5"/>
        <v>22</v>
      </c>
      <c r="B245" s="58" t="s">
        <v>17</v>
      </c>
      <c r="C245" s="58" t="s">
        <v>213</v>
      </c>
      <c r="D245" s="76">
        <v>4.1900000000000004</v>
      </c>
      <c r="E245" s="64">
        <v>1.2857142857142858</v>
      </c>
      <c r="F245" s="81" t="s">
        <v>293</v>
      </c>
      <c r="J245" s="3"/>
    </row>
    <row r="246" spans="1:10" x14ac:dyDescent="0.35">
      <c r="A246" s="77">
        <f t="shared" si="5"/>
        <v>23</v>
      </c>
      <c r="B246" s="58" t="s">
        <v>17</v>
      </c>
      <c r="C246" s="58" t="s">
        <v>206</v>
      </c>
      <c r="D246" s="75">
        <v>3.33</v>
      </c>
      <c r="E246" s="62">
        <v>2.125</v>
      </c>
      <c r="F246" s="80" t="s">
        <v>293</v>
      </c>
      <c r="J246" s="3"/>
    </row>
    <row r="247" spans="1:10" x14ac:dyDescent="0.35">
      <c r="A247" s="78">
        <f t="shared" ref="A247:A282" si="6">A246+1</f>
        <v>24</v>
      </c>
      <c r="B247" s="58" t="s">
        <v>17</v>
      </c>
      <c r="C247" s="58" t="s">
        <v>205</v>
      </c>
      <c r="D247" s="76">
        <v>3</v>
      </c>
      <c r="E247" s="64">
        <v>2.2857142857142856</v>
      </c>
      <c r="F247" s="81" t="s">
        <v>293</v>
      </c>
      <c r="J247" s="3"/>
    </row>
    <row r="248" spans="1:10" x14ac:dyDescent="0.35">
      <c r="A248" s="77">
        <f t="shared" si="6"/>
        <v>25</v>
      </c>
      <c r="B248" s="58" t="s">
        <v>17</v>
      </c>
      <c r="C248" s="58" t="s">
        <v>215</v>
      </c>
      <c r="D248" s="75">
        <v>3.75</v>
      </c>
      <c r="E248" s="62">
        <v>1.1785714285714286</v>
      </c>
      <c r="F248" s="80" t="s">
        <v>293</v>
      </c>
      <c r="J248" s="3"/>
    </row>
    <row r="249" spans="1:10" x14ac:dyDescent="0.35">
      <c r="A249" s="78">
        <f t="shared" si="6"/>
        <v>26</v>
      </c>
      <c r="B249" s="58" t="s">
        <v>17</v>
      </c>
      <c r="C249" s="58" t="s">
        <v>221</v>
      </c>
      <c r="D249" s="76">
        <v>4.33</v>
      </c>
      <c r="E249" s="64">
        <v>0</v>
      </c>
      <c r="F249" s="81" t="s">
        <v>293</v>
      </c>
      <c r="J249" s="3"/>
    </row>
    <row r="250" spans="1:10" x14ac:dyDescent="0.35">
      <c r="A250" s="77">
        <f t="shared" si="6"/>
        <v>27</v>
      </c>
      <c r="B250" s="58" t="s">
        <v>17</v>
      </c>
      <c r="C250" s="58" t="s">
        <v>217</v>
      </c>
      <c r="D250" s="75">
        <v>3.22</v>
      </c>
      <c r="E250" s="62">
        <v>0.8571428571428571</v>
      </c>
      <c r="F250" s="80" t="s">
        <v>293</v>
      </c>
      <c r="J250" s="3"/>
    </row>
    <row r="251" spans="1:10" x14ac:dyDescent="0.35">
      <c r="A251" s="78">
        <f t="shared" si="6"/>
        <v>28</v>
      </c>
      <c r="B251" s="58" t="s">
        <v>17</v>
      </c>
      <c r="C251" s="58" t="s">
        <v>216</v>
      </c>
      <c r="D251" s="76">
        <v>2.97</v>
      </c>
      <c r="E251" s="64">
        <v>0.9285714285714286</v>
      </c>
      <c r="F251" s="81" t="s">
        <v>293</v>
      </c>
      <c r="J251" s="3"/>
    </row>
    <row r="252" spans="1:10" x14ac:dyDescent="0.35">
      <c r="A252" s="77">
        <f t="shared" si="6"/>
        <v>29</v>
      </c>
      <c r="B252" s="58" t="s">
        <v>17</v>
      </c>
      <c r="C252" s="58" t="s">
        <v>212</v>
      </c>
      <c r="D252" s="75">
        <v>2.52</v>
      </c>
      <c r="E252" s="62">
        <v>1.3571428571428572</v>
      </c>
      <c r="F252" s="80" t="s">
        <v>293</v>
      </c>
      <c r="J252" s="3"/>
    </row>
    <row r="253" spans="1:10" x14ac:dyDescent="0.35">
      <c r="A253" s="78">
        <f t="shared" si="6"/>
        <v>30</v>
      </c>
      <c r="B253" s="58" t="s">
        <v>17</v>
      </c>
      <c r="C253" s="58" t="s">
        <v>214</v>
      </c>
      <c r="D253" s="76">
        <v>2.4700000000000002</v>
      </c>
      <c r="E253" s="64">
        <v>1.2142857142857142</v>
      </c>
      <c r="F253" s="81" t="s">
        <v>293</v>
      </c>
      <c r="J253" s="3"/>
    </row>
    <row r="254" spans="1:10" x14ac:dyDescent="0.35">
      <c r="A254" s="77">
        <f t="shared" si="6"/>
        <v>31</v>
      </c>
      <c r="B254" s="58" t="s">
        <v>17</v>
      </c>
      <c r="C254" s="58" t="s">
        <v>218</v>
      </c>
      <c r="D254" s="75">
        <v>2.8</v>
      </c>
      <c r="E254" s="62">
        <v>0.5</v>
      </c>
      <c r="F254" s="80" t="s">
        <v>293</v>
      </c>
      <c r="J254" s="3"/>
    </row>
    <row r="255" spans="1:10" x14ac:dyDescent="0.35">
      <c r="A255" s="78">
        <f t="shared" si="6"/>
        <v>32</v>
      </c>
      <c r="B255" s="58" t="s">
        <v>17</v>
      </c>
      <c r="C255" s="58" t="s">
        <v>222</v>
      </c>
      <c r="D255" s="63">
        <v>3.16</v>
      </c>
      <c r="E255" s="64">
        <v>0</v>
      </c>
      <c r="F255" s="81" t="s">
        <v>293</v>
      </c>
      <c r="J255" s="3"/>
    </row>
    <row r="256" spans="1:10" x14ac:dyDescent="0.35">
      <c r="A256" s="77">
        <f t="shared" si="6"/>
        <v>33</v>
      </c>
      <c r="B256" s="58" t="s">
        <v>17</v>
      </c>
      <c r="C256" s="58" t="s">
        <v>219</v>
      </c>
      <c r="D256" s="75">
        <v>1.77</v>
      </c>
      <c r="E256" s="62">
        <v>0</v>
      </c>
      <c r="F256" s="80" t="s">
        <v>293</v>
      </c>
      <c r="J256" s="3"/>
    </row>
    <row r="257" spans="1:10" x14ac:dyDescent="0.35">
      <c r="A257" s="78">
        <f t="shared" si="6"/>
        <v>34</v>
      </c>
      <c r="B257" s="58" t="s">
        <v>17</v>
      </c>
      <c r="C257" s="58" t="s">
        <v>211</v>
      </c>
      <c r="D257" s="76">
        <v>0</v>
      </c>
      <c r="E257" s="64">
        <v>1.5</v>
      </c>
      <c r="F257" s="81" t="s">
        <v>293</v>
      </c>
      <c r="J257" s="3"/>
    </row>
    <row r="258" spans="1:10" x14ac:dyDescent="0.35">
      <c r="A258" s="77">
        <f t="shared" si="6"/>
        <v>35</v>
      </c>
      <c r="B258" s="58" t="s">
        <v>17</v>
      </c>
      <c r="C258" s="58" t="s">
        <v>220</v>
      </c>
      <c r="D258" s="75">
        <v>0</v>
      </c>
      <c r="E258" s="62">
        <v>0</v>
      </c>
      <c r="F258" s="80" t="s">
        <v>292</v>
      </c>
      <c r="J258" s="3"/>
    </row>
    <row r="259" spans="1:10" x14ac:dyDescent="0.35">
      <c r="A259" s="78">
        <v>1</v>
      </c>
      <c r="B259" s="58" t="s">
        <v>6</v>
      </c>
      <c r="C259" s="58" t="s">
        <v>26</v>
      </c>
      <c r="D259" s="58">
        <v>7.3</v>
      </c>
      <c r="E259" s="67">
        <v>7.6428571428571432</v>
      </c>
      <c r="F259" s="81" t="s">
        <v>670</v>
      </c>
      <c r="J259" s="3"/>
    </row>
    <row r="260" spans="1:10" x14ac:dyDescent="0.35">
      <c r="A260" s="77">
        <f t="shared" si="6"/>
        <v>2</v>
      </c>
      <c r="B260" s="58" t="s">
        <v>6</v>
      </c>
      <c r="C260" s="58" t="s">
        <v>29</v>
      </c>
      <c r="D260" s="58">
        <v>6.58</v>
      </c>
      <c r="E260" s="68">
        <v>6.4642857142857144</v>
      </c>
      <c r="F260" s="80" t="s">
        <v>670</v>
      </c>
      <c r="J260" s="3"/>
    </row>
    <row r="261" spans="1:10" x14ac:dyDescent="0.35">
      <c r="A261" s="78">
        <f t="shared" si="6"/>
        <v>3</v>
      </c>
      <c r="B261" s="58" t="s">
        <v>6</v>
      </c>
      <c r="C261" s="58" t="s">
        <v>28</v>
      </c>
      <c r="D261" s="58">
        <v>6.02</v>
      </c>
      <c r="E261" s="67">
        <v>4.33</v>
      </c>
      <c r="F261" s="81" t="s">
        <v>293</v>
      </c>
      <c r="J261" s="3"/>
    </row>
    <row r="262" spans="1:10" x14ac:dyDescent="0.35">
      <c r="A262" s="77">
        <f t="shared" si="6"/>
        <v>4</v>
      </c>
      <c r="B262" s="58" t="s">
        <v>6</v>
      </c>
      <c r="C262" s="58" t="s">
        <v>30</v>
      </c>
      <c r="D262" s="58">
        <v>5.75</v>
      </c>
      <c r="E262" s="68">
        <v>3.4</v>
      </c>
      <c r="F262" s="80" t="s">
        <v>293</v>
      </c>
      <c r="J262" s="3"/>
    </row>
    <row r="263" spans="1:10" x14ac:dyDescent="0.35">
      <c r="A263" s="78">
        <f t="shared" si="6"/>
        <v>5</v>
      </c>
      <c r="B263" s="58" t="s">
        <v>6</v>
      </c>
      <c r="C263" s="58" t="s">
        <v>27</v>
      </c>
      <c r="D263" s="58">
        <v>4.79</v>
      </c>
      <c r="E263" s="67">
        <v>2.7</v>
      </c>
      <c r="F263" s="81" t="s">
        <v>293</v>
      </c>
    </row>
    <row r="264" spans="1:10" x14ac:dyDescent="0.35">
      <c r="A264" s="77">
        <f t="shared" si="6"/>
        <v>6</v>
      </c>
      <c r="B264" s="58" t="s">
        <v>6</v>
      </c>
      <c r="C264" s="58" t="s">
        <v>32</v>
      </c>
      <c r="D264" s="58">
        <v>6.1</v>
      </c>
      <c r="E264" s="68">
        <v>3.01</v>
      </c>
      <c r="F264" s="80" t="s">
        <v>293</v>
      </c>
    </row>
    <row r="265" spans="1:10" x14ac:dyDescent="0.35">
      <c r="A265" s="78">
        <f t="shared" si="6"/>
        <v>7</v>
      </c>
      <c r="B265" s="58" t="s">
        <v>6</v>
      </c>
      <c r="C265" s="58" t="s">
        <v>31</v>
      </c>
      <c r="D265" s="58">
        <v>5.04</v>
      </c>
      <c r="E265" s="67">
        <v>2.2999999999999998</v>
      </c>
      <c r="F265" s="81" t="s">
        <v>293</v>
      </c>
    </row>
    <row r="266" spans="1:10" x14ac:dyDescent="0.35">
      <c r="A266" s="77">
        <f t="shared" si="6"/>
        <v>8</v>
      </c>
      <c r="B266" s="58" t="s">
        <v>6</v>
      </c>
      <c r="C266" s="58" t="s">
        <v>290</v>
      </c>
      <c r="D266" s="58">
        <v>5.04</v>
      </c>
      <c r="E266" s="73">
        <v>2.8571428571428572</v>
      </c>
      <c r="F266" s="80" t="s">
        <v>295</v>
      </c>
    </row>
    <row r="267" spans="1:10" x14ac:dyDescent="0.35">
      <c r="A267" s="78">
        <f t="shared" si="6"/>
        <v>9</v>
      </c>
      <c r="B267" s="58" t="s">
        <v>6</v>
      </c>
      <c r="C267" s="58" t="s">
        <v>47</v>
      </c>
      <c r="D267" s="58">
        <v>3.37</v>
      </c>
      <c r="E267" s="71">
        <v>2.5714285714285716</v>
      </c>
      <c r="F267" s="81" t="s">
        <v>295</v>
      </c>
    </row>
    <row r="268" spans="1:10" x14ac:dyDescent="0.35">
      <c r="A268" s="77">
        <f t="shared" si="6"/>
        <v>10</v>
      </c>
      <c r="B268" s="58" t="s">
        <v>6</v>
      </c>
      <c r="C268" s="58" t="s">
        <v>291</v>
      </c>
      <c r="D268" s="58">
        <v>0</v>
      </c>
      <c r="E268" s="73">
        <v>0</v>
      </c>
      <c r="F268" s="80" t="s">
        <v>292</v>
      </c>
    </row>
    <row r="269" spans="1:10" x14ac:dyDescent="0.35">
      <c r="A269" s="78">
        <v>1</v>
      </c>
      <c r="B269" s="58" t="s">
        <v>7</v>
      </c>
      <c r="C269" s="58" t="s">
        <v>33</v>
      </c>
      <c r="D269" s="58">
        <v>9.19</v>
      </c>
      <c r="E269" s="67">
        <v>8.28571428571429</v>
      </c>
      <c r="F269" s="81" t="s">
        <v>670</v>
      </c>
    </row>
    <row r="270" spans="1:10" x14ac:dyDescent="0.35">
      <c r="A270" s="77">
        <f t="shared" si="6"/>
        <v>2</v>
      </c>
      <c r="B270" s="58" t="s">
        <v>7</v>
      </c>
      <c r="C270" s="58" t="s">
        <v>34</v>
      </c>
      <c r="D270" s="58">
        <v>9.01</v>
      </c>
      <c r="E270" s="68">
        <v>7.8571428571428603</v>
      </c>
      <c r="F270" s="80" t="s">
        <v>670</v>
      </c>
    </row>
    <row r="271" spans="1:10" x14ac:dyDescent="0.35">
      <c r="A271" s="78">
        <f t="shared" si="6"/>
        <v>3</v>
      </c>
      <c r="B271" s="58" t="s">
        <v>7</v>
      </c>
      <c r="C271" s="58" t="s">
        <v>35</v>
      </c>
      <c r="D271" s="58">
        <v>9.1199999999999992</v>
      </c>
      <c r="E271" s="67">
        <v>4.6785714285714297</v>
      </c>
      <c r="F271" s="81" t="s">
        <v>670</v>
      </c>
    </row>
    <row r="272" spans="1:10" x14ac:dyDescent="0.35">
      <c r="A272" s="77">
        <f t="shared" si="6"/>
        <v>4</v>
      </c>
      <c r="B272" s="58" t="s">
        <v>7</v>
      </c>
      <c r="C272" s="58" t="s">
        <v>36</v>
      </c>
      <c r="D272" s="58">
        <v>8.44</v>
      </c>
      <c r="E272" s="68">
        <v>4.12</v>
      </c>
      <c r="F272" s="80" t="s">
        <v>293</v>
      </c>
    </row>
    <row r="273" spans="1:6" x14ac:dyDescent="0.35">
      <c r="A273" s="78">
        <f t="shared" si="6"/>
        <v>5</v>
      </c>
      <c r="B273" s="58" t="s">
        <v>7</v>
      </c>
      <c r="C273" s="58" t="s">
        <v>37</v>
      </c>
      <c r="D273" s="58">
        <v>8.93</v>
      </c>
      <c r="E273" s="67">
        <v>2.34</v>
      </c>
      <c r="F273" s="81" t="s">
        <v>293</v>
      </c>
    </row>
    <row r="274" spans="1:6" x14ac:dyDescent="0.35">
      <c r="A274" s="77">
        <f t="shared" si="6"/>
        <v>6</v>
      </c>
      <c r="B274" s="58" t="s">
        <v>7</v>
      </c>
      <c r="C274" s="58" t="s">
        <v>38</v>
      </c>
      <c r="D274" s="58">
        <v>6.48</v>
      </c>
      <c r="E274" s="68">
        <v>2.14</v>
      </c>
      <c r="F274" s="80" t="s">
        <v>293</v>
      </c>
    </row>
    <row r="275" spans="1:6" x14ac:dyDescent="0.35">
      <c r="A275" s="78">
        <f t="shared" si="6"/>
        <v>7</v>
      </c>
      <c r="B275" s="58" t="s">
        <v>7</v>
      </c>
      <c r="C275" s="58" t="s">
        <v>39</v>
      </c>
      <c r="D275" s="58">
        <v>7.6</v>
      </c>
      <c r="E275" s="67">
        <v>4.2</v>
      </c>
      <c r="F275" s="81" t="s">
        <v>293</v>
      </c>
    </row>
    <row r="276" spans="1:6" x14ac:dyDescent="0.35">
      <c r="A276" s="77">
        <f t="shared" si="6"/>
        <v>8</v>
      </c>
      <c r="B276" s="58" t="s">
        <v>7</v>
      </c>
      <c r="C276" s="58" t="s">
        <v>40</v>
      </c>
      <c r="D276" s="58">
        <v>6.26</v>
      </c>
      <c r="E276" s="68">
        <v>2.66</v>
      </c>
      <c r="F276" s="80" t="s">
        <v>293</v>
      </c>
    </row>
    <row r="277" spans="1:6" x14ac:dyDescent="0.35">
      <c r="A277" s="78">
        <f t="shared" si="6"/>
        <v>9</v>
      </c>
      <c r="B277" s="58" t="s">
        <v>7</v>
      </c>
      <c r="C277" s="58" t="s">
        <v>41</v>
      </c>
      <c r="D277" s="58">
        <v>6.62</v>
      </c>
      <c r="E277" s="67">
        <v>4</v>
      </c>
      <c r="F277" s="81" t="s">
        <v>293</v>
      </c>
    </row>
    <row r="278" spans="1:6" x14ac:dyDescent="0.35">
      <c r="A278" s="77">
        <f t="shared" si="6"/>
        <v>10</v>
      </c>
      <c r="B278" s="58" t="s">
        <v>7</v>
      </c>
      <c r="C278" s="58" t="s">
        <v>42</v>
      </c>
      <c r="D278" s="58">
        <v>6.61</v>
      </c>
      <c r="E278" s="68">
        <v>3</v>
      </c>
      <c r="F278" s="80" t="s">
        <v>293</v>
      </c>
    </row>
    <row r="279" spans="1:6" x14ac:dyDescent="0.35">
      <c r="A279" s="78">
        <f t="shared" si="6"/>
        <v>11</v>
      </c>
      <c r="B279" s="58" t="s">
        <v>7</v>
      </c>
      <c r="C279" s="58" t="s">
        <v>143</v>
      </c>
      <c r="D279" s="58">
        <v>3.68</v>
      </c>
      <c r="E279" s="67">
        <v>2.09</v>
      </c>
      <c r="F279" s="81" t="s">
        <v>293</v>
      </c>
    </row>
    <row r="280" spans="1:6" x14ac:dyDescent="0.35">
      <c r="A280" s="77">
        <f t="shared" si="6"/>
        <v>12</v>
      </c>
      <c r="B280" s="58" t="s">
        <v>7</v>
      </c>
      <c r="C280" s="58" t="s">
        <v>144</v>
      </c>
      <c r="D280" s="58">
        <v>4.59</v>
      </c>
      <c r="E280" s="68">
        <v>1.71</v>
      </c>
      <c r="F280" s="80" t="s">
        <v>293</v>
      </c>
    </row>
    <row r="281" spans="1:6" x14ac:dyDescent="0.35">
      <c r="A281" s="78">
        <f t="shared" si="6"/>
        <v>13</v>
      </c>
      <c r="B281" s="58" t="s">
        <v>7</v>
      </c>
      <c r="C281" s="58" t="s">
        <v>145</v>
      </c>
      <c r="D281" s="58">
        <v>5.21</v>
      </c>
      <c r="E281" s="67">
        <v>2</v>
      </c>
      <c r="F281" s="81" t="s">
        <v>293</v>
      </c>
    </row>
    <row r="282" spans="1:6" x14ac:dyDescent="0.35">
      <c r="A282" s="77">
        <f t="shared" si="6"/>
        <v>14</v>
      </c>
      <c r="B282" s="58" t="s">
        <v>7</v>
      </c>
      <c r="C282" s="58" t="s">
        <v>146</v>
      </c>
      <c r="D282" s="58">
        <v>5.23</v>
      </c>
      <c r="E282" s="68">
        <v>3.23</v>
      </c>
      <c r="F282" s="80" t="s">
        <v>293</v>
      </c>
    </row>
    <row r="283" spans="1:6" x14ac:dyDescent="0.35">
      <c r="A283" s="85">
        <f>SUBTOTAL(103,Table18[N°])</f>
        <v>273</v>
      </c>
      <c r="B283" s="86"/>
      <c r="C283" s="86"/>
      <c r="D283" s="86"/>
      <c r="E283" s="87"/>
      <c r="F283" s="87"/>
    </row>
    <row r="319" spans="11:11" x14ac:dyDescent="0.35">
      <c r="K319" s="3"/>
    </row>
    <row r="320" spans="11:11" x14ac:dyDescent="0.35">
      <c r="K320" s="3"/>
    </row>
    <row r="321" spans="11:11" x14ac:dyDescent="0.35">
      <c r="K321" s="3"/>
    </row>
    <row r="322" spans="11:11" x14ac:dyDescent="0.35">
      <c r="K322" s="3"/>
    </row>
    <row r="323" spans="11:11" x14ac:dyDescent="0.35">
      <c r="K323" s="3"/>
    </row>
    <row r="324" spans="11:11" x14ac:dyDescent="0.35">
      <c r="K324" s="3"/>
    </row>
    <row r="325" spans="11:11" x14ac:dyDescent="0.35">
      <c r="K325" s="3"/>
    </row>
    <row r="326" spans="11:11" x14ac:dyDescent="0.35">
      <c r="K326" s="3"/>
    </row>
    <row r="327" spans="11:11" x14ac:dyDescent="0.35">
      <c r="K327" s="3"/>
    </row>
    <row r="328" spans="11:11" x14ac:dyDescent="0.35">
      <c r="K328" s="3"/>
    </row>
    <row r="329" spans="11:11" x14ac:dyDescent="0.35">
      <c r="K329" s="3"/>
    </row>
    <row r="330" spans="11:11" x14ac:dyDescent="0.35">
      <c r="K330" s="3"/>
    </row>
    <row r="331" spans="11:11" x14ac:dyDescent="0.35">
      <c r="K331" s="3"/>
    </row>
    <row r="332" spans="11:11" x14ac:dyDescent="0.35">
      <c r="K332" s="3"/>
    </row>
    <row r="333" spans="11:11" x14ac:dyDescent="0.35">
      <c r="K333" s="3"/>
    </row>
    <row r="334" spans="11:11" x14ac:dyDescent="0.35">
      <c r="K334" s="3"/>
    </row>
    <row r="335" spans="11:11" x14ac:dyDescent="0.35">
      <c r="K335" s="3"/>
    </row>
    <row r="336" spans="11:11" x14ac:dyDescent="0.35">
      <c r="K336" s="3"/>
    </row>
    <row r="337" spans="11:11" x14ac:dyDescent="0.35">
      <c r="K337" s="3"/>
    </row>
    <row r="338" spans="11:11" x14ac:dyDescent="0.35">
      <c r="K338" s="3"/>
    </row>
  </sheetData>
  <sortState xmlns:xlrd2="http://schemas.microsoft.com/office/spreadsheetml/2017/richdata2" ref="C10:G23">
    <sortCondition descending="1" ref="E10:E22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9750-6606-7143-8F35-7AF8A3B170B7}">
  <dimension ref="A1:J25"/>
  <sheetViews>
    <sheetView workbookViewId="0">
      <selection activeCell="O14" sqref="O14"/>
    </sheetView>
  </sheetViews>
  <sheetFormatPr defaultColWidth="10.90625" defaultRowHeight="14.5" x14ac:dyDescent="0.35"/>
  <cols>
    <col min="1" max="1" width="13.81640625" bestFit="1" customWidth="1"/>
    <col min="2" max="2" width="12.1796875" bestFit="1" customWidth="1"/>
    <col min="3" max="3" width="16.81640625" bestFit="1" customWidth="1"/>
    <col min="4" max="4" width="15.6328125" bestFit="1" customWidth="1"/>
    <col min="5" max="5" width="14.6328125" bestFit="1" customWidth="1"/>
    <col min="6" max="6" width="17.6328125" bestFit="1" customWidth="1"/>
    <col min="7" max="7" width="17.36328125" bestFit="1" customWidth="1"/>
    <col min="8" max="8" width="15.1796875" bestFit="1" customWidth="1"/>
    <col min="9" max="9" width="18.1796875" bestFit="1" customWidth="1"/>
    <col min="10" max="10" width="27.81640625" bestFit="1" customWidth="1"/>
  </cols>
  <sheetData>
    <row r="1" spans="1:10" ht="26" x14ac:dyDescent="0.35">
      <c r="E1" s="103" t="s">
        <v>674</v>
      </c>
      <c r="F1" s="103"/>
    </row>
    <row r="3" spans="1:10" ht="15.5" x14ac:dyDescent="0.35">
      <c r="A3" s="54" t="s">
        <v>675</v>
      </c>
      <c r="B3" s="35" t="s">
        <v>676</v>
      </c>
      <c r="C3" s="35" t="s">
        <v>677</v>
      </c>
      <c r="D3" s="35" t="s">
        <v>678</v>
      </c>
      <c r="E3" s="35" t="s">
        <v>679</v>
      </c>
      <c r="F3" s="35" t="s">
        <v>680</v>
      </c>
      <c r="G3" s="35" t="s">
        <v>681</v>
      </c>
      <c r="H3" s="35" t="s">
        <v>682</v>
      </c>
      <c r="I3" s="35" t="s">
        <v>683</v>
      </c>
      <c r="J3" s="55" t="s">
        <v>684</v>
      </c>
    </row>
    <row r="4" spans="1:10" ht="21" x14ac:dyDescent="0.5">
      <c r="A4" s="32" t="s">
        <v>691</v>
      </c>
      <c r="B4" s="22">
        <v>26</v>
      </c>
      <c r="C4" s="23">
        <v>0</v>
      </c>
      <c r="D4" s="23">
        <f>Table13[[#This Row],[Insrites]]-Table13[[#This Row],[Abandonee '#]]</f>
        <v>26</v>
      </c>
      <c r="E4" s="24">
        <v>13</v>
      </c>
      <c r="F4" s="23">
        <f>Table13[[#This Row],[Presentes]]-Table13[[#This Row],[Admises '#]]</f>
        <v>13</v>
      </c>
      <c r="G4" s="25">
        <f>Table13[[#This Row],[Abandonee '#]]/Table13[[#This Row],[Insrites]]</f>
        <v>0</v>
      </c>
      <c r="H4" s="25">
        <f>Table13[[#This Row],[Admises '#]]/Table13[[#This Row],[Presentes]]</f>
        <v>0.5</v>
      </c>
      <c r="I4" s="25">
        <f>Table13[[#This Row],[Non Admise '#]]/Table13[[#This Row],[Presentes]]</f>
        <v>0.5</v>
      </c>
      <c r="J4" s="52"/>
    </row>
    <row r="5" spans="1:10" x14ac:dyDescent="0.35">
      <c r="A5" s="26" t="s">
        <v>688</v>
      </c>
      <c r="B5" s="27">
        <v>50</v>
      </c>
      <c r="C5" s="28">
        <v>2</v>
      </c>
      <c r="D5" s="28">
        <f>Table13[[#This Row],[Insrites]]-Table13[[#This Row],[Abandonee '#]]</f>
        <v>48</v>
      </c>
      <c r="E5" s="29">
        <v>20</v>
      </c>
      <c r="F5" s="28">
        <f>D5-E5</f>
        <v>28</v>
      </c>
      <c r="G5" s="30">
        <f>C5/B5</f>
        <v>0.04</v>
      </c>
      <c r="H5" s="30">
        <f>E5/D5</f>
        <v>0.41666666666666669</v>
      </c>
      <c r="I5" s="30">
        <f>F5/D5</f>
        <v>0.58333333333333337</v>
      </c>
      <c r="J5" s="28"/>
    </row>
    <row r="6" spans="1:10" ht="18" customHeight="1" x14ac:dyDescent="0.35">
      <c r="A6" s="32" t="s">
        <v>687</v>
      </c>
      <c r="B6" s="22">
        <v>39</v>
      </c>
      <c r="C6" s="42">
        <v>1</v>
      </c>
      <c r="D6" s="23">
        <f>Table13[[#This Row],[Insrites]]-Table13[[#This Row],[Abandonee '#]]</f>
        <v>38</v>
      </c>
      <c r="E6" s="24">
        <v>17</v>
      </c>
      <c r="F6" s="23">
        <f>D6-E6</f>
        <v>21</v>
      </c>
      <c r="G6" s="25">
        <f>C6/B6</f>
        <v>2.564102564102564E-2</v>
      </c>
      <c r="H6" s="25">
        <f>E6/D6</f>
        <v>0.44736842105263158</v>
      </c>
      <c r="I6" s="25">
        <f>F6/D6</f>
        <v>0.55263157894736847</v>
      </c>
      <c r="J6" s="53" t="s">
        <v>694</v>
      </c>
    </row>
    <row r="7" spans="1:10" x14ac:dyDescent="0.35">
      <c r="A7" s="26" t="s">
        <v>689</v>
      </c>
      <c r="B7" s="27">
        <v>39</v>
      </c>
      <c r="C7" s="28">
        <v>1</v>
      </c>
      <c r="D7" s="28">
        <f>Table13[[#This Row],[Insrites]]-Table13[[#This Row],[Abandonee '#]]</f>
        <v>38</v>
      </c>
      <c r="E7" s="29">
        <v>15</v>
      </c>
      <c r="F7" s="28">
        <f>D7-E7</f>
        <v>23</v>
      </c>
      <c r="G7" s="30">
        <f>C7/B7</f>
        <v>2.564102564102564E-2</v>
      </c>
      <c r="H7" s="30">
        <f>E7/D7</f>
        <v>0.39473684210526316</v>
      </c>
      <c r="I7" s="30">
        <f>F7/D7</f>
        <v>0.60526315789473684</v>
      </c>
      <c r="J7" s="28"/>
    </row>
    <row r="8" spans="1:10" x14ac:dyDescent="0.35">
      <c r="A8" s="32" t="s">
        <v>692</v>
      </c>
      <c r="B8" s="22">
        <v>33</v>
      </c>
      <c r="C8" s="23">
        <v>0</v>
      </c>
      <c r="D8" s="23">
        <f>Table13[[#This Row],[Insrites]]-Table13[[#This Row],[Abandonee '#]]</f>
        <v>33</v>
      </c>
      <c r="E8" s="24">
        <v>16</v>
      </c>
      <c r="F8" s="28">
        <f>D8-E8</f>
        <v>17</v>
      </c>
      <c r="G8" s="30">
        <f>C8/B8</f>
        <v>0</v>
      </c>
      <c r="H8" s="30">
        <f>E8/D8</f>
        <v>0.48484848484848486</v>
      </c>
      <c r="I8" s="25">
        <f>Table13[[#This Row],[Non Admise '#]]/Table13[[#This Row],[Presentes]]</f>
        <v>0.51515151515151514</v>
      </c>
      <c r="J8" s="23"/>
    </row>
    <row r="9" spans="1:10" x14ac:dyDescent="0.35">
      <c r="A9" s="26" t="s">
        <v>690</v>
      </c>
      <c r="B9" s="27">
        <v>51</v>
      </c>
      <c r="C9" s="28">
        <v>5</v>
      </c>
      <c r="D9" s="28">
        <f>Table13[[#This Row],[Insrites]]-Table13[[#This Row],[Abandonee '#]]</f>
        <v>46</v>
      </c>
      <c r="E9" s="29">
        <v>18</v>
      </c>
      <c r="F9" s="28">
        <f>D9-E9</f>
        <v>28</v>
      </c>
      <c r="G9" s="30">
        <f>C9/B9</f>
        <v>9.8039215686274508E-2</v>
      </c>
      <c r="H9" s="30">
        <f>E9/D9</f>
        <v>0.39130434782608697</v>
      </c>
      <c r="I9" s="30">
        <f>Table13[[#This Row],[Non Admise '#]]/Table13[[#This Row],[Presentes]]</f>
        <v>0.60869565217391308</v>
      </c>
      <c r="J9" s="28"/>
    </row>
    <row r="10" spans="1:10" x14ac:dyDescent="0.35">
      <c r="A10" s="32" t="s">
        <v>6</v>
      </c>
      <c r="B10" s="22">
        <v>10</v>
      </c>
      <c r="C10" s="23">
        <v>0</v>
      </c>
      <c r="D10" s="23">
        <f>Table13[[#This Row],[Insrites]]-Table13[[#This Row],[Abandonee '#]]</f>
        <v>10</v>
      </c>
      <c r="E10" s="24">
        <v>6</v>
      </c>
      <c r="F10" s="23">
        <f>Table13[[#This Row],[Presentes]]-Table13[[#This Row],[Admises '#]]</f>
        <v>4</v>
      </c>
      <c r="G10" s="25">
        <f>Table13[[#This Row],[Abandonee '#]]/Table13[[#This Row],[Insrites]]</f>
        <v>0</v>
      </c>
      <c r="H10" s="25">
        <f>Table13[[#This Row],[Admises '#]]/Table13[[#This Row],[Presentes]]</f>
        <v>0.6</v>
      </c>
      <c r="I10" s="25">
        <f>Table13[[#This Row],[Non Admise '#]]/Table13[[#This Row],[Presentes]]</f>
        <v>0.4</v>
      </c>
      <c r="J10" s="23"/>
    </row>
    <row r="11" spans="1:10" x14ac:dyDescent="0.35">
      <c r="A11" s="26" t="s">
        <v>7</v>
      </c>
      <c r="B11" s="27">
        <v>32</v>
      </c>
      <c r="C11" s="28">
        <v>3</v>
      </c>
      <c r="D11" s="28">
        <f>Table13[[#This Row],[Insrites]]-Table13[[#This Row],[Abandonee '#]]</f>
        <v>29</v>
      </c>
      <c r="E11" s="29">
        <v>11</v>
      </c>
      <c r="F11" s="28">
        <f>Table13[[#This Row],[Presentes]]-Table13[[#This Row],[Admises '#]]</f>
        <v>18</v>
      </c>
      <c r="G11" s="30">
        <f>Table13[[#This Row],[Abandonee '#]]/Table13[[#This Row],[Insrites]]</f>
        <v>9.375E-2</v>
      </c>
      <c r="H11" s="30">
        <f>Table13[[#This Row],[Admises '#]]/Table13[[#This Row],[Presentes]]</f>
        <v>0.37931034482758619</v>
      </c>
      <c r="I11" s="30">
        <f>Table13[[#This Row],[Non Admise '#]]/Table13[[#This Row],[Presentes]]</f>
        <v>0.62068965517241381</v>
      </c>
      <c r="J11" s="28"/>
    </row>
    <row r="12" spans="1:10" x14ac:dyDescent="0.35">
      <c r="A12" s="98" t="s">
        <v>693</v>
      </c>
      <c r="B12" s="99">
        <f>SUBTOTAL(109,Table13[Insrites])</f>
        <v>280</v>
      </c>
      <c r="C12" s="100">
        <f>SUBTOTAL(109,Table13[Abandonee '#])</f>
        <v>12</v>
      </c>
      <c r="D12" s="100">
        <f>SUBTOTAL(109,Table13[Presentes])</f>
        <v>268</v>
      </c>
      <c r="E12" s="101">
        <f>SUBTOTAL(109,Table13[Admises '#])</f>
        <v>116</v>
      </c>
      <c r="F12" s="100">
        <f>SUBTOTAL(109,Table13[Non Admise '#])</f>
        <v>152</v>
      </c>
      <c r="G12" s="102">
        <f>Table13[[#Totals],[Abandonee '#]]/Table13[[#Totals],[Insrites]]</f>
        <v>4.2857142857142858E-2</v>
      </c>
      <c r="H12" s="102">
        <f>Table13[[#Totals],[Admises '#]]/Table13[[#Totals],[Presentes]]</f>
        <v>0.43283582089552236</v>
      </c>
      <c r="I12" s="102">
        <f>Table13[[#Totals],[Non Admise '#]]/Table13[[#Totals],[Presentes]]</f>
        <v>0.56716417910447758</v>
      </c>
      <c r="J12" s="100"/>
    </row>
    <row r="13" spans="1:10" x14ac:dyDescent="0.35">
      <c r="A13" s="26"/>
      <c r="B13" s="27"/>
      <c r="C13" s="28"/>
      <c r="D13" s="28"/>
      <c r="E13" s="29"/>
      <c r="F13" s="28"/>
      <c r="G13" s="30"/>
      <c r="H13" s="30"/>
      <c r="I13" s="30"/>
      <c r="J13" s="31"/>
    </row>
    <row r="14" spans="1:10" ht="26" x14ac:dyDescent="0.35">
      <c r="A14" s="9"/>
      <c r="B14" s="9"/>
      <c r="C14" s="9"/>
      <c r="D14" s="9"/>
      <c r="E14" s="103" t="s">
        <v>685</v>
      </c>
      <c r="F14" s="103"/>
      <c r="G14" s="9"/>
      <c r="H14" s="9"/>
      <c r="I14" s="9"/>
      <c r="J14" s="9"/>
    </row>
    <row r="15" spans="1:10" ht="15.5" x14ac:dyDescent="0.35">
      <c r="A15" s="54" t="s">
        <v>675</v>
      </c>
      <c r="B15" s="35" t="s">
        <v>676</v>
      </c>
      <c r="C15" s="35" t="s">
        <v>677</v>
      </c>
      <c r="D15" s="35" t="s">
        <v>686</v>
      </c>
      <c r="E15" s="35" t="s">
        <v>679</v>
      </c>
      <c r="F15" s="35" t="s">
        <v>680</v>
      </c>
      <c r="G15" s="97" t="s">
        <v>681</v>
      </c>
      <c r="H15" s="35" t="s">
        <v>682</v>
      </c>
      <c r="I15" s="35" t="s">
        <v>683</v>
      </c>
      <c r="J15" s="55" t="s">
        <v>684</v>
      </c>
    </row>
    <row r="16" spans="1:10" ht="21" x14ac:dyDescent="0.5">
      <c r="A16" s="32" t="s">
        <v>14</v>
      </c>
      <c r="B16" s="22">
        <v>14</v>
      </c>
      <c r="C16" s="23">
        <v>0</v>
      </c>
      <c r="D16" s="23">
        <f>B16-C16</f>
        <v>14</v>
      </c>
      <c r="E16" s="23">
        <v>3</v>
      </c>
      <c r="F16" s="23">
        <f>D16-E16</f>
        <v>11</v>
      </c>
      <c r="G16" s="33">
        <f>C16/B16</f>
        <v>0</v>
      </c>
      <c r="H16" s="33">
        <f>E16/D16</f>
        <v>0.21428571428571427</v>
      </c>
      <c r="I16" s="33">
        <f>F16/D16</f>
        <v>0.7857142857142857</v>
      </c>
      <c r="J16" s="52"/>
    </row>
    <row r="17" spans="1:10" x14ac:dyDescent="0.35">
      <c r="A17" s="26" t="s">
        <v>5</v>
      </c>
      <c r="B17" s="27">
        <v>15</v>
      </c>
      <c r="C17" s="28">
        <v>0</v>
      </c>
      <c r="D17" s="28">
        <f>Table19[[#This Row],[Insrites]]-Table19[[#This Row],[Abandonee '#]]</f>
        <v>15</v>
      </c>
      <c r="E17" s="28">
        <v>3</v>
      </c>
      <c r="F17" s="28">
        <f>Table19[[#This Row],[Presentes '#]]-Table19[[#This Row],[Admises '#]]</f>
        <v>12</v>
      </c>
      <c r="G17" s="34">
        <f>Table19[[#This Row],[Abandonee '#]]/Table19[[#This Row],[Insrites]]</f>
        <v>0</v>
      </c>
      <c r="H17" s="34">
        <f>Table19[[#This Row],[Admises '#]]/Table19[[#This Row],[Presentes '#]]</f>
        <v>0.2</v>
      </c>
      <c r="I17" s="34">
        <f>Table19[[#This Row],[Non Admise '#]]/Table19[[#This Row],[Presentes '#]]</f>
        <v>0.8</v>
      </c>
      <c r="J17" s="28"/>
    </row>
    <row r="18" spans="1:10" x14ac:dyDescent="0.35">
      <c r="A18" s="32" t="s">
        <v>16</v>
      </c>
      <c r="B18" s="22">
        <v>57</v>
      </c>
      <c r="C18" s="23">
        <v>3</v>
      </c>
      <c r="D18" s="23">
        <f>Table19[[#This Row],[Insrites]]-Table19[[#This Row],[Abandonee '#]]</f>
        <v>54</v>
      </c>
      <c r="E18" s="23">
        <v>5</v>
      </c>
      <c r="F18" s="23">
        <f>Table19[[#This Row],[Presentes '#]]-Table19[[#This Row],[Admises '#]]</f>
        <v>49</v>
      </c>
      <c r="G18" s="33">
        <f>Table19[[#This Row],[Abandonee '#]]/Table19[[#This Row],[Insrites]]</f>
        <v>5.2631578947368418E-2</v>
      </c>
      <c r="H18" s="33">
        <f>Table19[[#This Row],[Admises '#]]/Table19[[#This Row],[Presentes '#]]</f>
        <v>9.2592592592592587E-2</v>
      </c>
      <c r="I18" s="33">
        <f>Table19[[#This Row],[Non Admise '#]]/Table19[[#This Row],[Presentes '#]]</f>
        <v>0.90740740740740744</v>
      </c>
      <c r="J18" s="23"/>
    </row>
    <row r="19" spans="1:10" x14ac:dyDescent="0.35">
      <c r="A19" s="88" t="s">
        <v>245</v>
      </c>
      <c r="B19" s="89">
        <v>41</v>
      </c>
      <c r="C19" s="11">
        <v>2</v>
      </c>
      <c r="D19" s="11">
        <f>Table19[[#This Row],[Insrites]]-Table19[[#This Row],[Abandonee '#]]</f>
        <v>39</v>
      </c>
      <c r="E19" s="90">
        <v>6</v>
      </c>
      <c r="F19" s="11">
        <f>Table19[[#This Row],[Presentes '#]]-Table19[[#This Row],[Admises '#]]</f>
        <v>33</v>
      </c>
      <c r="G19" s="91">
        <f>Table19[[#This Row],[Abandonee '#]]/Table19[[#This Row],[Insrites]]</f>
        <v>4.878048780487805E-2</v>
      </c>
      <c r="H19" s="91">
        <f>Table19[[#This Row],[Admises '#]]/Table19[[#This Row],[Presentes '#]]</f>
        <v>0.15384615384615385</v>
      </c>
      <c r="I19" s="91">
        <f>Table19[[#This Row],[Non Admise '#]]/Table19[[#This Row],[Presentes '#]]</f>
        <v>0.84615384615384615</v>
      </c>
      <c r="J19" s="11"/>
    </row>
    <row r="20" spans="1:10" x14ac:dyDescent="0.35">
      <c r="A20" s="92" t="s">
        <v>246</v>
      </c>
      <c r="B20" s="93">
        <v>41</v>
      </c>
      <c r="C20" s="10">
        <v>6</v>
      </c>
      <c r="D20" s="10">
        <f>Table19[[#This Row],[Insrites]]-Table19[[#This Row],[Abandonee '#]]</f>
        <v>35</v>
      </c>
      <c r="E20" s="94">
        <v>5</v>
      </c>
      <c r="F20" s="10">
        <f>Table19[[#This Row],[Presentes '#]]-Table19[[#This Row],[Admises '#]]</f>
        <v>30</v>
      </c>
      <c r="G20" s="95">
        <f>Table19[[#This Row],[Abandonee '#]]/Table19[[#This Row],[Insrites]]</f>
        <v>0.14634146341463414</v>
      </c>
      <c r="H20" s="95">
        <f>Table19[[#This Row],[Admises '#]]/Table19[[#This Row],[Presentes '#]]</f>
        <v>0.14285714285714285</v>
      </c>
      <c r="I20" s="95">
        <f>Table19[[#This Row],[Non Admise '#]]/Table19[[#This Row],[Presentes '#]]</f>
        <v>0.8571428571428571</v>
      </c>
      <c r="J20" s="96"/>
    </row>
    <row r="21" spans="1:10" x14ac:dyDescent="0.35">
      <c r="A21" s="88" t="s">
        <v>267</v>
      </c>
      <c r="B21" s="89">
        <v>46</v>
      </c>
      <c r="C21" s="11">
        <v>2</v>
      </c>
      <c r="D21" s="11">
        <f>Table19[[#This Row],[Insrites]]-Table19[[#This Row],[Abandonee '#]]</f>
        <v>44</v>
      </c>
      <c r="E21" s="90">
        <v>9</v>
      </c>
      <c r="F21" s="11">
        <f>Table19[[#This Row],[Presentes '#]]-Table19[[#This Row],[Admises '#]]</f>
        <v>35</v>
      </c>
      <c r="G21" s="91">
        <f>Table19[[#This Row],[Abandonee '#]]/Table19[[#This Row],[Insrites]]</f>
        <v>4.3478260869565216E-2</v>
      </c>
      <c r="H21" s="91">
        <f>Table19[[#This Row],[Admises '#]]/Table19[[#This Row],[Presentes '#]]</f>
        <v>0.20454545454545456</v>
      </c>
      <c r="I21" s="91">
        <f>Table19[[#This Row],[Non Admise '#]]/Table19[[#This Row],[Presentes '#]]</f>
        <v>0.79545454545454541</v>
      </c>
      <c r="J21" s="11"/>
    </row>
    <row r="22" spans="1:10" x14ac:dyDescent="0.35">
      <c r="A22" s="92" t="s">
        <v>17</v>
      </c>
      <c r="B22" s="93">
        <v>35</v>
      </c>
      <c r="C22" s="10">
        <v>1</v>
      </c>
      <c r="D22" s="10">
        <f>Table19[[#This Row],[Insrites]]-Table19[[#This Row],[Abandonee '#]]</f>
        <v>34</v>
      </c>
      <c r="E22" s="94">
        <v>6</v>
      </c>
      <c r="F22" s="10">
        <f>Table19[[#This Row],[Presentes '#]]-Table19[[#This Row],[Admises '#]]</f>
        <v>28</v>
      </c>
      <c r="G22" s="95">
        <f>Table19[[#This Row],[Abandonee '#]]/Table19[[#This Row],[Insrites]]</f>
        <v>2.8571428571428571E-2</v>
      </c>
      <c r="H22" s="95">
        <f>Table19[[#This Row],[Admises '#]]/Table19[[#This Row],[Presentes '#]]</f>
        <v>0.17647058823529413</v>
      </c>
      <c r="I22" s="95">
        <f>Table19[[#This Row],[Non Admise '#]]/Table19[[#This Row],[Presentes '#]]</f>
        <v>0.82352941176470584</v>
      </c>
      <c r="J22" s="10"/>
    </row>
    <row r="23" spans="1:10" x14ac:dyDescent="0.35">
      <c r="A23" s="88" t="s">
        <v>6</v>
      </c>
      <c r="B23" s="89">
        <v>10</v>
      </c>
      <c r="C23" s="11">
        <v>1</v>
      </c>
      <c r="D23" s="11">
        <f>Table19[[#This Row],[Insrites]]-Table19[[#This Row],[Abandonee '#]]</f>
        <v>9</v>
      </c>
      <c r="E23" s="90">
        <v>2</v>
      </c>
      <c r="F23" s="11">
        <f>Table19[[#This Row],[Presentes '#]]-Table19[[#This Row],[Admises '#]]</f>
        <v>7</v>
      </c>
      <c r="G23" s="91">
        <f>Table19[[#This Row],[Abandonee '#]]/Table19[[#This Row],[Insrites]]</f>
        <v>0.1</v>
      </c>
      <c r="H23" s="91">
        <f>Table19[[#This Row],[Admises '#]]/Table19[[#This Row],[Presentes '#]]</f>
        <v>0.22222222222222221</v>
      </c>
      <c r="I23" s="91">
        <f>Table19[[#This Row],[Non Admise '#]]/Table19[[#This Row],[Presentes '#]]</f>
        <v>0.77777777777777779</v>
      </c>
      <c r="J23" s="11"/>
    </row>
    <row r="24" spans="1:10" x14ac:dyDescent="0.35">
      <c r="A24" s="92" t="s">
        <v>7</v>
      </c>
      <c r="B24" s="93">
        <v>14</v>
      </c>
      <c r="C24" s="10">
        <v>0</v>
      </c>
      <c r="D24" s="10">
        <f>Table19[[#This Row],[Insrites]]-Table19[[#This Row],[Abandonee '#]]</f>
        <v>14</v>
      </c>
      <c r="E24" s="94">
        <v>3</v>
      </c>
      <c r="F24" s="10">
        <f>Table19[[#This Row],[Presentes '#]]-Table19[[#This Row],[Admises '#]]</f>
        <v>11</v>
      </c>
      <c r="G24" s="95">
        <f>Table19[[#This Row],[Abandonee '#]]/Table19[[#This Row],[Insrites]]</f>
        <v>0</v>
      </c>
      <c r="H24" s="95">
        <f>Table19[[#This Row],[Admises '#]]/Table19[[#This Row],[Presentes '#]]</f>
        <v>0.21428571428571427</v>
      </c>
      <c r="I24" s="95">
        <f>Table19[[#This Row],[Non Admise '#]]/Table19[[#This Row],[Presentes '#]]</f>
        <v>0.7857142857142857</v>
      </c>
      <c r="J24" s="10"/>
    </row>
    <row r="25" spans="1:10" x14ac:dyDescent="0.35">
      <c r="A25" s="98" t="s">
        <v>693</v>
      </c>
      <c r="B25" s="99">
        <f>SUBTOTAL(109,Table19[Insrites])</f>
        <v>273</v>
      </c>
      <c r="C25" s="100">
        <f>SUBTOTAL(109,Table19[Abandonee '#])</f>
        <v>15</v>
      </c>
      <c r="D25" s="100">
        <f>SUBTOTAL(109,Table19[Presentes '#])</f>
        <v>258</v>
      </c>
      <c r="E25" s="101">
        <f>SUBTOTAL(109,Table19[Admises '#])</f>
        <v>42</v>
      </c>
      <c r="F25" s="100">
        <f>SUBTOTAL(109,Table19[Non Admise '#])</f>
        <v>216</v>
      </c>
      <c r="G25" s="102">
        <f>Table19[[#Totals],[Abandonee '#]]/Table19[[#Totals],[Insrites]]</f>
        <v>5.4945054945054944E-2</v>
      </c>
      <c r="H25" s="102">
        <f>Table19[[#Totals],[Admises '#]]/Table19[[#Totals],[Presentes '#]]</f>
        <v>0.16279069767441862</v>
      </c>
      <c r="I25" s="102">
        <f>Table19[[#Totals],[Non Admise '#]]/Table19[[#Totals],[Presentes '#]]</f>
        <v>0.83720930232558144</v>
      </c>
      <c r="J25" s="100"/>
    </row>
  </sheetData>
  <mergeCells count="2">
    <mergeCell ref="E1:F1"/>
    <mergeCell ref="E14:F14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CM1</vt:lpstr>
      <vt:lpstr>CM2</vt:lpstr>
      <vt:lpstr>CM1 &amp; CM2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ICEP-TIBIRI 1</dc:creator>
  <cp:lastModifiedBy>Meghan Gauthier</cp:lastModifiedBy>
  <dcterms:created xsi:type="dcterms:W3CDTF">2032-05-06T22:09:11Z</dcterms:created>
  <dcterms:modified xsi:type="dcterms:W3CDTF">2024-11-05T20:41:14Z</dcterms:modified>
</cp:coreProperties>
</file>