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orking Core Sheet" sheetId="1" state="visible" r:id="rId1"/>
    <sheet xmlns:r="http://schemas.openxmlformats.org/officeDocument/2006/relationships" name="Metric Definitions" sheetId="2" state="visible" r:id="rId2"/>
    <sheet xmlns:r="http://schemas.openxmlformats.org/officeDocument/2006/relationships" name="Sheet11" sheetId="3" state="visible" r:id="rId3"/>
    <sheet xmlns:r="http://schemas.openxmlformats.org/officeDocument/2006/relationships" name="test" sheetId="4" state="visible" r:id="rId4"/>
    <sheet xmlns:r="http://schemas.openxmlformats.org/officeDocument/2006/relationships" name="table for report" sheetId="5" state="visible" r:id="rId5"/>
    <sheet xmlns:r="http://schemas.openxmlformats.org/officeDocument/2006/relationships" name="raw data" sheetId="6" state="visible" r:id="rId6"/>
    <sheet xmlns:r="http://schemas.openxmlformats.org/officeDocument/2006/relationships" name="Core Sheet" sheetId="7" state="visible" r:id="rId7"/>
    <sheet xmlns:r="http://schemas.openxmlformats.org/officeDocument/2006/relationships" name="Sheet6" sheetId="8" state="visible" r:id="rId8"/>
    <sheet xmlns:r="http://schemas.openxmlformats.org/officeDocument/2006/relationships" name="Chevauchement HMHM C5" sheetId="9" state="visible" r:id="rId9"/>
    <sheet xmlns:r="http://schemas.openxmlformats.org/officeDocument/2006/relationships" name="Filles pour C8" sheetId="10" state="visible" r:id="rId10"/>
  </sheets>
  <definedNames/>
  <calcPr calcId="124519" fullCalcOnLoad="1"/>
</workbook>
</file>

<file path=xl/styles.xml><?xml version="1.0" encoding="utf-8"?>
<styleSheet xmlns="http://schemas.openxmlformats.org/spreadsheetml/2006/main">
  <numFmts count="0"/>
  <fonts count="32">
    <font>
      <name val="Arial"/>
      <color rgb="FF000000"/>
      <sz val="10"/>
      <scheme val="minor"/>
    </font>
    <font>
      <name val="Arial"/>
      <b val="1"/>
      <color theme="1"/>
      <scheme val="minor"/>
    </font>
    <font>
      <name val="Calibri"/>
      <color theme="1"/>
      <sz val="11"/>
    </font>
    <font>
      <name val="Calibri"/>
      <b val="1"/>
      <color theme="1"/>
      <sz val="11"/>
    </font>
    <font>
      <name val="Arial"/>
      <i val="1"/>
      <color theme="1"/>
      <scheme val="minor"/>
    </font>
    <font>
      <name val="Arial"/>
      <color theme="1"/>
      <scheme val="minor"/>
    </font>
    <font>
      <name val="Arial"/>
      <b val="1"/>
      <i val="1"/>
      <color rgb="FFD9D9D9"/>
      <sz val="7"/>
      <scheme val="minor"/>
    </font>
    <font>
      <name val="Arial"/>
      <b val="1"/>
      <i val="1"/>
      <color rgb="FF000000"/>
      <sz val="9"/>
      <scheme val="minor"/>
    </font>
    <font>
      <name val="Arial"/>
      <b val="1"/>
      <i val="1"/>
      <color rgb="FF000000"/>
      <sz val="12"/>
      <scheme val="minor"/>
    </font>
    <font>
      <name val="Arial"/>
      <i val="1"/>
      <color rgb="FFD9D9D9"/>
      <sz val="7"/>
      <scheme val="minor"/>
    </font>
    <font>
      <name val="Arial"/>
      <i val="1"/>
      <color rgb="FF000000"/>
      <sz val="14"/>
      <scheme val="minor"/>
    </font>
    <font>
      <name val="Arial"/>
      <color rgb="FFFFFFFF"/>
      <scheme val="minor"/>
    </font>
    <font>
      <name val="Aptos Narrow"/>
      <color theme="1"/>
      <sz val="11"/>
    </font>
    <font>
      <name val="Arial"/>
      <color theme="1"/>
      <u val="single"/>
      <scheme val="minor"/>
    </font>
    <font/>
    <font>
      <name val="Arial"/>
      <color rgb="FF000000"/>
      <scheme val="minor"/>
    </font>
    <font>
      <name val="&quot;Times New Roman&quot;"/>
      <color rgb="FF000000"/>
      <sz val="11"/>
    </font>
    <font>
      <color rgb="FF0000FF"/>
      <u val="single"/>
    </font>
    <font>
      <name val="Calibri"/>
      <color rgb="FF1F1F1F"/>
      <sz val="11"/>
    </font>
    <font>
      <name val="Calibri"/>
      <strike val="1"/>
      <color theme="1"/>
      <sz val="11"/>
    </font>
    <font>
      <name val="Calibri"/>
      <color rgb="FF202124"/>
      <sz val="11"/>
    </font>
    <font>
      <name val="Arial"/>
      <color theme="1"/>
    </font>
    <font>
      <name val="Arial"/>
      <i val="1"/>
      <color theme="1"/>
    </font>
    <font>
      <name val="Arial"/>
      <color rgb="FFFF00FF"/>
      <scheme val="minor"/>
    </font>
    <font>
      <name val="&quot;Google Sans&quot;"/>
      <color rgb="FF1F1F1F"/>
      <sz val="9"/>
    </font>
    <font>
      <name val="Arial"/>
      <b val="1"/>
      <color rgb="FF1F1F1F"/>
      <sz val="10"/>
    </font>
    <font>
      <name val="Arial"/>
      <b val="1"/>
      <color theme="1"/>
    </font>
    <font>
      <name val="&quot;Times New Roman&quot;"/>
      <color theme="1"/>
      <sz val="12"/>
    </font>
    <font>
      <name val="Arial"/>
      <color theme="1"/>
      <u val="single"/>
      <scheme val="minor"/>
    </font>
    <font>
      <name val="Calibri"/>
      <color rgb="FF000000"/>
      <sz val="12"/>
    </font>
    <font>
      <name val="Calibri"/>
      <color rgb="FF000000"/>
      <sz val="11"/>
    </font>
    <font>
      <name val="Arial"/>
      <strike val="1"/>
      <color theme="1"/>
    </font>
  </fonts>
  <fills count="23">
    <fill>
      <patternFill/>
    </fill>
    <fill>
      <patternFill patternType="lightGray"/>
    </fill>
    <fill>
      <patternFill patternType="solid">
        <fgColor rgb="FFB6D7A8"/>
        <bgColor rgb="FFB6D7A8"/>
      </patternFill>
    </fill>
    <fill>
      <patternFill patternType="solid">
        <fgColor rgb="FFEA9999"/>
        <bgColor rgb="FFEA9999"/>
      </patternFill>
    </fill>
    <fill>
      <patternFill patternType="solid">
        <fgColor rgb="FFFF0000"/>
        <bgColor rgb="FFFF0000"/>
      </patternFill>
    </fill>
    <fill>
      <patternFill patternType="solid">
        <fgColor rgb="FFEFEFEF"/>
        <bgColor rgb="FFEFEFEF"/>
      </patternFill>
    </fill>
    <fill>
      <patternFill patternType="solid">
        <fgColor rgb="FFFFFF00"/>
        <bgColor rgb="FFFFFF00"/>
      </patternFill>
    </fill>
    <fill>
      <patternFill patternType="solid">
        <fgColor rgb="FF000000"/>
        <bgColor rgb="FF000000"/>
      </patternFill>
    </fill>
    <fill>
      <patternFill patternType="solid">
        <fgColor rgb="FFFFFFFF"/>
        <bgColor rgb="FFFFFFFF"/>
      </patternFill>
    </fill>
    <fill>
      <patternFill patternType="solid">
        <fgColor rgb="FFD5A6BD"/>
        <bgColor rgb="FFD5A6BD"/>
      </patternFill>
    </fill>
    <fill>
      <patternFill patternType="solid">
        <fgColor rgb="FFF3F3F3"/>
        <bgColor rgb="FFF3F3F3"/>
      </patternFill>
    </fill>
    <fill>
      <patternFill patternType="solid">
        <fgColor rgb="FFCFE2F3"/>
        <bgColor rgb="FFCFE2F3"/>
      </patternFill>
    </fill>
    <fill>
      <patternFill patternType="solid">
        <fgColor rgb="FFBDBDBD"/>
        <bgColor rgb="FFBDBDBD"/>
      </patternFill>
    </fill>
    <fill>
      <patternFill patternType="solid">
        <fgColor rgb="FFCCCCCC"/>
        <bgColor rgb="FFCCCCCC"/>
      </patternFill>
    </fill>
    <fill>
      <patternFill patternType="solid">
        <fgColor theme="0"/>
        <bgColor theme="0"/>
      </patternFill>
    </fill>
    <fill>
      <patternFill patternType="solid">
        <fgColor rgb="FFD9EAD3"/>
        <bgColor rgb="FFD9EAD3"/>
      </patternFill>
    </fill>
    <fill>
      <patternFill patternType="solid">
        <fgColor rgb="FFD9D9D9"/>
        <bgColor rgb="FFD9D9D9"/>
      </patternFill>
    </fill>
    <fill>
      <patternFill patternType="solid">
        <fgColor rgb="FFEEEEEE"/>
        <bgColor rgb="FFEEEEEE"/>
      </patternFill>
    </fill>
    <fill>
      <patternFill patternType="solid">
        <fgColor rgb="FFC9DAF8"/>
        <bgColor rgb="FFC9DAF8"/>
      </patternFill>
    </fill>
    <fill>
      <patternFill patternType="solid">
        <fgColor rgb="FFD0E0E3"/>
        <bgColor rgb="FFD0E0E3"/>
      </patternFill>
    </fill>
    <fill>
      <patternFill patternType="solid">
        <fgColor rgb="FFFF9900"/>
        <bgColor rgb="FFFF9900"/>
      </patternFill>
    </fill>
    <fill>
      <patternFill patternType="solid">
        <fgColor rgb="FF9FC5E8"/>
        <bgColor rgb="FF9FC5E8"/>
      </patternFill>
    </fill>
    <fill>
      <patternFill patternType="solid">
        <fgColor rgb="00FFFF00"/>
      </patternFill>
    </fill>
  </fills>
  <borders count="30">
    <border/>
    <border>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bottom style="thick">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ttom style="thick">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ck">
        <color rgb="FF000000"/>
      </top>
      <bottom style="thin">
        <color rgb="FF000000"/>
      </bottom>
    </border>
    <border>
      <left style="thin">
        <color rgb="FF000000"/>
      </left>
      <top style="thick">
        <color rgb="FF000000"/>
      </top>
      <bottom style="thin">
        <color rgb="FF000000"/>
      </bottom>
    </border>
    <border>
      <right style="thin">
        <color rgb="FF000000"/>
      </right>
      <top style="thin">
        <color rgb="FF000000"/>
      </top>
      <bottom style="thick">
        <color rgb="FF000000"/>
      </bottom>
    </border>
    <border>
      <right style="thin">
        <color rgb="FF000000"/>
      </right>
      <bottom style="thin">
        <color rgb="FF000000"/>
      </bottom>
    </border>
    <border>
      <left style="thin">
        <color rgb="FF000000"/>
      </left>
      <right style="thin">
        <color rgb="FF000000"/>
      </right>
      <top style="thick">
        <color rgb="FF000000"/>
      </top>
      <bottom style="thick">
        <color rgb="FF000000"/>
      </bottom>
    </border>
    <border>
      <left style="medium">
        <color rgb="FF000000"/>
      </left>
      <right style="medium">
        <color rgb="FF000000"/>
      </right>
      <top style="medium">
        <color rgb="FF000000"/>
      </top>
      <bottom style="thick">
        <color rgb="FF000000"/>
      </bottom>
    </border>
    <border>
      <left style="medium">
        <color rgb="FF000000"/>
      </left>
      <top style="medium">
        <color rgb="FF000000"/>
      </top>
      <bottom style="thick">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bottom style="medium">
        <color rgb="FF000000"/>
      </bottom>
    </border>
    <border>
      <right style="medium">
        <color rgb="FF000000"/>
      </right>
      <top style="medium">
        <color rgb="FF000000"/>
      </top>
      <bottom style="thick">
        <color rgb="FF000000"/>
      </bottom>
    </border>
    <border>
      <left style="medium">
        <color rgb="FF000000"/>
      </left>
      <right style="medium">
        <color rgb="FF000000"/>
      </right>
      <bottom style="thick">
        <color rgb="FF000000"/>
      </bottom>
    </border>
    <border>
      <left style="thin">
        <color rgb="FF000000"/>
      </left>
    </border>
    <border>
      <left style="medium">
        <color rgb="FF000000"/>
      </left>
    </border>
    <border>
      <left style="medium">
        <color rgb="FF000000"/>
      </left>
      <right style="medium">
        <color rgb="FF000000"/>
      </right>
    </border>
  </borders>
  <cellStyleXfs count="1">
    <xf numFmtId="0" fontId="0" fillId="0" borderId="0"/>
  </cellStyleXfs>
  <cellXfs count="739">
    <xf numFmtId="0" fontId="0" fillId="0" borderId="0" applyAlignment="1" pivotButton="0" quotePrefix="0" xfId="0">
      <alignment vertical="bottom"/>
    </xf>
    <xf numFmtId="0" fontId="1" fillId="2" borderId="0" applyAlignment="1" pivotButton="0" quotePrefix="0" xfId="0">
      <alignment wrapText="1"/>
    </xf>
    <xf numFmtId="0" fontId="1" fillId="3" borderId="0" applyAlignment="1" pivotButton="0" quotePrefix="0" xfId="0">
      <alignment wrapText="1"/>
    </xf>
    <xf numFmtId="0" fontId="1" fillId="4" borderId="0" applyAlignment="1" pivotButton="0" quotePrefix="0" xfId="0">
      <alignment wrapText="1"/>
    </xf>
    <xf numFmtId="0" fontId="1" fillId="2" borderId="0" pivotButton="0" quotePrefix="0" xfId="0"/>
    <xf numFmtId="0" fontId="2" fillId="5" borderId="0" applyAlignment="1" pivotButton="0" quotePrefix="0" xfId="0">
      <alignment wrapText="1"/>
    </xf>
    <xf numFmtId="0" fontId="3" fillId="5" borderId="0" applyAlignment="1" pivotButton="0" quotePrefix="0" xfId="0">
      <alignment horizontal="center" wrapText="1"/>
    </xf>
    <xf numFmtId="0" fontId="2" fillId="5" borderId="0" pivotButton="0" quotePrefix="0" xfId="0"/>
    <xf numFmtId="0" fontId="4" fillId="5" borderId="0" applyAlignment="1" pivotButton="0" quotePrefix="0" xfId="0">
      <alignment horizontal="right" wrapText="1"/>
    </xf>
    <xf numFmtId="0" fontId="2" fillId="5" borderId="0" applyAlignment="1" pivotButton="0" quotePrefix="0" xfId="0">
      <alignment vertical="bottom"/>
    </xf>
    <xf numFmtId="0" fontId="5" fillId="5" borderId="0" applyAlignment="1" pivotButton="0" quotePrefix="0" xfId="0">
      <alignment horizontal="right" wrapText="1"/>
    </xf>
    <xf numFmtId="0" fontId="2" fillId="5" borderId="0" applyAlignment="1" pivotButton="0" quotePrefix="0" xfId="0">
      <alignment horizontal="right"/>
    </xf>
    <xf numFmtId="0" fontId="5" fillId="4" borderId="0" pivotButton="0" quotePrefix="0" xfId="0"/>
    <xf numFmtId="9" fontId="5" fillId="5" borderId="0" pivotButton="0" quotePrefix="0" xfId="0"/>
    <xf numFmtId="2" fontId="5" fillId="5" borderId="0" pivotButton="0" quotePrefix="0" xfId="0"/>
    <xf numFmtId="0" fontId="6" fillId="0" borderId="1" applyAlignment="1" pivotButton="0" quotePrefix="0" xfId="0">
      <alignment wrapText="1"/>
    </xf>
    <xf numFmtId="0" fontId="7" fillId="6" borderId="1" applyAlignment="1" pivotButton="0" quotePrefix="0" xfId="0">
      <alignment wrapText="1"/>
    </xf>
    <xf numFmtId="0" fontId="8" fillId="0" borderId="1" applyAlignment="1" pivotButton="0" quotePrefix="0" xfId="0">
      <alignment wrapText="1"/>
    </xf>
    <xf numFmtId="0" fontId="9" fillId="0" borderId="0" pivotButton="0" quotePrefix="0" xfId="0"/>
    <xf numFmtId="0" fontId="10" fillId="0" borderId="0" pivotButton="0" quotePrefix="0" xfId="0"/>
    <xf numFmtId="0" fontId="4" fillId="0" borderId="0" pivotButton="0" quotePrefix="0" xfId="0"/>
    <xf numFmtId="0" fontId="4" fillId="0" borderId="0" applyAlignment="1" pivotButton="0" quotePrefix="0" xfId="0">
      <alignment horizontal="right" wrapText="1"/>
    </xf>
    <xf numFmtId="0" fontId="4" fillId="0" borderId="0" applyAlignment="1" pivotButton="0" quotePrefix="0" xfId="0">
      <alignment wrapText="1"/>
    </xf>
    <xf numFmtId="0" fontId="11" fillId="7" borderId="0" applyAlignment="1" pivotButton="0" quotePrefix="0" xfId="0">
      <alignment wrapText="1"/>
    </xf>
    <xf numFmtId="0" fontId="5" fillId="0" borderId="0" applyAlignment="1" pivotButton="0" quotePrefix="0" xfId="0">
      <alignment horizontal="right" wrapText="1"/>
    </xf>
    <xf numFmtId="0" fontId="5" fillId="0" borderId="0" applyAlignment="1" pivotButton="0" quotePrefix="0" xfId="0">
      <alignment wrapText="1"/>
    </xf>
    <xf numFmtId="0" fontId="5" fillId="5" borderId="0" applyAlignment="1" pivotButton="0" quotePrefix="0" xfId="0">
      <alignment wrapText="1"/>
    </xf>
    <xf numFmtId="0" fontId="1" fillId="5" borderId="0" applyAlignment="1" pivotButton="0" quotePrefix="0" xfId="0">
      <alignment horizontal="center" wrapText="1"/>
    </xf>
    <xf numFmtId="0" fontId="5" fillId="5" borderId="0" applyAlignment="1" pivotButton="0" quotePrefix="0" xfId="0">
      <alignment horizontal="right"/>
    </xf>
    <xf numFmtId="0" fontId="5" fillId="5" borderId="0" pivotButton="0" quotePrefix="0" xfId="0"/>
    <xf numFmtId="0" fontId="5" fillId="8" borderId="0" applyAlignment="1" pivotButton="0" quotePrefix="0" xfId="0">
      <alignment horizontal="right" wrapText="1"/>
    </xf>
    <xf numFmtId="0" fontId="5" fillId="6" borderId="0" applyAlignment="1" pivotButton="0" quotePrefix="0" xfId="0">
      <alignment horizontal="right" wrapText="1"/>
    </xf>
    <xf numFmtId="9" fontId="5" fillId="6" borderId="0" pivotButton="0" quotePrefix="0" xfId="0"/>
    <xf numFmtId="9" fontId="12" fillId="6" borderId="0" applyAlignment="1" pivotButton="0" quotePrefix="0" xfId="0">
      <alignment horizontal="right" vertical="bottom"/>
    </xf>
    <xf numFmtId="0" fontId="13" fillId="5" borderId="0" pivotButton="0" quotePrefix="0" xfId="0"/>
    <xf numFmtId="0" fontId="5" fillId="5" borderId="0" pivotButton="0" quotePrefix="0" xfId="0"/>
    <xf numFmtId="0" fontId="5" fillId="6" borderId="0" pivotButton="0" quotePrefix="0" xfId="0"/>
    <xf numFmtId="9" fontId="5" fillId="6" borderId="0" pivotButton="0" quotePrefix="0" xfId="0"/>
    <xf numFmtId="0" fontId="5" fillId="9" borderId="0" pivotButton="0" quotePrefix="0" xfId="0"/>
    <xf numFmtId="0" fontId="5" fillId="5" borderId="2" applyAlignment="1" pivotButton="0" quotePrefix="0" xfId="0">
      <alignment wrapText="1"/>
    </xf>
    <xf numFmtId="0" fontId="1" fillId="5" borderId="3" applyAlignment="1" pivotButton="0" quotePrefix="0" xfId="0">
      <alignment horizontal="center" wrapText="1"/>
    </xf>
    <xf numFmtId="0" fontId="5" fillId="5" borderId="2" applyAlignment="1" pivotButton="0" quotePrefix="0" xfId="0">
      <alignment horizontal="right"/>
    </xf>
    <xf numFmtId="0" fontId="5" fillId="5" borderId="2" pivotButton="0" quotePrefix="0" xfId="0"/>
    <xf numFmtId="0" fontId="5" fillId="5" borderId="2" applyAlignment="1" pivotButton="0" quotePrefix="0" xfId="0">
      <alignment horizontal="right" wrapText="1"/>
    </xf>
    <xf numFmtId="0" fontId="5" fillId="10" borderId="2" applyAlignment="1" pivotButton="0" quotePrefix="0" xfId="0">
      <alignment horizontal="right" wrapText="1"/>
    </xf>
    <xf numFmtId="0" fontId="5" fillId="4" borderId="2" pivotButton="0" quotePrefix="0" xfId="0"/>
    <xf numFmtId="9" fontId="5" fillId="6" borderId="2" pivotButton="0" quotePrefix="0" xfId="0"/>
    <xf numFmtId="9" fontId="5" fillId="6" borderId="2" pivotButton="0" quotePrefix="0" xfId="0"/>
    <xf numFmtId="0" fontId="5" fillId="10" borderId="2" pivotButton="0" quotePrefix="0" xfId="0"/>
    <xf numFmtId="0" fontId="5" fillId="5" borderId="2" pivotButton="0" quotePrefix="0" xfId="0"/>
    <xf numFmtId="0" fontId="5" fillId="5" borderId="4" applyAlignment="1" pivotButton="0" quotePrefix="0" xfId="0">
      <alignment wrapText="1"/>
    </xf>
    <xf numFmtId="0" fontId="14" fillId="0" borderId="5" pivotButton="0" quotePrefix="0" xfId="0"/>
    <xf numFmtId="0" fontId="5" fillId="5" borderId="4" applyAlignment="1" pivotButton="0" quotePrefix="0" xfId="0">
      <alignment horizontal="right"/>
    </xf>
    <xf numFmtId="0" fontId="15" fillId="10" borderId="4" pivotButton="0" quotePrefix="0" xfId="0"/>
    <xf numFmtId="0" fontId="5" fillId="10" borderId="4" applyAlignment="1" pivotButton="0" quotePrefix="0" xfId="0">
      <alignment wrapText="1"/>
    </xf>
    <xf numFmtId="0" fontId="4" fillId="5" borderId="4" applyAlignment="1" pivotButton="0" quotePrefix="0" xfId="0">
      <alignment horizontal="right" wrapText="1"/>
    </xf>
    <xf numFmtId="0" fontId="5" fillId="5" borderId="4" applyAlignment="1" pivotButton="0" quotePrefix="0" xfId="0">
      <alignment horizontal="right" wrapText="1"/>
    </xf>
    <xf numFmtId="0" fontId="5" fillId="10" borderId="4" applyAlignment="1" pivotButton="0" quotePrefix="0" xfId="0">
      <alignment horizontal="right" wrapText="1"/>
    </xf>
    <xf numFmtId="0" fontId="5" fillId="10" borderId="6" applyAlignment="1" pivotButton="0" quotePrefix="0" xfId="0">
      <alignment horizontal="right"/>
    </xf>
    <xf numFmtId="0" fontId="5" fillId="4" borderId="4" pivotButton="0" quotePrefix="0" xfId="0"/>
    <xf numFmtId="9" fontId="5" fillId="6" borderId="4" pivotButton="0" quotePrefix="0" xfId="0"/>
    <xf numFmtId="0" fontId="5" fillId="5" borderId="4" pivotButton="0" quotePrefix="0" xfId="0"/>
    <xf numFmtId="0" fontId="5" fillId="5" borderId="4" pivotButton="0" quotePrefix="0" xfId="0"/>
    <xf numFmtId="0" fontId="5" fillId="11" borderId="7" applyAlignment="1" pivotButton="0" quotePrefix="0" xfId="0">
      <alignment wrapText="1"/>
    </xf>
    <xf numFmtId="0" fontId="1" fillId="11" borderId="8" applyAlignment="1" pivotButton="0" quotePrefix="0" xfId="0">
      <alignment horizontal="center" wrapText="1"/>
    </xf>
    <xf numFmtId="0" fontId="5" fillId="11" borderId="8" applyAlignment="1" pivotButton="0" quotePrefix="0" xfId="0">
      <alignment horizontal="right"/>
    </xf>
    <xf numFmtId="0" fontId="5" fillId="11" borderId="7" pivotButton="0" quotePrefix="0" xfId="0"/>
    <xf numFmtId="0" fontId="5" fillId="11" borderId="7" applyAlignment="1" pivotButton="0" quotePrefix="0" xfId="0">
      <alignment wrapText="1"/>
    </xf>
    <xf numFmtId="0" fontId="5" fillId="11" borderId="7" applyAlignment="1" pivotButton="0" quotePrefix="0" xfId="0">
      <alignment horizontal="right" wrapText="1"/>
    </xf>
    <xf numFmtId="0" fontId="5" fillId="11" borderId="7" applyAlignment="1" pivotButton="0" quotePrefix="0" xfId="0">
      <alignment horizontal="right"/>
    </xf>
    <xf numFmtId="0" fontId="5" fillId="4" borderId="7" pivotButton="0" quotePrefix="0" xfId="0"/>
    <xf numFmtId="9" fontId="5" fillId="6" borderId="7" pivotButton="0" quotePrefix="0" xfId="0"/>
    <xf numFmtId="0" fontId="5" fillId="11" borderId="7" pivotButton="0" quotePrefix="0" xfId="0"/>
    <xf numFmtId="0" fontId="5" fillId="11" borderId="4" applyAlignment="1" pivotButton="0" quotePrefix="0" xfId="0">
      <alignment wrapText="1"/>
    </xf>
    <xf numFmtId="0" fontId="5" fillId="11" borderId="5" applyAlignment="1" pivotButton="0" quotePrefix="0" xfId="0">
      <alignment horizontal="right"/>
    </xf>
    <xf numFmtId="0" fontId="5" fillId="11" borderId="4" pivotButton="0" quotePrefix="0" xfId="0"/>
    <xf numFmtId="0" fontId="5" fillId="11" borderId="4" applyAlignment="1" pivotButton="0" quotePrefix="0" xfId="0">
      <alignment wrapText="1"/>
    </xf>
    <xf numFmtId="0" fontId="4" fillId="11" borderId="4" applyAlignment="1" pivotButton="0" quotePrefix="0" xfId="0">
      <alignment horizontal="right" wrapText="1"/>
    </xf>
    <xf numFmtId="0" fontId="5" fillId="11" borderId="4" applyAlignment="1" pivotButton="0" quotePrefix="0" xfId="0">
      <alignment horizontal="right" wrapText="1"/>
    </xf>
    <xf numFmtId="0" fontId="5" fillId="11" borderId="6" applyAlignment="1" pivotButton="0" quotePrefix="0" xfId="0">
      <alignment horizontal="right"/>
    </xf>
    <xf numFmtId="9" fontId="5" fillId="6" borderId="4" pivotButton="0" quotePrefix="0" xfId="0"/>
    <xf numFmtId="0" fontId="5" fillId="11" borderId="4" pivotButton="0" quotePrefix="0" xfId="0"/>
    <xf numFmtId="0" fontId="5" fillId="5" borderId="7" applyAlignment="1" pivotButton="0" quotePrefix="0" xfId="0">
      <alignment wrapText="1"/>
    </xf>
    <xf numFmtId="0" fontId="1" fillId="5" borderId="8" applyAlignment="1" pivotButton="0" quotePrefix="0" xfId="0">
      <alignment horizontal="center" wrapText="1"/>
    </xf>
    <xf numFmtId="0" fontId="5" fillId="5" borderId="7" applyAlignment="1" pivotButton="0" quotePrefix="0" xfId="0">
      <alignment horizontal="right"/>
    </xf>
    <xf numFmtId="0" fontId="5" fillId="5" borderId="7" pivotButton="0" quotePrefix="0" xfId="0"/>
    <xf numFmtId="0" fontId="5" fillId="5" borderId="7" applyAlignment="1" pivotButton="0" quotePrefix="0" xfId="0">
      <alignment wrapText="1"/>
    </xf>
    <xf numFmtId="0" fontId="5" fillId="5" borderId="7" applyAlignment="1" pivotButton="0" quotePrefix="0" xfId="0">
      <alignment horizontal="right" wrapText="1"/>
    </xf>
    <xf numFmtId="0" fontId="5" fillId="10" borderId="1" applyAlignment="1" pivotButton="0" quotePrefix="0" xfId="0">
      <alignment horizontal="right"/>
    </xf>
    <xf numFmtId="9" fontId="5" fillId="6" borderId="7" pivotButton="0" quotePrefix="0" xfId="0"/>
    <xf numFmtId="0" fontId="5" fillId="10" borderId="7" pivotButton="0" quotePrefix="0" xfId="0"/>
    <xf numFmtId="0" fontId="5" fillId="5" borderId="7" pivotButton="0" quotePrefix="0" xfId="0"/>
    <xf numFmtId="0" fontId="5" fillId="5" borderId="4" applyAlignment="1" pivotButton="0" quotePrefix="0" xfId="0">
      <alignment wrapText="1"/>
    </xf>
    <xf numFmtId="0" fontId="5" fillId="11" borderId="1" applyAlignment="1" pivotButton="0" quotePrefix="0" xfId="0">
      <alignment horizontal="right"/>
    </xf>
    <xf numFmtId="0" fontId="5" fillId="10" borderId="0" applyAlignment="1" pivotButton="0" quotePrefix="0" xfId="0">
      <alignment horizontal="right"/>
    </xf>
    <xf numFmtId="0" fontId="5" fillId="7" borderId="0" applyAlignment="1" pivotButton="0" quotePrefix="0" xfId="0">
      <alignment wrapText="1"/>
    </xf>
    <xf numFmtId="0" fontId="16" fillId="7" borderId="0" applyAlignment="1" pivotButton="0" quotePrefix="0" xfId="0">
      <alignment horizontal="right"/>
    </xf>
    <xf numFmtId="0" fontId="16" fillId="7" borderId="0" pivotButton="0" quotePrefix="0" xfId="0"/>
    <xf numFmtId="0" fontId="5" fillId="7" borderId="0" applyAlignment="1" pivotButton="0" quotePrefix="0" xfId="0">
      <alignment horizontal="right" wrapText="1"/>
    </xf>
    <xf numFmtId="0" fontId="5" fillId="7" borderId="0" applyAlignment="1" pivotButton="0" quotePrefix="0" xfId="0">
      <alignment horizontal="right"/>
    </xf>
    <xf numFmtId="0" fontId="5" fillId="7" borderId="0" pivotButton="0" quotePrefix="0" xfId="0"/>
    <xf numFmtId="0" fontId="11" fillId="7" borderId="0" pivotButton="0" quotePrefix="0" xfId="0"/>
    <xf numFmtId="0" fontId="2" fillId="5" borderId="0" applyAlignment="1" pivotButton="0" quotePrefix="0" xfId="0">
      <alignment vertical="bottom"/>
    </xf>
    <xf numFmtId="0" fontId="3" fillId="5" borderId="0" applyAlignment="1" pivotButton="0" quotePrefix="0" xfId="0">
      <alignment horizontal="center"/>
    </xf>
    <xf numFmtId="0" fontId="2" fillId="8" borderId="0" applyAlignment="1" pivotButton="0" quotePrefix="0" xfId="0">
      <alignment horizontal="right" vertical="bottom"/>
    </xf>
    <xf numFmtId="0" fontId="2" fillId="0" borderId="0" applyAlignment="1" pivotButton="0" quotePrefix="0" xfId="0">
      <alignment horizontal="right" vertical="bottom"/>
    </xf>
    <xf numFmtId="0" fontId="2" fillId="6" borderId="0" applyAlignment="1" pivotButton="0" quotePrefix="0" xfId="0">
      <alignment horizontal="right" vertical="bottom"/>
    </xf>
    <xf numFmtId="4" fontId="5" fillId="0" borderId="0" pivotButton="0" quotePrefix="0" xfId="0"/>
    <xf numFmtId="0" fontId="17" fillId="5" borderId="0" pivotButton="0" quotePrefix="0" xfId="0"/>
    <xf numFmtId="9" fontId="2" fillId="6" borderId="0" applyAlignment="1" pivotButton="0" quotePrefix="0" xfId="0">
      <alignment horizontal="right" vertical="bottom"/>
    </xf>
    <xf numFmtId="0" fontId="2" fillId="4" borderId="0" applyAlignment="1" pivotButton="0" quotePrefix="0" xfId="0">
      <alignment vertical="bottom"/>
    </xf>
    <xf numFmtId="0" fontId="2" fillId="5" borderId="1" applyAlignment="1" pivotButton="0" quotePrefix="0" xfId="0">
      <alignment vertical="bottom"/>
    </xf>
    <xf numFmtId="0" fontId="3" fillId="5" borderId="1" applyAlignment="1" pivotButton="0" quotePrefix="0" xfId="0">
      <alignment horizontal="center"/>
    </xf>
    <xf numFmtId="0" fontId="5" fillId="5" borderId="1" applyAlignment="1" pivotButton="0" quotePrefix="0" xfId="0">
      <alignment horizontal="right"/>
    </xf>
    <xf numFmtId="0" fontId="5" fillId="5" borderId="1" pivotButton="0" quotePrefix="0" xfId="0"/>
    <xf numFmtId="0" fontId="2" fillId="5" borderId="1" applyAlignment="1" pivotButton="0" quotePrefix="0" xfId="0">
      <alignment vertical="bottom"/>
    </xf>
    <xf numFmtId="0" fontId="2" fillId="5" borderId="1" applyAlignment="1" pivotButton="0" quotePrefix="0" xfId="0">
      <alignment horizontal="right" vertical="bottom"/>
    </xf>
    <xf numFmtId="0" fontId="2" fillId="4" borderId="1" applyAlignment="1" pivotButton="0" quotePrefix="0" xfId="0">
      <alignment vertical="bottom"/>
    </xf>
    <xf numFmtId="9" fontId="2" fillId="6" borderId="1" applyAlignment="1" pivotButton="0" quotePrefix="0" xfId="0">
      <alignment vertical="bottom"/>
    </xf>
    <xf numFmtId="4" fontId="2" fillId="5" borderId="1" applyAlignment="1" pivotButton="0" quotePrefix="0" xfId="0">
      <alignment vertical="bottom"/>
    </xf>
    <xf numFmtId="0" fontId="2" fillId="12" borderId="7" applyAlignment="1" pivotButton="0" quotePrefix="0" xfId="0">
      <alignment vertical="bottom"/>
    </xf>
    <xf numFmtId="0" fontId="3" fillId="12" borderId="8" applyAlignment="1" pivotButton="0" quotePrefix="0" xfId="0">
      <alignment horizontal="center"/>
    </xf>
    <xf numFmtId="0" fontId="5" fillId="12" borderId="7" applyAlignment="1" pivotButton="0" quotePrefix="0" xfId="0">
      <alignment horizontal="right"/>
    </xf>
    <xf numFmtId="0" fontId="5" fillId="12" borderId="7" pivotButton="0" quotePrefix="0" xfId="0"/>
    <xf numFmtId="0" fontId="2" fillId="12" borderId="7" applyAlignment="1" pivotButton="0" quotePrefix="0" xfId="0">
      <alignment vertical="bottom"/>
    </xf>
    <xf numFmtId="0" fontId="5" fillId="12" borderId="1" pivotButton="0" quotePrefix="0" xfId="0"/>
    <xf numFmtId="0" fontId="2" fillId="12" borderId="7" applyAlignment="1" pivotButton="0" quotePrefix="0" xfId="0">
      <alignment horizontal="right" vertical="bottom"/>
    </xf>
    <xf numFmtId="0" fontId="2" fillId="4" borderId="7" applyAlignment="1" pivotButton="0" quotePrefix="0" xfId="0">
      <alignment vertical="bottom"/>
    </xf>
    <xf numFmtId="9" fontId="2" fillId="6" borderId="7" applyAlignment="1" pivotButton="0" quotePrefix="0" xfId="0">
      <alignment vertical="bottom"/>
    </xf>
    <xf numFmtId="4" fontId="2" fillId="5" borderId="7" applyAlignment="1" pivotButton="0" quotePrefix="0" xfId="0">
      <alignment vertical="bottom"/>
    </xf>
    <xf numFmtId="0" fontId="2" fillId="8" borderId="4" applyAlignment="1" pivotButton="0" quotePrefix="0" xfId="0">
      <alignment vertical="bottom"/>
    </xf>
    <xf numFmtId="0" fontId="14" fillId="8" borderId="5" pivotButton="0" quotePrefix="0" xfId="0"/>
    <xf numFmtId="0" fontId="5" fillId="8" borderId="9" applyAlignment="1" pivotButton="0" quotePrefix="0" xfId="0">
      <alignment horizontal="right"/>
    </xf>
    <xf numFmtId="0" fontId="5" fillId="8" borderId="4" pivotButton="0" quotePrefix="0" xfId="0"/>
    <xf numFmtId="0" fontId="2" fillId="8" borderId="4" applyAlignment="1" pivotButton="0" quotePrefix="0" xfId="0">
      <alignment vertical="bottom"/>
    </xf>
    <xf numFmtId="0" fontId="4" fillId="8" borderId="4" applyAlignment="1" pivotButton="0" quotePrefix="0" xfId="0">
      <alignment horizontal="right" wrapText="1"/>
    </xf>
    <xf numFmtId="0" fontId="5" fillId="8" borderId="6" pivotButton="0" quotePrefix="0" xfId="0"/>
    <xf numFmtId="0" fontId="2" fillId="8" borderId="4" applyAlignment="1" pivotButton="0" quotePrefix="0" xfId="0">
      <alignment horizontal="right" vertical="bottom"/>
    </xf>
    <xf numFmtId="0" fontId="5" fillId="8" borderId="6" applyAlignment="1" pivotButton="0" quotePrefix="0" xfId="0">
      <alignment horizontal="right"/>
    </xf>
    <xf numFmtId="0" fontId="2" fillId="4" borderId="4" applyAlignment="1" pivotButton="0" quotePrefix="0" xfId="0">
      <alignment vertical="bottom"/>
    </xf>
    <xf numFmtId="0" fontId="2" fillId="6" borderId="4" applyAlignment="1" pivotButton="0" quotePrefix="0" xfId="0">
      <alignment horizontal="right" vertical="bottom"/>
    </xf>
    <xf numFmtId="9" fontId="2" fillId="6" borderId="4" applyAlignment="1" pivotButton="0" quotePrefix="0" xfId="0">
      <alignment vertical="bottom"/>
    </xf>
    <xf numFmtId="4" fontId="2" fillId="5" borderId="4" applyAlignment="1" pivotButton="0" quotePrefix="0" xfId="0">
      <alignment vertical="bottom"/>
    </xf>
    <xf numFmtId="0" fontId="5" fillId="5" borderId="6" pivotButton="0" quotePrefix="0" xfId="0"/>
    <xf numFmtId="0" fontId="2" fillId="10" borderId="7" applyAlignment="1" pivotButton="0" quotePrefix="0" xfId="0">
      <alignment vertical="bottom"/>
    </xf>
    <xf numFmtId="0" fontId="3" fillId="10" borderId="8" applyAlignment="1" pivotButton="0" quotePrefix="0" xfId="0">
      <alignment horizontal="center"/>
    </xf>
    <xf numFmtId="0" fontId="5" fillId="10" borderId="9" applyAlignment="1" pivotButton="0" quotePrefix="0" xfId="0">
      <alignment horizontal="right"/>
    </xf>
    <xf numFmtId="0" fontId="2" fillId="10" borderId="7" applyAlignment="1" pivotButton="0" quotePrefix="0" xfId="0">
      <alignment vertical="bottom"/>
    </xf>
    <xf numFmtId="0" fontId="5" fillId="10" borderId="1" pivotButton="0" quotePrefix="0" xfId="0"/>
    <xf numFmtId="0" fontId="2" fillId="10" borderId="7" applyAlignment="1" pivotButton="0" quotePrefix="0" xfId="0">
      <alignment horizontal="right" vertical="bottom"/>
    </xf>
    <xf numFmtId="4" fontId="2" fillId="11" borderId="7" applyAlignment="1" pivotButton="0" quotePrefix="0" xfId="0">
      <alignment vertical="bottom"/>
    </xf>
    <xf numFmtId="0" fontId="5" fillId="11" borderId="0" pivotButton="0" quotePrefix="0" xfId="0"/>
    <xf numFmtId="0" fontId="5" fillId="8" borderId="4" applyAlignment="1" pivotButton="0" quotePrefix="0" xfId="0">
      <alignment horizontal="right" wrapText="1"/>
    </xf>
    <xf numFmtId="4" fontId="2" fillId="11" borderId="4" applyAlignment="1" pivotButton="0" quotePrefix="0" xfId="0">
      <alignment vertical="bottom"/>
    </xf>
    <xf numFmtId="0" fontId="5" fillId="11" borderId="6" pivotButton="0" quotePrefix="0" xfId="0"/>
    <xf numFmtId="0" fontId="2" fillId="10" borderId="9" applyAlignment="1" pivotButton="0" quotePrefix="0" xfId="0">
      <alignment horizontal="right" vertical="bottom"/>
    </xf>
    <xf numFmtId="0" fontId="5" fillId="10" borderId="8" applyAlignment="1" pivotButton="0" quotePrefix="0" xfId="0">
      <alignment horizontal="right"/>
    </xf>
    <xf numFmtId="9" fontId="2" fillId="6" borderId="7" applyAlignment="1" pivotButton="0" quotePrefix="0" xfId="0">
      <alignment vertical="bottom"/>
    </xf>
    <xf numFmtId="0" fontId="5" fillId="8" borderId="5" applyAlignment="1" pivotButton="0" quotePrefix="0" xfId="0">
      <alignment horizontal="right"/>
    </xf>
    <xf numFmtId="0" fontId="5" fillId="10" borderId="7" applyAlignment="1" pivotButton="0" quotePrefix="0" xfId="0">
      <alignment horizontal="right"/>
    </xf>
    <xf numFmtId="0" fontId="5" fillId="5" borderId="10" pivotButton="0" quotePrefix="0" xfId="0"/>
    <xf numFmtId="0" fontId="5" fillId="8" borderId="4" applyAlignment="1" pivotButton="0" quotePrefix="0" xfId="0">
      <alignment horizontal="right"/>
    </xf>
    <xf numFmtId="0" fontId="5" fillId="5" borderId="11" pivotButton="0" quotePrefix="0" xfId="0"/>
    <xf numFmtId="0" fontId="5" fillId="11" borderId="10" pivotButton="0" quotePrefix="0" xfId="0"/>
    <xf numFmtId="0" fontId="2" fillId="8" borderId="12" applyAlignment="1" pivotButton="0" quotePrefix="0" xfId="0">
      <alignment vertical="bottom"/>
    </xf>
    <xf numFmtId="0" fontId="2" fillId="8" borderId="12" applyAlignment="1" pivotButton="0" quotePrefix="0" xfId="0">
      <alignment horizontal="right" vertical="bottom"/>
    </xf>
    <xf numFmtId="0" fontId="4" fillId="8" borderId="12" applyAlignment="1" pivotButton="0" quotePrefix="0" xfId="0">
      <alignment horizontal="right" wrapText="1"/>
    </xf>
    <xf numFmtId="0" fontId="5" fillId="8" borderId="12" pivotButton="0" quotePrefix="0" xfId="0"/>
    <xf numFmtId="0" fontId="5" fillId="8" borderId="0" applyAlignment="1" pivotButton="0" quotePrefix="0" xfId="0">
      <alignment horizontal="right"/>
    </xf>
    <xf numFmtId="0" fontId="2" fillId="4" borderId="12" applyAlignment="1" pivotButton="0" quotePrefix="0" xfId="0">
      <alignment vertical="bottom"/>
    </xf>
    <xf numFmtId="9" fontId="2" fillId="6" borderId="12" applyAlignment="1" pivotButton="0" quotePrefix="0" xfId="0">
      <alignment vertical="bottom"/>
    </xf>
    <xf numFmtId="4" fontId="2" fillId="11" borderId="12" applyAlignment="1" pivotButton="0" quotePrefix="0" xfId="0">
      <alignment vertical="bottom"/>
    </xf>
    <xf numFmtId="0" fontId="5" fillId="11" borderId="12" pivotButton="0" quotePrefix="0" xfId="0"/>
    <xf numFmtId="0" fontId="5" fillId="11" borderId="13" pivotButton="0" quotePrefix="0" xfId="0"/>
    <xf numFmtId="0" fontId="5" fillId="10" borderId="14" applyAlignment="1" pivotButton="0" quotePrefix="0" xfId="0">
      <alignment wrapText="1"/>
    </xf>
    <xf numFmtId="0" fontId="3" fillId="10" borderId="3" applyAlignment="1" pivotButton="0" quotePrefix="0" xfId="0">
      <alignment horizontal="center"/>
    </xf>
    <xf numFmtId="0" fontId="2" fillId="10" borderId="2" applyAlignment="1" pivotButton="0" quotePrefix="0" xfId="0">
      <alignment horizontal="right" vertical="bottom"/>
    </xf>
    <xf numFmtId="0" fontId="2" fillId="10" borderId="2" applyAlignment="1" pivotButton="0" quotePrefix="0" xfId="0">
      <alignment vertical="bottom"/>
    </xf>
    <xf numFmtId="0" fontId="5" fillId="10" borderId="2" applyAlignment="1" pivotButton="0" quotePrefix="0" xfId="0">
      <alignment wrapText="1"/>
    </xf>
    <xf numFmtId="0" fontId="5" fillId="10" borderId="2" applyAlignment="1" pivotButton="0" quotePrefix="0" xfId="0">
      <alignment horizontal="right"/>
    </xf>
    <xf numFmtId="4" fontId="5" fillId="5" borderId="2" pivotButton="0" quotePrefix="0" xfId="0"/>
    <xf numFmtId="0" fontId="5" fillId="5" borderId="15" pivotButton="0" quotePrefix="0" xfId="0"/>
    <xf numFmtId="0" fontId="5" fillId="8" borderId="16" applyAlignment="1" pivotButton="0" quotePrefix="0" xfId="0">
      <alignment wrapText="1"/>
    </xf>
    <xf numFmtId="0" fontId="5" fillId="8" borderId="4" applyAlignment="1" pivotButton="0" quotePrefix="0" xfId="0">
      <alignment wrapText="1"/>
    </xf>
    <xf numFmtId="4" fontId="5" fillId="5" borderId="4" pivotButton="0" quotePrefix="0" xfId="0"/>
    <xf numFmtId="0" fontId="5" fillId="10" borderId="7" applyAlignment="1" pivotButton="0" quotePrefix="0" xfId="0">
      <alignment wrapText="1"/>
    </xf>
    <xf numFmtId="0" fontId="5" fillId="10" borderId="7" applyAlignment="1" pivotButton="0" quotePrefix="0" xfId="0">
      <alignment wrapText="1"/>
    </xf>
    <xf numFmtId="0" fontId="5" fillId="10" borderId="7" applyAlignment="1" pivotButton="0" quotePrefix="0" xfId="0">
      <alignment horizontal="right" wrapText="1"/>
    </xf>
    <xf numFmtId="4" fontId="5" fillId="11" borderId="7" pivotButton="0" quotePrefix="0" xfId="0"/>
    <xf numFmtId="0" fontId="5" fillId="8" borderId="4" applyAlignment="1" pivotButton="0" quotePrefix="0" xfId="0">
      <alignment wrapText="1"/>
    </xf>
    <xf numFmtId="4" fontId="5" fillId="11" borderId="4" pivotButton="0" quotePrefix="0" xfId="0"/>
    <xf numFmtId="0" fontId="5" fillId="6" borderId="7" pivotButton="0" quotePrefix="0" xfId="0"/>
    <xf numFmtId="4" fontId="5" fillId="5" borderId="7" pivotButton="0" quotePrefix="0" xfId="0"/>
    <xf numFmtId="0" fontId="14" fillId="8" borderId="7" pivotButton="0" quotePrefix="0" xfId="0"/>
    <xf numFmtId="0" fontId="2" fillId="8" borderId="7" applyAlignment="1" pivotButton="0" quotePrefix="0" xfId="0">
      <alignment horizontal="right" vertical="bottom"/>
    </xf>
    <xf numFmtId="0" fontId="2" fillId="8" borderId="9" applyAlignment="1" pivotButton="0" quotePrefix="0" xfId="0">
      <alignment vertical="bottom"/>
    </xf>
    <xf numFmtId="0" fontId="5" fillId="8" borderId="12" applyAlignment="1" pivotButton="0" quotePrefix="0" xfId="0">
      <alignment wrapText="1"/>
    </xf>
    <xf numFmtId="0" fontId="2" fillId="10" borderId="9" applyAlignment="1" pivotButton="0" quotePrefix="0" xfId="0">
      <alignment vertical="bottom"/>
    </xf>
    <xf numFmtId="0" fontId="2" fillId="10" borderId="9" applyAlignment="1" pivotButton="0" quotePrefix="0" xfId="0">
      <alignment vertical="bottom"/>
    </xf>
    <xf numFmtId="0" fontId="5" fillId="10" borderId="12" applyAlignment="1" pivotButton="0" quotePrefix="0" xfId="0">
      <alignment wrapText="1"/>
    </xf>
    <xf numFmtId="0" fontId="5" fillId="10" borderId="0" pivotButton="0" quotePrefix="0" xfId="0"/>
    <xf numFmtId="0" fontId="2" fillId="4" borderId="9" applyAlignment="1" pivotButton="0" quotePrefix="0" xfId="0">
      <alignment vertical="bottom"/>
    </xf>
    <xf numFmtId="9" fontId="2" fillId="6" borderId="9" applyAlignment="1" pivotButton="0" quotePrefix="0" xfId="0">
      <alignment vertical="bottom"/>
    </xf>
    <xf numFmtId="0" fontId="5" fillId="0" borderId="7" pivotButton="0" quotePrefix="0" xfId="0"/>
    <xf numFmtId="0" fontId="11" fillId="7" borderId="0" applyAlignment="1" pivotButton="0" quotePrefix="0" xfId="0">
      <alignment wrapText="1"/>
    </xf>
    <xf numFmtId="0" fontId="11" fillId="7" borderId="0" applyAlignment="1" pivotButton="0" quotePrefix="0" xfId="0">
      <alignment horizontal="right" wrapText="1"/>
    </xf>
    <xf numFmtId="0" fontId="11" fillId="7" borderId="0" applyAlignment="1" pivotButton="0" quotePrefix="0" xfId="0">
      <alignment horizontal="right"/>
    </xf>
    <xf numFmtId="0" fontId="11" fillId="7" borderId="0" pivotButton="0" quotePrefix="0" xfId="0"/>
    <xf numFmtId="0" fontId="11" fillId="6" borderId="0" pivotButton="0" quotePrefix="0" xfId="0"/>
    <xf numFmtId="0" fontId="2" fillId="10" borderId="0" applyAlignment="1" pivotButton="0" quotePrefix="0" xfId="0">
      <alignment wrapText="1"/>
    </xf>
    <xf numFmtId="0" fontId="3" fillId="10" borderId="0" applyAlignment="1" pivotButton="0" quotePrefix="0" xfId="0">
      <alignment horizontal="center" wrapText="1"/>
    </xf>
    <xf numFmtId="0" fontId="2" fillId="10" borderId="0" applyAlignment="1" pivotButton="0" quotePrefix="0" xfId="0">
      <alignment horizontal="right"/>
    </xf>
    <xf numFmtId="0" fontId="2" fillId="10" borderId="0" applyAlignment="1" pivotButton="0" quotePrefix="0" xfId="0">
      <alignment wrapText="1"/>
    </xf>
    <xf numFmtId="0" fontId="2" fillId="10" borderId="0" applyAlignment="1" pivotButton="0" quotePrefix="0" xfId="0">
      <alignment vertical="bottom"/>
    </xf>
    <xf numFmtId="2" fontId="5" fillId="10" borderId="0" applyAlignment="1" pivotButton="0" quotePrefix="0" xfId="0">
      <alignment horizontal="right"/>
    </xf>
    <xf numFmtId="2" fontId="5" fillId="10" borderId="0" pivotButton="0" quotePrefix="0" xfId="0"/>
    <xf numFmtId="2" fontId="5" fillId="0" borderId="0" pivotButton="0" quotePrefix="0" xfId="0"/>
    <xf numFmtId="2" fontId="5" fillId="6" borderId="0" pivotButton="0" quotePrefix="0" xfId="0"/>
    <xf numFmtId="0" fontId="2" fillId="8" borderId="0" applyAlignment="1" pivotButton="0" quotePrefix="0" xfId="0">
      <alignment wrapText="1"/>
    </xf>
    <xf numFmtId="0" fontId="2" fillId="8" borderId="0" applyAlignment="1" pivotButton="0" quotePrefix="0" xfId="0">
      <alignment horizontal="right"/>
    </xf>
    <xf numFmtId="0" fontId="5" fillId="8" borderId="0" pivotButton="0" quotePrefix="0" xfId="0"/>
    <xf numFmtId="0" fontId="2" fillId="8" borderId="0" applyAlignment="1" pivotButton="0" quotePrefix="0" xfId="0">
      <alignment wrapText="1"/>
    </xf>
    <xf numFmtId="0" fontId="2" fillId="8" borderId="0" applyAlignment="1" pivotButton="0" quotePrefix="0" xfId="0">
      <alignment vertical="bottom"/>
    </xf>
    <xf numFmtId="2" fontId="5" fillId="8" borderId="0" applyAlignment="1" pivotButton="0" quotePrefix="0" xfId="0">
      <alignment horizontal="right"/>
    </xf>
    <xf numFmtId="0" fontId="2" fillId="10" borderId="0" applyAlignment="1" pivotButton="0" quotePrefix="0" xfId="0">
      <alignment horizontal="right" vertical="bottom"/>
    </xf>
    <xf numFmtId="0" fontId="2" fillId="8" borderId="17" applyAlignment="1" pivotButton="0" quotePrefix="0" xfId="0">
      <alignment wrapText="1"/>
    </xf>
    <xf numFmtId="0" fontId="3" fillId="8" borderId="8" applyAlignment="1" pivotButton="0" quotePrefix="0" xfId="0">
      <alignment horizontal="center" wrapText="1"/>
    </xf>
    <xf numFmtId="0" fontId="2" fillId="8" borderId="7" applyAlignment="1" pivotButton="0" quotePrefix="0" xfId="0">
      <alignment horizontal="right"/>
    </xf>
    <xf numFmtId="0" fontId="5" fillId="8" borderId="2" pivotButton="0" quotePrefix="0" xfId="0"/>
    <xf numFmtId="0" fontId="2" fillId="8" borderId="7" applyAlignment="1" pivotButton="0" quotePrefix="0" xfId="0">
      <alignment wrapText="1"/>
    </xf>
    <xf numFmtId="0" fontId="2" fillId="8" borderId="7" applyAlignment="1" pivotButton="0" quotePrefix="0" xfId="0">
      <alignment vertical="bottom"/>
    </xf>
    <xf numFmtId="0" fontId="5" fillId="8" borderId="7" pivotButton="0" quotePrefix="0" xfId="0"/>
    <xf numFmtId="0" fontId="2" fillId="8" borderId="2" applyAlignment="1" pivotButton="0" quotePrefix="0" xfId="0">
      <alignment horizontal="right"/>
    </xf>
    <xf numFmtId="0" fontId="5" fillId="6" borderId="7" applyAlignment="1" pivotButton="0" quotePrefix="0" xfId="0">
      <alignment horizontal="right"/>
    </xf>
    <xf numFmtId="0" fontId="2" fillId="10" borderId="16" applyAlignment="1" pivotButton="0" quotePrefix="0" xfId="0">
      <alignment wrapText="1"/>
    </xf>
    <xf numFmtId="0" fontId="14" fillId="10" borderId="5" pivotButton="0" quotePrefix="0" xfId="0"/>
    <xf numFmtId="0" fontId="2" fillId="10" borderId="4" applyAlignment="1" pivotButton="0" quotePrefix="0" xfId="0">
      <alignment horizontal="right"/>
    </xf>
    <xf numFmtId="0" fontId="5" fillId="10" borderId="4" pivotButton="0" quotePrefix="0" xfId="0"/>
    <xf numFmtId="0" fontId="2" fillId="10" borderId="4" applyAlignment="1" pivotButton="0" quotePrefix="0" xfId="0">
      <alignment wrapText="1"/>
    </xf>
    <xf numFmtId="0" fontId="4" fillId="10" borderId="4" applyAlignment="1" pivotButton="0" quotePrefix="0" xfId="0">
      <alignment horizontal="right" wrapText="1"/>
    </xf>
    <xf numFmtId="0" fontId="2" fillId="10" borderId="4" applyAlignment="1" pivotButton="0" quotePrefix="0" xfId="0">
      <alignment vertical="bottom"/>
    </xf>
    <xf numFmtId="0" fontId="2" fillId="10" borderId="4" applyAlignment="1" pivotButton="0" quotePrefix="0" xfId="0">
      <alignment horizontal="right" wrapText="1"/>
    </xf>
    <xf numFmtId="2" fontId="5" fillId="5" borderId="4" pivotButton="0" quotePrefix="0" xfId="0"/>
    <xf numFmtId="2" fontId="5" fillId="11" borderId="4" pivotButton="0" quotePrefix="0" xfId="0"/>
    <xf numFmtId="0" fontId="5" fillId="11" borderId="11" pivotButton="0" quotePrefix="0" xfId="0"/>
    <xf numFmtId="0" fontId="2" fillId="8" borderId="8" applyAlignment="1" pivotButton="0" quotePrefix="0" xfId="0">
      <alignment horizontal="right"/>
    </xf>
    <xf numFmtId="2" fontId="5" fillId="5" borderId="7" pivotButton="0" quotePrefix="0" xfId="0"/>
    <xf numFmtId="0" fontId="2" fillId="10" borderId="5" applyAlignment="1" pivotButton="0" quotePrefix="0" xfId="0">
      <alignment horizontal="right"/>
    </xf>
    <xf numFmtId="2" fontId="5" fillId="10" borderId="4" pivotButton="0" quotePrefix="0" xfId="0"/>
    <xf numFmtId="0" fontId="2" fillId="8" borderId="17" applyAlignment="1" pivotButton="0" quotePrefix="0" xfId="0">
      <alignment wrapText="1"/>
    </xf>
    <xf numFmtId="0" fontId="18" fillId="8" borderId="8" applyAlignment="1" pivotButton="0" quotePrefix="0" xfId="0">
      <alignment horizontal="right"/>
    </xf>
    <xf numFmtId="0" fontId="18" fillId="8" borderId="7" pivotButton="0" quotePrefix="0" xfId="0"/>
    <xf numFmtId="0" fontId="5" fillId="8" borderId="7" applyAlignment="1" pivotButton="0" quotePrefix="0" xfId="0">
      <alignment horizontal="right" wrapText="1"/>
    </xf>
    <xf numFmtId="0" fontId="2" fillId="10" borderId="4" pivotButton="0" quotePrefix="0" xfId="0"/>
    <xf numFmtId="0" fontId="2" fillId="8" borderId="7" pivotButton="0" quotePrefix="0" xfId="0"/>
    <xf numFmtId="2" fontId="5" fillId="11" borderId="7" pivotButton="0" quotePrefix="0" xfId="0"/>
    <xf numFmtId="0" fontId="2" fillId="8" borderId="7" pivotButton="0" quotePrefix="0" xfId="0"/>
    <xf numFmtId="0" fontId="2" fillId="10" borderId="4" pivotButton="0" quotePrefix="0" xfId="0"/>
    <xf numFmtId="0" fontId="2" fillId="8" borderId="4" applyAlignment="1" pivotButton="0" quotePrefix="0" xfId="0">
      <alignment wrapText="1"/>
    </xf>
    <xf numFmtId="0" fontId="2" fillId="8" borderId="14" applyAlignment="1" pivotButton="0" quotePrefix="0" xfId="0">
      <alignment wrapText="1"/>
    </xf>
    <xf numFmtId="0" fontId="3" fillId="8" borderId="3" applyAlignment="1" pivotButton="0" quotePrefix="0" xfId="0">
      <alignment horizontal="center" wrapText="1"/>
    </xf>
    <xf numFmtId="0" fontId="2" fillId="8" borderId="3" applyAlignment="1" pivotButton="0" quotePrefix="0" xfId="0">
      <alignment horizontal="right" vertical="bottom"/>
    </xf>
    <xf numFmtId="0" fontId="2" fillId="8" borderId="2" applyAlignment="1" pivotButton="0" quotePrefix="0" xfId="0">
      <alignment vertical="bottom"/>
    </xf>
    <xf numFmtId="0" fontId="2" fillId="8" borderId="2" applyAlignment="1" pivotButton="0" quotePrefix="0" xfId="0">
      <alignment wrapText="1"/>
    </xf>
    <xf numFmtId="0" fontId="5" fillId="8" borderId="2" applyAlignment="1" pivotButton="0" quotePrefix="0" xfId="0">
      <alignment horizontal="right" wrapText="1"/>
    </xf>
    <xf numFmtId="9" fontId="5" fillId="6" borderId="7" applyAlignment="1" pivotButton="0" quotePrefix="0" xfId="0">
      <alignment horizontal="right"/>
    </xf>
    <xf numFmtId="2" fontId="5" fillId="11" borderId="2" pivotButton="0" quotePrefix="0" xfId="0"/>
    <xf numFmtId="0" fontId="5" fillId="11" borderId="2" pivotButton="0" quotePrefix="0" xfId="0"/>
    <xf numFmtId="0" fontId="5" fillId="11" borderId="15" pivotButton="0" quotePrefix="0" xfId="0"/>
    <xf numFmtId="0" fontId="2" fillId="10" borderId="5" applyAlignment="1" pivotButton="0" quotePrefix="0" xfId="0">
      <alignment horizontal="right" vertical="bottom"/>
    </xf>
    <xf numFmtId="0" fontId="2" fillId="10" borderId="2" applyAlignment="1" pivotButton="0" quotePrefix="0" xfId="0">
      <alignment wrapText="1"/>
    </xf>
    <xf numFmtId="2" fontId="5" fillId="5" borderId="2" pivotButton="0" quotePrefix="0" xfId="0"/>
    <xf numFmtId="0" fontId="2" fillId="10" borderId="16" applyAlignment="1" pivotButton="0" quotePrefix="0" xfId="0">
      <alignment wrapText="1"/>
    </xf>
    <xf numFmtId="0" fontId="5" fillId="8" borderId="9" applyAlignment="1" pivotButton="0" quotePrefix="0" xfId="0">
      <alignment horizontal="right" wrapText="1"/>
    </xf>
    <xf numFmtId="0" fontId="3" fillId="6" borderId="0" applyAlignment="1" pivotButton="0" quotePrefix="0" xfId="0">
      <alignment horizontal="center" wrapText="1"/>
    </xf>
    <xf numFmtId="0" fontId="2" fillId="6" borderId="0" applyAlignment="1" pivotButton="0" quotePrefix="0" xfId="0">
      <alignment horizontal="right"/>
    </xf>
    <xf numFmtId="0" fontId="2" fillId="8" borderId="0" pivotButton="0" quotePrefix="0" xfId="0"/>
    <xf numFmtId="2" fontId="5" fillId="8" borderId="0" pivotButton="0" quotePrefix="0" xfId="0"/>
    <xf numFmtId="0" fontId="2" fillId="10" borderId="0" pivotButton="0" quotePrefix="0" xfId="0"/>
    <xf numFmtId="0" fontId="3" fillId="8" borderId="0" applyAlignment="1" pivotButton="0" quotePrefix="0" xfId="0">
      <alignment horizontal="center" wrapText="1"/>
    </xf>
    <xf numFmtId="0" fontId="2" fillId="4" borderId="0" applyAlignment="1" pivotButton="0" quotePrefix="0" xfId="0">
      <alignment wrapText="1"/>
    </xf>
    <xf numFmtId="9" fontId="5" fillId="5" borderId="7" pivotButton="0" quotePrefix="0" xfId="0"/>
    <xf numFmtId="0" fontId="19" fillId="10" borderId="16" applyAlignment="1" pivotButton="0" quotePrefix="0" xfId="0">
      <alignment wrapText="1"/>
    </xf>
    <xf numFmtId="0" fontId="14" fillId="10" borderId="8" pivotButton="0" quotePrefix="0" xfId="0"/>
    <xf numFmtId="9" fontId="5" fillId="5" borderId="4" pivotButton="0" quotePrefix="0" xfId="0"/>
    <xf numFmtId="9" fontId="5" fillId="11" borderId="7" pivotButton="0" quotePrefix="0" xfId="0"/>
    <xf numFmtId="9" fontId="5" fillId="10" borderId="4" applyAlignment="1" pivotButton="0" quotePrefix="0" xfId="0">
      <alignment horizontal="right"/>
    </xf>
    <xf numFmtId="9" fontId="5" fillId="11" borderId="4" pivotButton="0" quotePrefix="0" xfId="0"/>
    <xf numFmtId="0" fontId="2" fillId="10" borderId="7" applyAlignment="1" pivotButton="0" quotePrefix="0" xfId="0">
      <alignment wrapText="1"/>
    </xf>
    <xf numFmtId="0" fontId="1" fillId="8" borderId="7" pivotButton="0" quotePrefix="0" xfId="0"/>
    <xf numFmtId="0" fontId="18" fillId="10" borderId="0" pivotButton="0" quotePrefix="0" xfId="0"/>
    <xf numFmtId="0" fontId="20" fillId="10" borderId="8" applyAlignment="1" pivotButton="0" quotePrefix="0" xfId="0">
      <alignment horizontal="right" wrapText="1"/>
    </xf>
    <xf numFmtId="0" fontId="20" fillId="10" borderId="12" applyAlignment="1" pivotButton="0" quotePrefix="0" xfId="0">
      <alignment horizontal="left" wrapText="1"/>
    </xf>
    <xf numFmtId="9" fontId="5" fillId="10" borderId="7" pivotButton="0" quotePrefix="0" xfId="0"/>
    <xf numFmtId="0" fontId="2" fillId="8" borderId="3" applyAlignment="1" pivotButton="0" quotePrefix="0" xfId="0">
      <alignment horizontal="right"/>
    </xf>
    <xf numFmtId="0" fontId="2" fillId="8" borderId="18" applyAlignment="1" pivotButton="0" quotePrefix="0" xfId="0">
      <alignment vertical="bottom"/>
    </xf>
    <xf numFmtId="0" fontId="2" fillId="8" borderId="3" applyAlignment="1" pivotButton="0" quotePrefix="0" xfId="0">
      <alignment wrapText="1"/>
    </xf>
    <xf numFmtId="0" fontId="1" fillId="8" borderId="2" pivotButton="0" quotePrefix="0" xfId="0"/>
    <xf numFmtId="0" fontId="2" fillId="8" borderId="2" applyAlignment="1" pivotButton="0" quotePrefix="0" xfId="0">
      <alignment horizontal="right" vertical="bottom"/>
    </xf>
    <xf numFmtId="9" fontId="5" fillId="11" borderId="2" pivotButton="0" quotePrefix="0" xfId="0"/>
    <xf numFmtId="0" fontId="5" fillId="11" borderId="2" pivotButton="0" quotePrefix="0" xfId="0"/>
    <xf numFmtId="0" fontId="2" fillId="10" borderId="3" applyAlignment="1" pivotButton="0" quotePrefix="0" xfId="0">
      <alignment wrapText="1"/>
    </xf>
    <xf numFmtId="0" fontId="2" fillId="8" borderId="8" applyAlignment="1" pivotButton="0" quotePrefix="0" xfId="0">
      <alignment horizontal="right" vertical="bottom"/>
    </xf>
    <xf numFmtId="0" fontId="21" fillId="8" borderId="17" applyAlignment="1" pivotButton="0" quotePrefix="0" xfId="0">
      <alignment vertical="bottom"/>
    </xf>
    <xf numFmtId="0" fontId="3" fillId="8" borderId="8" applyAlignment="1" pivotButton="0" quotePrefix="0" xfId="0">
      <alignment horizontal="center" vertical="bottom" wrapText="1"/>
    </xf>
    <xf numFmtId="0" fontId="2" fillId="8" borderId="7" applyAlignment="1" pivotButton="0" quotePrefix="0" xfId="0">
      <alignment vertical="bottom"/>
    </xf>
    <xf numFmtId="0" fontId="2" fillId="8" borderId="7" applyAlignment="1" pivotButton="0" quotePrefix="0" xfId="0">
      <alignment vertical="bottom" wrapText="1"/>
    </xf>
    <xf numFmtId="0" fontId="2" fillId="8" borderId="7" applyAlignment="1" pivotButton="0" quotePrefix="0" xfId="0">
      <alignment vertical="bottom" wrapText="1"/>
    </xf>
    <xf numFmtId="0" fontId="2" fillId="8" borderId="7" applyAlignment="1" pivotButton="0" quotePrefix="0" xfId="0">
      <alignment horizontal="right" vertical="bottom"/>
    </xf>
    <xf numFmtId="0" fontId="21" fillId="8" borderId="7" applyAlignment="1" pivotButton="0" quotePrefix="0" xfId="0">
      <alignment vertical="bottom"/>
    </xf>
    <xf numFmtId="0" fontId="2" fillId="8" borderId="7" applyAlignment="1" pivotButton="0" quotePrefix="0" xfId="0">
      <alignment horizontal="right" vertical="bottom" wrapText="1"/>
    </xf>
    <xf numFmtId="0" fontId="2" fillId="8" borderId="2" applyAlignment="1" pivotButton="0" quotePrefix="0" xfId="0">
      <alignment horizontal="right" vertical="bottom"/>
    </xf>
    <xf numFmtId="0" fontId="21" fillId="4" borderId="7" applyAlignment="1" pivotButton="0" quotePrefix="0" xfId="0">
      <alignment vertical="bottom"/>
    </xf>
    <xf numFmtId="9" fontId="21" fillId="5" borderId="7" applyAlignment="1" pivotButton="0" quotePrefix="0" xfId="0">
      <alignment horizontal="right" vertical="bottom"/>
    </xf>
    <xf numFmtId="2" fontId="21" fillId="5" borderId="7" applyAlignment="1" pivotButton="0" quotePrefix="0" xfId="0">
      <alignment horizontal="right" vertical="bottom"/>
    </xf>
    <xf numFmtId="0" fontId="21" fillId="5" borderId="7" applyAlignment="1" pivotButton="0" quotePrefix="0" xfId="0">
      <alignment vertical="bottom"/>
    </xf>
    <xf numFmtId="0" fontId="21" fillId="5" borderId="7" applyAlignment="1" pivotButton="0" quotePrefix="0" xfId="0">
      <alignment vertical="bottom"/>
    </xf>
    <xf numFmtId="0" fontId="21" fillId="5" borderId="10" applyAlignment="1" pivotButton="0" quotePrefix="0" xfId="0">
      <alignment vertical="bottom"/>
    </xf>
    <xf numFmtId="0" fontId="21" fillId="10" borderId="16" applyAlignment="1" pivotButton="0" quotePrefix="0" xfId="0">
      <alignment vertical="bottom"/>
    </xf>
    <xf numFmtId="0" fontId="21" fillId="10" borderId="5" applyAlignment="1" pivotButton="0" quotePrefix="0" xfId="0">
      <alignment horizontal="right" vertical="bottom"/>
    </xf>
    <xf numFmtId="0" fontId="2" fillId="10" borderId="4" applyAlignment="1" pivotButton="0" quotePrefix="0" xfId="0">
      <alignment vertical="bottom"/>
    </xf>
    <xf numFmtId="0" fontId="2" fillId="10" borderId="7" applyAlignment="1" pivotButton="0" quotePrefix="0" xfId="0">
      <alignment vertical="bottom" wrapText="1"/>
    </xf>
    <xf numFmtId="0" fontId="2" fillId="10" borderId="4" applyAlignment="1" pivotButton="0" quotePrefix="0" xfId="0">
      <alignment vertical="bottom" wrapText="1"/>
    </xf>
    <xf numFmtId="0" fontId="22" fillId="10" borderId="4" applyAlignment="1" pivotButton="0" quotePrefix="0" xfId="0">
      <alignment horizontal="right" vertical="bottom" wrapText="1"/>
    </xf>
    <xf numFmtId="0" fontId="2" fillId="10" borderId="4" applyAlignment="1" pivotButton="0" quotePrefix="0" xfId="0">
      <alignment horizontal="right" vertical="bottom"/>
    </xf>
    <xf numFmtId="0" fontId="21" fillId="10" borderId="4" applyAlignment="1" pivotButton="0" quotePrefix="0" xfId="0">
      <alignment vertical="bottom"/>
    </xf>
    <xf numFmtId="0" fontId="21" fillId="10" borderId="4" applyAlignment="1" pivotButton="0" quotePrefix="0" xfId="0">
      <alignment horizontal="right" vertical="bottom" wrapText="1"/>
    </xf>
    <xf numFmtId="0" fontId="21" fillId="4" borderId="4" applyAlignment="1" pivotButton="0" quotePrefix="0" xfId="0">
      <alignment vertical="bottom"/>
    </xf>
    <xf numFmtId="9" fontId="21" fillId="5" borderId="4" applyAlignment="1" pivotButton="0" quotePrefix="0" xfId="0">
      <alignment horizontal="right" vertical="bottom"/>
    </xf>
    <xf numFmtId="2" fontId="21" fillId="5" borderId="4" applyAlignment="1" pivotButton="0" quotePrefix="0" xfId="0">
      <alignment horizontal="right" vertical="bottom"/>
    </xf>
    <xf numFmtId="0" fontId="21" fillId="5" borderId="4" applyAlignment="1" pivotButton="0" quotePrefix="0" xfId="0">
      <alignment vertical="bottom"/>
    </xf>
    <xf numFmtId="0" fontId="21" fillId="5" borderId="4" applyAlignment="1" pivotButton="0" quotePrefix="0" xfId="0">
      <alignment vertical="bottom"/>
    </xf>
    <xf numFmtId="0" fontId="21" fillId="5" borderId="11" applyAlignment="1" pivotButton="0" quotePrefix="0" xfId="0">
      <alignment vertical="bottom"/>
    </xf>
    <xf numFmtId="0" fontId="3" fillId="8" borderId="7" applyAlignment="1" pivotButton="0" quotePrefix="0" xfId="0">
      <alignment vertical="bottom"/>
    </xf>
    <xf numFmtId="0" fontId="2" fillId="10" borderId="4" applyAlignment="1" pivotButton="0" quotePrefix="0" xfId="0">
      <alignment horizontal="right" vertical="bottom"/>
    </xf>
    <xf numFmtId="0" fontId="3" fillId="8" borderId="0" applyAlignment="1" pivotButton="0" quotePrefix="0" xfId="0">
      <alignment horizontal="center" vertical="center" wrapText="1"/>
    </xf>
    <xf numFmtId="0" fontId="18" fillId="8" borderId="0" pivotButton="0" quotePrefix="0" xfId="0"/>
    <xf numFmtId="0" fontId="5" fillId="0" borderId="0" pivotButton="0" quotePrefix="0" xfId="0"/>
    <xf numFmtId="0" fontId="2" fillId="5" borderId="0" applyAlignment="1" pivotButton="0" quotePrefix="0" xfId="0">
      <alignment wrapText="1"/>
    </xf>
    <xf numFmtId="0" fontId="3" fillId="5" borderId="0" applyAlignment="1" pivotButton="0" quotePrefix="0" xfId="0">
      <alignment horizontal="center" vertical="center" wrapText="1"/>
    </xf>
    <xf numFmtId="0" fontId="2" fillId="5" borderId="0" applyAlignment="1" pivotButton="0" quotePrefix="0" xfId="0">
      <alignment horizontal="right" vertical="bottom"/>
    </xf>
    <xf numFmtId="0" fontId="2" fillId="5" borderId="17" applyAlignment="1" pivotButton="0" quotePrefix="0" xfId="0">
      <alignment wrapText="1"/>
    </xf>
    <xf numFmtId="0" fontId="3" fillId="5" borderId="8" applyAlignment="1" pivotButton="0" quotePrefix="0" xfId="0">
      <alignment horizontal="center" vertical="center" wrapText="1"/>
    </xf>
    <xf numFmtId="0" fontId="2" fillId="5" borderId="7" applyAlignment="1" pivotButton="0" quotePrefix="0" xfId="0">
      <alignment wrapText="1"/>
    </xf>
    <xf numFmtId="0" fontId="2" fillId="5" borderId="7" applyAlignment="1" pivotButton="0" quotePrefix="0" xfId="0">
      <alignment vertical="bottom"/>
    </xf>
    <xf numFmtId="0" fontId="2" fillId="5" borderId="7" applyAlignment="1" pivotButton="0" quotePrefix="0" xfId="0">
      <alignment horizontal="right" vertical="bottom"/>
    </xf>
    <xf numFmtId="0" fontId="2" fillId="5" borderId="2" applyAlignment="1" pivotButton="0" quotePrefix="0" xfId="0">
      <alignment horizontal="right"/>
    </xf>
    <xf numFmtId="0" fontId="2" fillId="5" borderId="4" pivotButton="0" quotePrefix="0" xfId="0"/>
    <xf numFmtId="0" fontId="2" fillId="0" borderId="5" pivotButton="0" quotePrefix="0" xfId="0"/>
    <xf numFmtId="0" fontId="2" fillId="0" borderId="4" pivotButton="0" quotePrefix="0" xfId="0"/>
    <xf numFmtId="0" fontId="2" fillId="5" borderId="4" applyAlignment="1" pivotButton="0" quotePrefix="0" xfId="0">
      <alignment wrapText="1"/>
    </xf>
    <xf numFmtId="0" fontId="2" fillId="5" borderId="4" applyAlignment="1" pivotButton="0" quotePrefix="0" xfId="0">
      <alignment vertical="bottom"/>
    </xf>
    <xf numFmtId="0" fontId="2" fillId="5" borderId="4" applyAlignment="1" pivotButton="0" quotePrefix="0" xfId="0">
      <alignment horizontal="right" vertical="bottom"/>
    </xf>
    <xf numFmtId="0" fontId="2" fillId="11" borderId="17" applyAlignment="1" pivotButton="0" quotePrefix="0" xfId="0">
      <alignment wrapText="1"/>
    </xf>
    <xf numFmtId="0" fontId="3" fillId="11" borderId="8" applyAlignment="1" pivotButton="0" quotePrefix="0" xfId="0">
      <alignment horizontal="center" vertical="center" wrapText="1"/>
    </xf>
    <xf numFmtId="0" fontId="2" fillId="11" borderId="8" pivotButton="0" quotePrefix="0" xfId="0"/>
    <xf numFmtId="0" fontId="2" fillId="11" borderId="7" pivotButton="0" quotePrefix="0" xfId="0"/>
    <xf numFmtId="0" fontId="2" fillId="11" borderId="7" applyAlignment="1" pivotButton="0" quotePrefix="0" xfId="0">
      <alignment wrapText="1"/>
    </xf>
    <xf numFmtId="0" fontId="2" fillId="11" borderId="7" applyAlignment="1" pivotButton="0" quotePrefix="0" xfId="0">
      <alignment vertical="bottom"/>
    </xf>
    <xf numFmtId="0" fontId="2" fillId="11" borderId="7" applyAlignment="1" pivotButton="0" quotePrefix="0" xfId="0">
      <alignment horizontal="right" vertical="bottom"/>
    </xf>
    <xf numFmtId="0" fontId="2" fillId="11" borderId="2" applyAlignment="1" pivotButton="0" quotePrefix="0" xfId="0">
      <alignment horizontal="right"/>
    </xf>
    <xf numFmtId="0" fontId="2" fillId="11" borderId="16" applyAlignment="1" pivotButton="0" quotePrefix="0" xfId="0">
      <alignment wrapText="1"/>
    </xf>
    <xf numFmtId="0" fontId="2" fillId="11" borderId="5" pivotButton="0" quotePrefix="0" xfId="0"/>
    <xf numFmtId="0" fontId="2" fillId="11" borderId="4" pivotButton="0" quotePrefix="0" xfId="0"/>
    <xf numFmtId="0" fontId="2" fillId="11" borderId="4" applyAlignment="1" pivotButton="0" quotePrefix="0" xfId="0">
      <alignment wrapText="1"/>
    </xf>
    <xf numFmtId="0" fontId="2" fillId="11" borderId="4" applyAlignment="1" pivotButton="0" quotePrefix="0" xfId="0">
      <alignment vertical="bottom"/>
    </xf>
    <xf numFmtId="0" fontId="5" fillId="11" borderId="0" applyAlignment="1" pivotButton="0" quotePrefix="0" xfId="0">
      <alignment horizontal="right"/>
    </xf>
    <xf numFmtId="0" fontId="3" fillId="5" borderId="8" applyAlignment="1" pivotButton="0" quotePrefix="0" xfId="0">
      <alignment horizontal="center" wrapText="1"/>
    </xf>
    <xf numFmtId="0" fontId="2" fillId="5" borderId="8" pivotButton="0" quotePrefix="0" xfId="0"/>
    <xf numFmtId="0" fontId="2" fillId="5" borderId="7" pivotButton="0" quotePrefix="0" xfId="0"/>
    <xf numFmtId="0" fontId="2" fillId="5" borderId="16" applyAlignment="1" pivotButton="0" quotePrefix="0" xfId="0">
      <alignment wrapText="1"/>
    </xf>
    <xf numFmtId="0" fontId="2" fillId="5" borderId="5" pivotButton="0" quotePrefix="0" xfId="0"/>
    <xf numFmtId="0" fontId="23" fillId="7" borderId="0" pivotButton="0" quotePrefix="1" xfId="0"/>
    <xf numFmtId="0" fontId="5" fillId="13" borderId="0" applyAlignment="1" pivotButton="0" quotePrefix="0" xfId="0">
      <alignment horizontal="right" wrapText="1"/>
    </xf>
    <xf numFmtId="0" fontId="1" fillId="13" borderId="0" applyAlignment="1" pivotButton="0" quotePrefix="0" xfId="0">
      <alignment horizontal="center" wrapText="1"/>
    </xf>
    <xf numFmtId="0" fontId="5" fillId="13" borderId="0" applyAlignment="1" pivotButton="0" quotePrefix="0" xfId="0">
      <alignment horizontal="right"/>
    </xf>
    <xf numFmtId="0" fontId="2" fillId="13" borderId="7" applyAlignment="1" pivotButton="0" quotePrefix="0" xfId="0">
      <alignment wrapText="1"/>
    </xf>
    <xf numFmtId="0" fontId="2" fillId="13" borderId="0" applyAlignment="1" pivotButton="0" quotePrefix="0" xfId="0">
      <alignment wrapText="1"/>
    </xf>
    <xf numFmtId="0" fontId="5" fillId="13" borderId="0" applyAlignment="1" pivotButton="0" quotePrefix="0" xfId="0">
      <alignment horizontal="right" wrapText="1"/>
    </xf>
    <xf numFmtId="0" fontId="5" fillId="14" borderId="0" applyAlignment="1" pivotButton="0" quotePrefix="0" xfId="0">
      <alignment horizontal="right" wrapText="1"/>
    </xf>
    <xf numFmtId="0" fontId="5" fillId="13" borderId="0" applyAlignment="1" pivotButton="0" quotePrefix="0" xfId="0">
      <alignment horizontal="right"/>
    </xf>
    <xf numFmtId="0" fontId="5" fillId="5" borderId="0" applyAlignment="1" pivotButton="0" quotePrefix="0" xfId="0">
      <alignment horizontal="right" wrapText="1"/>
    </xf>
    <xf numFmtId="0" fontId="5" fillId="15" borderId="4" applyAlignment="1" pivotButton="0" quotePrefix="0" xfId="0">
      <alignment horizontal="right" wrapText="1"/>
    </xf>
    <xf numFmtId="0" fontId="5" fillId="5" borderId="0" applyAlignment="1" pivotButton="0" quotePrefix="0" xfId="0">
      <alignment horizontal="left" wrapText="1"/>
    </xf>
    <xf numFmtId="0" fontId="5" fillId="16" borderId="0" applyAlignment="1" pivotButton="0" quotePrefix="0" xfId="0">
      <alignment horizontal="left" wrapText="1"/>
    </xf>
    <xf numFmtId="0" fontId="5" fillId="16" borderId="0" applyAlignment="1" pivotButton="0" quotePrefix="0" xfId="0">
      <alignment horizontal="right" wrapText="1"/>
    </xf>
    <xf numFmtId="0" fontId="5" fillId="16" borderId="0" applyAlignment="1" pivotButton="0" quotePrefix="0" xfId="0">
      <alignment horizontal="right"/>
    </xf>
    <xf numFmtId="0" fontId="5" fillId="5" borderId="0" applyAlignment="1" pivotButton="0" quotePrefix="0" xfId="0">
      <alignment horizontal="right"/>
    </xf>
    <xf numFmtId="0" fontId="5" fillId="4" borderId="0" applyAlignment="1" pivotButton="0" quotePrefix="0" xfId="0">
      <alignment horizontal="right"/>
    </xf>
    <xf numFmtId="9" fontId="5" fillId="5" borderId="0" applyAlignment="1" pivotButton="0" quotePrefix="0" xfId="0">
      <alignment horizontal="right"/>
    </xf>
    <xf numFmtId="0" fontId="5" fillId="5" borderId="9" applyAlignment="1" pivotButton="0" quotePrefix="0" xfId="0">
      <alignment horizontal="right" wrapText="1"/>
    </xf>
    <xf numFmtId="0" fontId="1" fillId="5" borderId="12" applyAlignment="1" pivotButton="0" quotePrefix="0" xfId="0">
      <alignment horizontal="center" wrapText="1"/>
    </xf>
    <xf numFmtId="0" fontId="5" fillId="5" borderId="9" applyAlignment="1" pivotButton="0" quotePrefix="0" xfId="0">
      <alignment horizontal="right"/>
    </xf>
    <xf numFmtId="0" fontId="5" fillId="5" borderId="9" applyAlignment="1" pivotButton="0" quotePrefix="0" xfId="0">
      <alignment horizontal="left" wrapText="1"/>
    </xf>
    <xf numFmtId="0" fontId="2" fillId="5" borderId="9" applyAlignment="1" pivotButton="0" quotePrefix="0" xfId="0">
      <alignment wrapText="1"/>
    </xf>
    <xf numFmtId="0" fontId="5" fillId="5" borderId="9" applyAlignment="1" pivotButton="0" quotePrefix="0" xfId="0">
      <alignment horizontal="right" wrapText="1"/>
    </xf>
    <xf numFmtId="0" fontId="5" fillId="4" borderId="9" applyAlignment="1" pivotButton="0" quotePrefix="0" xfId="0">
      <alignment horizontal="right"/>
    </xf>
    <xf numFmtId="9" fontId="5" fillId="5" borderId="9" applyAlignment="1" pivotButton="0" quotePrefix="0" xfId="0">
      <alignment horizontal="right"/>
    </xf>
    <xf numFmtId="9" fontId="5" fillId="10" borderId="9" applyAlignment="1" pivotButton="0" quotePrefix="0" xfId="0">
      <alignment horizontal="right"/>
    </xf>
    <xf numFmtId="0" fontId="5" fillId="5" borderId="9" applyAlignment="1" pivotButton="0" quotePrefix="0" xfId="0">
      <alignment horizontal="right"/>
    </xf>
    <xf numFmtId="0" fontId="14" fillId="0" borderId="7" pivotButton="0" quotePrefix="0" xfId="0"/>
    <xf numFmtId="0" fontId="5" fillId="10" borderId="9" applyAlignment="1" pivotButton="0" quotePrefix="0" xfId="0">
      <alignment horizontal="right" wrapText="1"/>
    </xf>
    <xf numFmtId="0" fontId="5" fillId="0" borderId="9" applyAlignment="1" pivotButton="0" quotePrefix="0" xfId="0">
      <alignment horizontal="right"/>
    </xf>
    <xf numFmtId="0" fontId="5" fillId="4" borderId="9" applyAlignment="1" pivotButton="0" quotePrefix="0" xfId="0">
      <alignment horizontal="right" wrapText="1"/>
    </xf>
    <xf numFmtId="10" fontId="5" fillId="5" borderId="9" applyAlignment="1" pivotButton="0" quotePrefix="0" xfId="0">
      <alignment horizontal="right" wrapText="1"/>
    </xf>
    <xf numFmtId="0" fontId="5" fillId="10" borderId="0" applyAlignment="1" pivotButton="0" quotePrefix="0" xfId="0">
      <alignment horizontal="right"/>
    </xf>
    <xf numFmtId="0" fontId="5" fillId="11" borderId="17" applyAlignment="1" pivotButton="0" quotePrefix="0" xfId="0">
      <alignment horizontal="right" wrapText="1"/>
    </xf>
    <xf numFmtId="0" fontId="1" fillId="11" borderId="12" applyAlignment="1" pivotButton="0" quotePrefix="0" xfId="0">
      <alignment horizontal="center" wrapText="1"/>
    </xf>
    <xf numFmtId="0" fontId="5" fillId="4" borderId="7" applyAlignment="1" pivotButton="0" quotePrefix="0" xfId="0">
      <alignment horizontal="right"/>
    </xf>
    <xf numFmtId="10" fontId="5" fillId="11" borderId="7" applyAlignment="1" pivotButton="0" quotePrefix="0" xfId="0">
      <alignment horizontal="right"/>
    </xf>
    <xf numFmtId="9" fontId="5" fillId="11" borderId="7" applyAlignment="1" pivotButton="0" quotePrefix="0" xfId="0">
      <alignment horizontal="right"/>
    </xf>
    <xf numFmtId="0" fontId="5" fillId="11" borderId="7" applyAlignment="1" pivotButton="0" quotePrefix="0" xfId="0">
      <alignment horizontal="right"/>
    </xf>
    <xf numFmtId="0" fontId="5" fillId="11" borderId="10" applyAlignment="1" pivotButton="0" quotePrefix="0" xfId="0">
      <alignment horizontal="right"/>
    </xf>
    <xf numFmtId="0" fontId="5" fillId="11" borderId="9" applyAlignment="1" pivotButton="0" quotePrefix="0" xfId="0">
      <alignment horizontal="right"/>
    </xf>
    <xf numFmtId="0" fontId="14" fillId="0" borderId="8" pivotButton="0" quotePrefix="0" xfId="0"/>
    <xf numFmtId="0" fontId="5" fillId="11" borderId="9" applyAlignment="1" pivotButton="0" quotePrefix="0" xfId="0">
      <alignment horizontal="right" wrapText="1"/>
    </xf>
    <xf numFmtId="0" fontId="5" fillId="11" borderId="9" applyAlignment="1" pivotButton="0" quotePrefix="0" xfId="0">
      <alignment horizontal="left" wrapText="1"/>
    </xf>
    <xf numFmtId="9" fontId="5" fillId="11" borderId="9" applyAlignment="1" pivotButton="0" quotePrefix="0" xfId="0">
      <alignment horizontal="right" wrapText="1"/>
    </xf>
    <xf numFmtId="10" fontId="5" fillId="11" borderId="9" applyAlignment="1" pivotButton="0" quotePrefix="0" xfId="0">
      <alignment horizontal="right" wrapText="1"/>
    </xf>
    <xf numFmtId="0" fontId="5" fillId="11" borderId="0" applyAlignment="1" pivotButton="0" quotePrefix="0" xfId="0">
      <alignment horizontal="right"/>
    </xf>
    <xf numFmtId="0" fontId="5" fillId="11" borderId="9" applyAlignment="1" pivotButton="0" quotePrefix="0" xfId="0">
      <alignment horizontal="right"/>
    </xf>
    <xf numFmtId="0" fontId="5" fillId="17" borderId="9" applyAlignment="1" pivotButton="0" quotePrefix="0" xfId="0">
      <alignment horizontal="right" wrapText="1"/>
    </xf>
    <xf numFmtId="0" fontId="5" fillId="6" borderId="9" applyAlignment="1" pivotButton="0" quotePrefix="0" xfId="0">
      <alignment horizontal="right" wrapText="1"/>
    </xf>
    <xf numFmtId="0" fontId="5" fillId="11" borderId="9" applyAlignment="1" pivotButton="0" quotePrefix="0" xfId="0">
      <alignment horizontal="right" wrapText="1"/>
    </xf>
    <xf numFmtId="0" fontId="2" fillId="11" borderId="9" applyAlignment="1" pivotButton="0" quotePrefix="0" xfId="0">
      <alignment wrapText="1"/>
    </xf>
    <xf numFmtId="9" fontId="5" fillId="11" borderId="9" applyAlignment="1" pivotButton="0" quotePrefix="0" xfId="0">
      <alignment horizontal="right"/>
    </xf>
    <xf numFmtId="0" fontId="5" fillId="11" borderId="16" applyAlignment="1" pivotButton="0" quotePrefix="0" xfId="0">
      <alignment horizontal="right"/>
    </xf>
    <xf numFmtId="0" fontId="5" fillId="18" borderId="0" applyAlignment="1" pivotButton="0" quotePrefix="0" xfId="0">
      <alignment horizontal="right"/>
    </xf>
    <xf numFmtId="0" fontId="5" fillId="4" borderId="4" applyAlignment="1" pivotButton="0" quotePrefix="0" xfId="0">
      <alignment horizontal="right" wrapText="1"/>
    </xf>
    <xf numFmtId="9" fontId="5" fillId="11" borderId="4" applyAlignment="1" pivotButton="0" quotePrefix="0" xfId="0">
      <alignment horizontal="right" wrapText="1"/>
    </xf>
    <xf numFmtId="10" fontId="5" fillId="11" borderId="4" applyAlignment="1" pivotButton="0" quotePrefix="0" xfId="0">
      <alignment horizontal="right" wrapText="1"/>
    </xf>
    <xf numFmtId="0" fontId="5" fillId="11" borderId="4" applyAlignment="1" pivotButton="0" quotePrefix="0" xfId="0">
      <alignment horizontal="right"/>
    </xf>
    <xf numFmtId="0" fontId="5" fillId="11" borderId="4" applyAlignment="1" pivotButton="0" quotePrefix="0" xfId="0">
      <alignment horizontal="right"/>
    </xf>
    <xf numFmtId="0" fontId="5" fillId="11" borderId="11" applyAlignment="1" pivotButton="0" quotePrefix="0" xfId="0">
      <alignment horizontal="right"/>
    </xf>
    <xf numFmtId="0" fontId="5" fillId="5" borderId="17" applyAlignment="1" pivotButton="0" quotePrefix="0" xfId="0">
      <alignment horizontal="right" wrapText="1"/>
    </xf>
    <xf numFmtId="0" fontId="2" fillId="5" borderId="7" applyAlignment="1" pivotButton="0" quotePrefix="0" xfId="0">
      <alignment horizontal="right"/>
    </xf>
    <xf numFmtId="9" fontId="5" fillId="5" borderId="7" applyAlignment="1" pivotButton="0" quotePrefix="0" xfId="0">
      <alignment horizontal="right"/>
    </xf>
    <xf numFmtId="10" fontId="5" fillId="5" borderId="7" applyAlignment="1" pivotButton="0" quotePrefix="0" xfId="0">
      <alignment horizontal="right"/>
    </xf>
    <xf numFmtId="9" fontId="5" fillId="10" borderId="7" applyAlignment="1" pivotButton="0" quotePrefix="0" xfId="0">
      <alignment horizontal="right"/>
    </xf>
    <xf numFmtId="0" fontId="5" fillId="5" borderId="7" applyAlignment="1" pivotButton="0" quotePrefix="0" xfId="0">
      <alignment horizontal="right"/>
    </xf>
    <xf numFmtId="0" fontId="5" fillId="5" borderId="10" applyAlignment="1" pivotButton="0" quotePrefix="0" xfId="0">
      <alignment horizontal="right"/>
    </xf>
    <xf numFmtId="0" fontId="5" fillId="5" borderId="16" applyAlignment="1" pivotButton="0" quotePrefix="0" xfId="0">
      <alignment horizontal="right"/>
    </xf>
    <xf numFmtId="0" fontId="5" fillId="17" borderId="19" applyAlignment="1" pivotButton="0" quotePrefix="0" xfId="0">
      <alignment horizontal="right" wrapText="1"/>
    </xf>
    <xf numFmtId="0" fontId="5" fillId="17" borderId="20" applyAlignment="1" pivotButton="0" quotePrefix="0" xfId="0">
      <alignment horizontal="right" wrapText="1"/>
    </xf>
    <xf numFmtId="0" fontId="5" fillId="6" borderId="4" applyAlignment="1" pivotButton="0" quotePrefix="0" xfId="0">
      <alignment horizontal="right" wrapText="1"/>
    </xf>
    <xf numFmtId="0" fontId="5" fillId="5" borderId="4" applyAlignment="1" pivotButton="0" quotePrefix="0" xfId="0">
      <alignment horizontal="right"/>
    </xf>
    <xf numFmtId="0" fontId="5" fillId="5" borderId="11" applyAlignment="1" pivotButton="0" quotePrefix="0" xfId="0">
      <alignment horizontal="right"/>
    </xf>
    <xf numFmtId="0" fontId="2" fillId="11" borderId="7" applyAlignment="1" pivotButton="0" quotePrefix="0" xfId="0">
      <alignment horizontal="right"/>
    </xf>
    <xf numFmtId="0" fontId="5" fillId="5" borderId="19" applyAlignment="1" pivotButton="0" quotePrefix="0" xfId="0">
      <alignment horizontal="right" wrapText="1"/>
    </xf>
    <xf numFmtId="0" fontId="5" fillId="18" borderId="4" applyAlignment="1" pivotButton="0" quotePrefix="0" xfId="0">
      <alignment horizontal="right" wrapText="1"/>
    </xf>
    <xf numFmtId="0" fontId="2" fillId="10" borderId="7" applyAlignment="1" pivotButton="0" quotePrefix="0" xfId="0">
      <alignment horizontal="right"/>
    </xf>
    <xf numFmtId="10" fontId="5" fillId="5" borderId="4" applyAlignment="1" pivotButton="0" quotePrefix="0" xfId="0">
      <alignment horizontal="right" wrapText="1"/>
    </xf>
    <xf numFmtId="4" fontId="5" fillId="5" borderId="7" applyAlignment="1" pivotButton="0" quotePrefix="0" xfId="0">
      <alignment horizontal="right"/>
    </xf>
    <xf numFmtId="0" fontId="5" fillId="10" borderId="4" applyAlignment="1" pivotButton="0" quotePrefix="0" xfId="0">
      <alignment horizontal="right"/>
    </xf>
    <xf numFmtId="0" fontId="5" fillId="11" borderId="17" applyAlignment="1" pivotButton="0" quotePrefix="0" xfId="0">
      <alignment horizontal="right"/>
    </xf>
    <xf numFmtId="0" fontId="18" fillId="11" borderId="7" applyAlignment="1" pivotButton="0" quotePrefix="0" xfId="0">
      <alignment horizontal="right"/>
    </xf>
    <xf numFmtId="0" fontId="2" fillId="5" borderId="7" applyAlignment="1" pivotButton="0" quotePrefix="0" xfId="0">
      <alignment horizontal="right" vertical="bottom"/>
    </xf>
    <xf numFmtId="9" fontId="5" fillId="5" borderId="4" applyAlignment="1" pivotButton="0" quotePrefix="0" xfId="0">
      <alignment horizontal="right" wrapText="1"/>
    </xf>
    <xf numFmtId="9" fontId="5" fillId="10" borderId="4" applyAlignment="1" pivotButton="0" quotePrefix="0" xfId="0">
      <alignment horizontal="right" wrapText="1"/>
    </xf>
    <xf numFmtId="0" fontId="2" fillId="5" borderId="2" applyAlignment="1" pivotButton="0" quotePrefix="0" xfId="0">
      <alignment horizontal="right" vertical="bottom"/>
    </xf>
    <xf numFmtId="0" fontId="2" fillId="11" borderId="2" applyAlignment="1" pivotButton="0" quotePrefix="0" xfId="0">
      <alignment horizontal="right" vertical="bottom"/>
    </xf>
    <xf numFmtId="0" fontId="2" fillId="15" borderId="7" applyAlignment="1" pivotButton="0" quotePrefix="0" xfId="0">
      <alignment wrapText="1"/>
    </xf>
    <xf numFmtId="4" fontId="5" fillId="11" borderId="7" applyAlignment="1" pivotButton="0" quotePrefix="0" xfId="0">
      <alignment horizontal="right"/>
    </xf>
    <xf numFmtId="0" fontId="2" fillId="5" borderId="7" applyAlignment="1" pivotButton="0" quotePrefix="0" xfId="0">
      <alignment horizontal="right"/>
    </xf>
    <xf numFmtId="0" fontId="2" fillId="11" borderId="7" applyAlignment="1" pivotButton="0" quotePrefix="0" xfId="0">
      <alignment horizontal="right"/>
    </xf>
    <xf numFmtId="0" fontId="5" fillId="19" borderId="7" applyAlignment="1" pivotButton="0" quotePrefix="0" xfId="0">
      <alignment horizontal="right"/>
    </xf>
    <xf numFmtId="0" fontId="2" fillId="11" borderId="5" applyAlignment="1" pivotButton="0" quotePrefix="0" xfId="0">
      <alignment wrapText="1"/>
    </xf>
    <xf numFmtId="0" fontId="5" fillId="16" borderId="0" applyAlignment="1" pivotButton="0" quotePrefix="0" xfId="0">
      <alignment horizontal="right"/>
    </xf>
    <xf numFmtId="0" fontId="5" fillId="0" borderId="4" applyAlignment="1" pivotButton="0" quotePrefix="0" xfId="0">
      <alignment horizontal="right" wrapText="1"/>
    </xf>
    <xf numFmtId="0" fontId="5" fillId="0" borderId="0" applyAlignment="1" pivotButton="0" quotePrefix="0" xfId="0">
      <alignment horizontal="right"/>
    </xf>
    <xf numFmtId="0" fontId="5" fillId="0" borderId="0" applyAlignment="1" pivotButton="0" quotePrefix="0" xfId="0">
      <alignment horizontal="right"/>
    </xf>
    <xf numFmtId="0" fontId="5" fillId="0" borderId="9" applyAlignment="1" pivotButton="0" quotePrefix="0" xfId="0">
      <alignment horizontal="right"/>
    </xf>
    <xf numFmtId="0" fontId="5" fillId="0" borderId="12" applyAlignment="1" pivotButton="0" quotePrefix="0" xfId="0">
      <alignment horizontal="center"/>
    </xf>
    <xf numFmtId="9" fontId="5" fillId="8" borderId="9" applyAlignment="1" pivotButton="0" quotePrefix="0" xfId="0">
      <alignment horizontal="right"/>
    </xf>
    <xf numFmtId="10" fontId="5" fillId="8" borderId="9" applyAlignment="1" pivotButton="0" quotePrefix="0" xfId="0">
      <alignment horizontal="right"/>
    </xf>
    <xf numFmtId="9" fontId="5" fillId="0" borderId="9" applyAlignment="1" pivotButton="0" quotePrefix="0" xfId="0">
      <alignment horizontal="right"/>
    </xf>
    <xf numFmtId="10" fontId="5" fillId="0" borderId="9" applyAlignment="1" pivotButton="0" quotePrefix="0" xfId="0">
      <alignment horizontal="right"/>
    </xf>
    <xf numFmtId="0" fontId="5" fillId="0" borderId="9" pivotButton="0" quotePrefix="0" xfId="0"/>
    <xf numFmtId="0" fontId="5" fillId="11" borderId="12" applyAlignment="1" pivotButton="0" quotePrefix="0" xfId="0">
      <alignment horizontal="center"/>
    </xf>
    <xf numFmtId="0" fontId="21" fillId="11" borderId="9" applyAlignment="1" pivotButton="0" quotePrefix="0" xfId="0">
      <alignment horizontal="right" vertical="bottom"/>
    </xf>
    <xf numFmtId="0" fontId="21" fillId="11" borderId="9" applyAlignment="1" pivotButton="0" quotePrefix="0" xfId="0">
      <alignment horizontal="right" vertical="bottom"/>
    </xf>
    <xf numFmtId="0" fontId="5" fillId="11" borderId="9" pivotButton="0" quotePrefix="0" xfId="0"/>
    <xf numFmtId="0" fontId="21" fillId="0" borderId="9" applyAlignment="1" pivotButton="0" quotePrefix="0" xfId="0">
      <alignment horizontal="right" vertical="bottom"/>
    </xf>
    <xf numFmtId="0" fontId="21" fillId="0" borderId="9" applyAlignment="1" pivotButton="0" quotePrefix="0" xfId="0">
      <alignment horizontal="right" vertical="bottom"/>
    </xf>
    <xf numFmtId="0" fontId="24" fillId="0" borderId="9" applyAlignment="1" pivotButton="0" quotePrefix="0" xfId="0">
      <alignment horizontal="right"/>
    </xf>
    <xf numFmtId="0" fontId="24" fillId="11" borderId="9" applyAlignment="1" pivotButton="0" quotePrefix="0" xfId="0">
      <alignment horizontal="right"/>
    </xf>
    <xf numFmtId="0" fontId="5" fillId="0" borderId="9" applyAlignment="1" pivotButton="0" quotePrefix="0" xfId="0">
      <alignment horizontal="right" wrapText="1"/>
    </xf>
    <xf numFmtId="0" fontId="5" fillId="0" borderId="9" applyAlignment="1" pivotButton="0" quotePrefix="0" xfId="0">
      <alignment horizontal="right" wrapText="1"/>
    </xf>
    <xf numFmtId="0" fontId="5" fillId="6" borderId="9" applyAlignment="1" pivotButton="0" quotePrefix="0" xfId="0">
      <alignment horizontal="right"/>
    </xf>
    <xf numFmtId="0" fontId="5" fillId="0" borderId="0" applyAlignment="1" pivotButton="0" quotePrefix="0" xfId="0">
      <alignment horizontal="right" wrapText="1"/>
    </xf>
    <xf numFmtId="0" fontId="25" fillId="11" borderId="12" applyAlignment="1" pivotButton="0" quotePrefix="0" xfId="0">
      <alignment horizontal="center" vertical="center"/>
    </xf>
    <xf numFmtId="0" fontId="5" fillId="0" borderId="0" applyAlignment="1" pivotButton="0" quotePrefix="0" xfId="0">
      <alignment horizontal="center"/>
    </xf>
    <xf numFmtId="9" fontId="5" fillId="0" borderId="0" applyAlignment="1" pivotButton="0" quotePrefix="0" xfId="0">
      <alignment horizontal="right"/>
    </xf>
    <xf numFmtId="0" fontId="5" fillId="0" borderId="1" applyAlignment="1" pivotButton="0" quotePrefix="0" xfId="0">
      <alignment horizontal="right"/>
    </xf>
    <xf numFmtId="0" fontId="5" fillId="0" borderId="1" applyAlignment="1" pivotButton="0" quotePrefix="0" xfId="0">
      <alignment horizontal="right"/>
    </xf>
    <xf numFmtId="0" fontId="5" fillId="0" borderId="6" applyAlignment="1" pivotButton="0" quotePrefix="0" xfId="0">
      <alignment horizontal="right"/>
    </xf>
    <xf numFmtId="0" fontId="5" fillId="11" borderId="0" applyAlignment="1" pivotButton="0" quotePrefix="0" xfId="0">
      <alignment horizontal="center"/>
    </xf>
    <xf numFmtId="0" fontId="5" fillId="11" borderId="0" applyAlignment="1" pivotButton="0" quotePrefix="0" xfId="0">
      <alignment horizontal="right"/>
    </xf>
    <xf numFmtId="9" fontId="5" fillId="11" borderId="0" applyAlignment="1" pivotButton="0" quotePrefix="0" xfId="0">
      <alignment horizontal="right"/>
    </xf>
    <xf numFmtId="0" fontId="21" fillId="11" borderId="0" applyAlignment="1" pivotButton="0" quotePrefix="0" xfId="0">
      <alignment horizontal="right" vertical="bottom"/>
    </xf>
    <xf numFmtId="0" fontId="21" fillId="11" borderId="0" applyAlignment="1" pivotButton="0" quotePrefix="0" xfId="0">
      <alignment horizontal="right" vertical="bottom"/>
    </xf>
    <xf numFmtId="0" fontId="21" fillId="11" borderId="6" applyAlignment="1" pivotButton="0" quotePrefix="0" xfId="0">
      <alignment horizontal="right" vertical="bottom"/>
    </xf>
    <xf numFmtId="0" fontId="21" fillId="0" borderId="0" applyAlignment="1" pivotButton="0" quotePrefix="0" xfId="0">
      <alignment horizontal="right" vertical="bottom"/>
    </xf>
    <xf numFmtId="0" fontId="21" fillId="0" borderId="0" applyAlignment="1" pivotButton="0" quotePrefix="0" xfId="0">
      <alignment horizontal="right" vertical="bottom"/>
    </xf>
    <xf numFmtId="0" fontId="21" fillId="0" borderId="6" applyAlignment="1" pivotButton="0" quotePrefix="0" xfId="0">
      <alignment horizontal="right" vertical="bottom"/>
    </xf>
    <xf numFmtId="0" fontId="5" fillId="11" borderId="0" applyAlignment="1" pivotButton="0" quotePrefix="0" xfId="0">
      <alignment horizontal="right" wrapText="1"/>
    </xf>
    <xf numFmtId="0" fontId="5" fillId="11" borderId="0" applyAlignment="1" pivotButton="0" quotePrefix="0" xfId="0">
      <alignment horizontal="right" wrapText="1"/>
    </xf>
    <xf numFmtId="0" fontId="5" fillId="11" borderId="6" applyAlignment="1" pivotButton="0" quotePrefix="0" xfId="0">
      <alignment horizontal="right" wrapText="1"/>
    </xf>
    <xf numFmtId="0" fontId="26" fillId="0" borderId="12" applyAlignment="1" pivotButton="0" quotePrefix="0" xfId="0">
      <alignment horizontal="center" vertical="center"/>
    </xf>
    <xf numFmtId="0" fontId="5" fillId="6" borderId="0" applyAlignment="1" pivotButton="0" quotePrefix="0" xfId="0">
      <alignment horizontal="right"/>
    </xf>
    <xf numFmtId="0" fontId="27" fillId="0" borderId="0" pivotButton="0" quotePrefix="0" xfId="0"/>
    <xf numFmtId="0" fontId="5" fillId="14" borderId="0" applyAlignment="1" pivotButton="0" quotePrefix="0" xfId="0">
      <alignment horizontal="right"/>
    </xf>
    <xf numFmtId="0" fontId="26" fillId="11" borderId="12" applyAlignment="1" pivotButton="0" quotePrefix="0" xfId="0">
      <alignment horizontal="center" vertical="center"/>
    </xf>
    <xf numFmtId="0" fontId="21" fillId="8" borderId="9" applyAlignment="1" pivotButton="0" quotePrefix="0" xfId="0">
      <alignment horizontal="right" vertical="bottom"/>
    </xf>
    <xf numFmtId="0" fontId="5" fillId="8" borderId="12" applyAlignment="1" pivotButton="0" quotePrefix="0" xfId="0">
      <alignment horizontal="center"/>
    </xf>
    <xf numFmtId="0" fontId="26" fillId="8" borderId="12" applyAlignment="1" pivotButton="0" quotePrefix="0" xfId="0">
      <alignment horizontal="center" vertical="center"/>
    </xf>
    <xf numFmtId="0" fontId="5" fillId="0" borderId="0" applyAlignment="1" pivotButton="0" quotePrefix="0" xfId="0">
      <alignment wrapText="1"/>
    </xf>
    <xf numFmtId="0" fontId="1" fillId="0" borderId="0" applyAlignment="1" pivotButton="0" quotePrefix="0" xfId="0">
      <alignment wrapText="1"/>
    </xf>
    <xf numFmtId="0" fontId="1" fillId="0" borderId="0" pivotButton="0" quotePrefix="0" xfId="0"/>
    <xf numFmtId="0" fontId="28" fillId="0" borderId="0" pivotButton="0" quotePrefix="0" xfId="0"/>
    <xf numFmtId="0" fontId="5" fillId="0" borderId="0" pivotButton="0" quotePrefix="0" xfId="0"/>
    <xf numFmtId="0" fontId="29" fillId="0" borderId="0" pivotButton="0" quotePrefix="0" xfId="0"/>
    <xf numFmtId="0" fontId="30" fillId="0" borderId="0" pivotButton="0" quotePrefix="0" xfId="0"/>
    <xf numFmtId="0" fontId="1" fillId="6" borderId="0" applyAlignment="1" pivotButton="0" quotePrefix="0" xfId="0">
      <alignment wrapText="1"/>
    </xf>
    <xf numFmtId="9" fontId="5" fillId="5" borderId="2" pivotButton="0" quotePrefix="0" xfId="0"/>
    <xf numFmtId="0" fontId="5" fillId="20" borderId="2" applyAlignment="1" pivotButton="0" quotePrefix="0" xfId="0">
      <alignment wrapText="1"/>
    </xf>
    <xf numFmtId="0" fontId="5" fillId="9" borderId="2" pivotButton="0" quotePrefix="0" xfId="0"/>
    <xf numFmtId="0" fontId="5" fillId="9" borderId="2" pivotButton="0" quotePrefix="0" xfId="0"/>
    <xf numFmtId="0" fontId="1" fillId="5" borderId="5" applyAlignment="1" pivotButton="0" quotePrefix="0" xfId="0">
      <alignment horizontal="center" wrapText="1"/>
    </xf>
    <xf numFmtId="0" fontId="15" fillId="6" borderId="4" pivotButton="0" quotePrefix="0" xfId="0"/>
    <xf numFmtId="0" fontId="5" fillId="6" borderId="4" applyAlignment="1" pivotButton="0" quotePrefix="0" xfId="0">
      <alignment wrapText="1"/>
    </xf>
    <xf numFmtId="0" fontId="1" fillId="11" borderId="5" applyAlignment="1" pivotButton="0" quotePrefix="0" xfId="0">
      <alignment horizontal="center" wrapText="1"/>
    </xf>
    <xf numFmtId="9" fontId="5" fillId="5" borderId="2" pivotButton="0" quotePrefix="0" xfId="0"/>
    <xf numFmtId="0" fontId="5" fillId="20" borderId="2" pivotButton="0" quotePrefix="0" xfId="0"/>
    <xf numFmtId="0" fontId="5" fillId="4" borderId="2" pivotButton="0" quotePrefix="0" xfId="0"/>
    <xf numFmtId="0" fontId="5" fillId="20" borderId="4" pivotButton="0" quotePrefix="0" xfId="0"/>
    <xf numFmtId="0" fontId="5" fillId="20" borderId="7" pivotButton="0" quotePrefix="0" xfId="0"/>
    <xf numFmtId="0" fontId="5" fillId="4" borderId="7" pivotButton="0" quotePrefix="0" xfId="0"/>
    <xf numFmtId="9" fontId="5" fillId="11" borderId="4" pivotButton="0" quotePrefix="0" xfId="0"/>
    <xf numFmtId="0" fontId="2" fillId="5" borderId="7" applyAlignment="1" pivotButton="0" quotePrefix="0" xfId="0">
      <alignment vertical="bottom"/>
    </xf>
    <xf numFmtId="9" fontId="2" fillId="5" borderId="7" applyAlignment="1" pivotButton="0" quotePrefix="0" xfId="0">
      <alignment vertical="bottom"/>
    </xf>
    <xf numFmtId="0" fontId="5" fillId="20" borderId="0" pivotButton="0" quotePrefix="0" xfId="0"/>
    <xf numFmtId="4" fontId="5" fillId="20" borderId="4" pivotButton="0" quotePrefix="0" xfId="0"/>
    <xf numFmtId="0" fontId="2" fillId="5" borderId="4" applyAlignment="1" pivotButton="0" quotePrefix="0" xfId="0">
      <alignment vertical="bottom"/>
    </xf>
    <xf numFmtId="0" fontId="5" fillId="5" borderId="6" pivotButton="0" quotePrefix="0" xfId="0"/>
    <xf numFmtId="9" fontId="2" fillId="5" borderId="4" applyAlignment="1" pivotButton="0" quotePrefix="0" xfId="0">
      <alignment vertical="bottom"/>
    </xf>
    <xf numFmtId="0" fontId="2" fillId="11" borderId="7" applyAlignment="1" pivotButton="0" quotePrefix="0" xfId="0">
      <alignment vertical="bottom"/>
    </xf>
    <xf numFmtId="0" fontId="5" fillId="11" borderId="0" pivotButton="0" quotePrefix="0" xfId="0"/>
    <xf numFmtId="9" fontId="2" fillId="11" borderId="7" applyAlignment="1" pivotButton="0" quotePrefix="0" xfId="0">
      <alignment vertical="bottom"/>
    </xf>
    <xf numFmtId="0" fontId="2" fillId="11" borderId="4" applyAlignment="1" pivotButton="0" quotePrefix="0" xfId="0">
      <alignment vertical="bottom"/>
    </xf>
    <xf numFmtId="0" fontId="5" fillId="11" borderId="6" pivotButton="0" quotePrefix="0" xfId="0"/>
    <xf numFmtId="9" fontId="2" fillId="11" borderId="4" applyAlignment="1" pivotButton="0" quotePrefix="0" xfId="0">
      <alignment vertical="bottom"/>
    </xf>
    <xf numFmtId="9" fontId="5" fillId="0" borderId="0" pivotButton="0" quotePrefix="0" xfId="0"/>
    <xf numFmtId="0" fontId="1" fillId="0" borderId="0" applyAlignment="1" pivotButton="0" quotePrefix="0" xfId="0">
      <alignment wrapText="1"/>
    </xf>
    <xf numFmtId="0" fontId="1" fillId="0" borderId="0" pivotButton="0" quotePrefix="0" xfId="0"/>
    <xf numFmtId="0" fontId="5" fillId="6" borderId="0" applyAlignment="1" pivotButton="0" quotePrefix="0" xfId="0">
      <alignment wrapText="1"/>
    </xf>
    <xf numFmtId="0" fontId="16" fillId="0" borderId="0" pivotButton="0" quotePrefix="0" xfId="0"/>
    <xf numFmtId="0" fontId="15" fillId="0" borderId="4" pivotButton="0" quotePrefix="0" xfId="0"/>
    <xf numFmtId="0" fontId="5" fillId="0" borderId="4" applyAlignment="1" pivotButton="0" quotePrefix="0" xfId="0">
      <alignment wrapText="1"/>
    </xf>
    <xf numFmtId="9" fontId="5" fillId="5" borderId="7" pivotButton="0" quotePrefix="0" xfId="0"/>
    <xf numFmtId="0" fontId="5" fillId="6" borderId="7" pivotButton="0" quotePrefix="0" xfId="0"/>
    <xf numFmtId="9" fontId="5" fillId="11" borderId="7" pivotButton="0" quotePrefix="0" xfId="0"/>
    <xf numFmtId="9" fontId="5" fillId="5" borderId="4" pivotButton="0" quotePrefix="0" xfId="0"/>
    <xf numFmtId="0" fontId="3" fillId="5" borderId="8" applyAlignment="1" pivotButton="0" quotePrefix="0" xfId="0">
      <alignment horizontal="center"/>
    </xf>
    <xf numFmtId="9" fontId="2" fillId="5" borderId="4" applyAlignment="1" pivotButton="0" quotePrefix="0" xfId="0">
      <alignment vertical="bottom"/>
    </xf>
    <xf numFmtId="0" fontId="3" fillId="11" borderId="8" applyAlignment="1" pivotButton="0" quotePrefix="0" xfId="0">
      <alignment horizontal="center"/>
    </xf>
    <xf numFmtId="0" fontId="2" fillId="11" borderId="4" applyAlignment="1" pivotButton="0" quotePrefix="0" xfId="0">
      <alignment horizontal="right" vertical="bottom"/>
    </xf>
    <xf numFmtId="9" fontId="2" fillId="11" borderId="4" applyAlignment="1" pivotButton="0" quotePrefix="0" xfId="0">
      <alignment vertical="bottom"/>
    </xf>
    <xf numFmtId="0" fontId="2" fillId="5" borderId="9" applyAlignment="1" pivotButton="0" quotePrefix="0" xfId="0">
      <alignment horizontal="right" vertical="bottom"/>
    </xf>
    <xf numFmtId="9" fontId="2" fillId="11" borderId="7" applyAlignment="1" pivotButton="0" quotePrefix="0" xfId="0">
      <alignment vertical="bottom"/>
    </xf>
    <xf numFmtId="0" fontId="2" fillId="11" borderId="12" applyAlignment="1" pivotButton="0" quotePrefix="0" xfId="0">
      <alignment vertical="bottom"/>
    </xf>
    <xf numFmtId="0" fontId="2" fillId="11" borderId="12" applyAlignment="1" pivotButton="0" quotePrefix="0" xfId="0">
      <alignment horizontal="right" vertical="bottom"/>
    </xf>
    <xf numFmtId="0" fontId="2" fillId="18" borderId="12" applyAlignment="1" pivotButton="0" quotePrefix="0" xfId="0">
      <alignment vertical="bottom"/>
    </xf>
    <xf numFmtId="0" fontId="4" fillId="11" borderId="12" applyAlignment="1" pivotButton="0" quotePrefix="0" xfId="0">
      <alignment horizontal="right" wrapText="1"/>
    </xf>
    <xf numFmtId="0" fontId="5" fillId="11" borderId="12" pivotButton="0" quotePrefix="0" xfId="0"/>
    <xf numFmtId="9" fontId="2" fillId="11" borderId="12" applyAlignment="1" pivotButton="0" quotePrefix="0" xfId="0">
      <alignment vertical="bottom"/>
    </xf>
    <xf numFmtId="0" fontId="5" fillId="5" borderId="14" applyAlignment="1" pivotButton="0" quotePrefix="0" xfId="0">
      <alignment wrapText="1"/>
    </xf>
    <xf numFmtId="0" fontId="3" fillId="5" borderId="3" applyAlignment="1" pivotButton="0" quotePrefix="0" xfId="0">
      <alignment horizontal="center"/>
    </xf>
    <xf numFmtId="0" fontId="2" fillId="5" borderId="2" applyAlignment="1" pivotButton="0" quotePrefix="0" xfId="0">
      <alignment vertical="bottom"/>
    </xf>
    <xf numFmtId="0" fontId="5" fillId="5" borderId="16" applyAlignment="1" pivotButton="0" quotePrefix="0" xfId="0">
      <alignment wrapText="1"/>
    </xf>
    <xf numFmtId="0" fontId="2" fillId="5" borderId="9" applyAlignment="1" pivotButton="0" quotePrefix="0" xfId="0">
      <alignment vertical="bottom"/>
    </xf>
    <xf numFmtId="0" fontId="5" fillId="5" borderId="12" applyAlignment="1" pivotButton="0" quotePrefix="0" xfId="0">
      <alignment wrapText="1"/>
    </xf>
    <xf numFmtId="0" fontId="2" fillId="11" borderId="9" applyAlignment="1" pivotButton="0" quotePrefix="0" xfId="0">
      <alignment vertical="bottom"/>
    </xf>
    <xf numFmtId="0" fontId="3" fillId="11" borderId="3" applyAlignment="1" pivotButton="0" quotePrefix="0" xfId="0">
      <alignment horizontal="center"/>
    </xf>
    <xf numFmtId="0" fontId="2" fillId="11" borderId="9" applyAlignment="1" pivotButton="0" quotePrefix="0" xfId="0">
      <alignment vertical="bottom"/>
    </xf>
    <xf numFmtId="0" fontId="5" fillId="11" borderId="12" applyAlignment="1" pivotButton="0" quotePrefix="0" xfId="0">
      <alignment wrapText="1"/>
    </xf>
    <xf numFmtId="0" fontId="2" fillId="11" borderId="9" applyAlignment="1" pivotButton="0" quotePrefix="0" xfId="0">
      <alignment horizontal="right" vertical="bottom"/>
    </xf>
    <xf numFmtId="9" fontId="2" fillId="11" borderId="9" applyAlignment="1" pivotButton="0" quotePrefix="0" xfId="0">
      <alignment vertical="bottom"/>
    </xf>
    <xf numFmtId="4" fontId="2" fillId="11" borderId="9" applyAlignment="1" pivotButton="0" quotePrefix="0" xfId="0">
      <alignment vertical="bottom"/>
    </xf>
    <xf numFmtId="0" fontId="2" fillId="5" borderId="4" applyAlignment="1" pivotButton="0" quotePrefix="0" xfId="0">
      <alignment horizontal="right"/>
    </xf>
    <xf numFmtId="0" fontId="5" fillId="6" borderId="4" pivotButton="0" quotePrefix="0" xfId="0"/>
    <xf numFmtId="0" fontId="3" fillId="11" borderId="8" applyAlignment="1" pivotButton="0" quotePrefix="0" xfId="0">
      <alignment horizontal="center" wrapText="1"/>
    </xf>
    <xf numFmtId="0" fontId="2" fillId="11" borderId="4" applyAlignment="1" pivotButton="0" quotePrefix="0" xfId="0">
      <alignment horizontal="right"/>
    </xf>
    <xf numFmtId="0" fontId="2" fillId="5" borderId="8" applyAlignment="1" pivotButton="0" quotePrefix="0" xfId="0">
      <alignment horizontal="right"/>
    </xf>
    <xf numFmtId="0" fontId="2" fillId="0" borderId="2" applyAlignment="1" pivotButton="0" quotePrefix="0" xfId="0">
      <alignment horizontal="right"/>
    </xf>
    <xf numFmtId="0" fontId="2" fillId="5" borderId="5" applyAlignment="1" pivotButton="0" quotePrefix="0" xfId="0">
      <alignment horizontal="right"/>
    </xf>
    <xf numFmtId="2" fontId="5" fillId="6" borderId="4" pivotButton="0" quotePrefix="0" xfId="0"/>
    <xf numFmtId="0" fontId="2" fillId="5" borderId="17" applyAlignment="1" pivotButton="0" quotePrefix="0" xfId="0">
      <alignment wrapText="1"/>
    </xf>
    <xf numFmtId="0" fontId="18" fillId="5" borderId="8" applyAlignment="1" pivotButton="0" quotePrefix="0" xfId="0">
      <alignment horizontal="right"/>
    </xf>
    <xf numFmtId="0" fontId="18" fillId="5" borderId="7" pivotButton="0" quotePrefix="0" xfId="0"/>
    <xf numFmtId="0" fontId="2" fillId="5" borderId="4" pivotButton="0" quotePrefix="0" xfId="0"/>
    <xf numFmtId="0" fontId="2" fillId="11" borderId="8" applyAlignment="1" pivotButton="0" quotePrefix="0" xfId="0">
      <alignment horizontal="right"/>
    </xf>
    <xf numFmtId="0" fontId="2" fillId="11" borderId="5" applyAlignment="1" pivotButton="0" quotePrefix="0" xfId="0">
      <alignment horizontal="right"/>
    </xf>
    <xf numFmtId="0" fontId="2" fillId="5" borderId="7" pivotButton="0" quotePrefix="0" xfId="0"/>
    <xf numFmtId="0" fontId="2" fillId="11" borderId="14" applyAlignment="1" pivotButton="0" quotePrefix="0" xfId="0">
      <alignment wrapText="1"/>
    </xf>
    <xf numFmtId="0" fontId="3" fillId="11" borderId="3" applyAlignment="1" pivotButton="0" quotePrefix="0" xfId="0">
      <alignment horizontal="center" wrapText="1"/>
    </xf>
    <xf numFmtId="0" fontId="2" fillId="11" borderId="3" applyAlignment="1" pivotButton="0" quotePrefix="0" xfId="0">
      <alignment horizontal="right" vertical="bottom"/>
    </xf>
    <xf numFmtId="0" fontId="2" fillId="18" borderId="2" applyAlignment="1" pivotButton="0" quotePrefix="0" xfId="0">
      <alignment vertical="bottom"/>
    </xf>
    <xf numFmtId="0" fontId="2" fillId="18" borderId="2" applyAlignment="1" pivotButton="0" quotePrefix="0" xfId="0">
      <alignment wrapText="1"/>
    </xf>
    <xf numFmtId="0" fontId="2" fillId="11" borderId="2" applyAlignment="1" pivotButton="0" quotePrefix="0" xfId="0">
      <alignment wrapText="1"/>
    </xf>
    <xf numFmtId="0" fontId="5" fillId="11" borderId="2" applyAlignment="1" pivotButton="0" quotePrefix="0" xfId="0">
      <alignment horizontal="right" wrapText="1"/>
    </xf>
    <xf numFmtId="0" fontId="5" fillId="6" borderId="2" pivotButton="0" quotePrefix="0" xfId="0"/>
    <xf numFmtId="0" fontId="2" fillId="11" borderId="5" applyAlignment="1" pivotButton="0" quotePrefix="0" xfId="0">
      <alignment horizontal="right" vertical="bottom"/>
    </xf>
    <xf numFmtId="0" fontId="2" fillId="18" borderId="4" applyAlignment="1" pivotButton="0" quotePrefix="0" xfId="0">
      <alignment vertical="bottom"/>
    </xf>
    <xf numFmtId="0" fontId="2" fillId="5" borderId="14" applyAlignment="1" pivotButton="0" quotePrefix="0" xfId="0">
      <alignment wrapText="1"/>
    </xf>
    <xf numFmtId="0" fontId="3" fillId="5" borderId="3" applyAlignment="1" pivotButton="0" quotePrefix="0" xfId="0">
      <alignment horizontal="center" wrapText="1"/>
    </xf>
    <xf numFmtId="0" fontId="2" fillId="5" borderId="3" applyAlignment="1" pivotButton="0" quotePrefix="0" xfId="0">
      <alignment horizontal="right" vertical="bottom"/>
    </xf>
    <xf numFmtId="0" fontId="2" fillId="5" borderId="2" applyAlignment="1" pivotButton="0" quotePrefix="0" xfId="0">
      <alignment wrapText="1"/>
    </xf>
    <xf numFmtId="0" fontId="2" fillId="5" borderId="16" applyAlignment="1" pivotButton="0" quotePrefix="0" xfId="0">
      <alignment wrapText="1"/>
    </xf>
    <xf numFmtId="0" fontId="2" fillId="5" borderId="5" applyAlignment="1" pivotButton="0" quotePrefix="0" xfId="0">
      <alignment horizontal="right" vertical="bottom"/>
    </xf>
    <xf numFmtId="0" fontId="2" fillId="18" borderId="7" applyAlignment="1" pivotButton="0" quotePrefix="0" xfId="0">
      <alignment vertical="bottom"/>
    </xf>
    <xf numFmtId="0" fontId="2" fillId="18" borderId="4" applyAlignment="1" pivotButton="0" quotePrefix="0" xfId="0">
      <alignment wrapText="1"/>
    </xf>
    <xf numFmtId="0" fontId="2" fillId="11" borderId="7" pivotButton="0" quotePrefix="0" xfId="0"/>
    <xf numFmtId="0" fontId="2" fillId="11" borderId="4" pivotButton="0" quotePrefix="0" xfId="0"/>
    <xf numFmtId="0" fontId="19" fillId="5" borderId="16" applyAlignment="1" pivotButton="0" quotePrefix="0" xfId="0">
      <alignment wrapText="1"/>
    </xf>
    <xf numFmtId="0" fontId="3" fillId="11" borderId="5" applyAlignment="1" pivotButton="0" quotePrefix="0" xfId="0">
      <alignment horizontal="center" wrapText="1"/>
    </xf>
    <xf numFmtId="0" fontId="1" fillId="11" borderId="7" pivotButton="0" quotePrefix="0" xfId="0"/>
    <xf numFmtId="0" fontId="18" fillId="5" borderId="0" pivotButton="0" quotePrefix="0" xfId="0"/>
    <xf numFmtId="0" fontId="20" fillId="5" borderId="8" applyAlignment="1" pivotButton="0" quotePrefix="0" xfId="0">
      <alignment horizontal="right" wrapText="1"/>
    </xf>
    <xf numFmtId="0" fontId="20" fillId="5" borderId="12" applyAlignment="1" pivotButton="0" quotePrefix="0" xfId="0">
      <alignment horizontal="left" wrapText="1"/>
    </xf>
    <xf numFmtId="0" fontId="2" fillId="11" borderId="3" applyAlignment="1" pivotButton="0" quotePrefix="0" xfId="0">
      <alignment horizontal="right"/>
    </xf>
    <xf numFmtId="0" fontId="2" fillId="5" borderId="18" applyAlignment="1" pivotButton="0" quotePrefix="0" xfId="0">
      <alignment vertical="bottom"/>
    </xf>
    <xf numFmtId="0" fontId="2" fillId="11" borderId="3" applyAlignment="1" pivotButton="0" quotePrefix="0" xfId="0">
      <alignment wrapText="1"/>
    </xf>
    <xf numFmtId="0" fontId="2" fillId="11" borderId="2" applyAlignment="1" pivotButton="0" quotePrefix="0" xfId="0">
      <alignment vertical="bottom"/>
    </xf>
    <xf numFmtId="0" fontId="1" fillId="11" borderId="2" pivotButton="0" quotePrefix="0" xfId="0"/>
    <xf numFmtId="0" fontId="2" fillId="0" borderId="7" applyAlignment="1" pivotButton="0" quotePrefix="0" xfId="0">
      <alignment horizontal="right" vertical="bottom"/>
    </xf>
    <xf numFmtId="0" fontId="1" fillId="5" borderId="7" pivotButton="0" quotePrefix="0" xfId="0"/>
    <xf numFmtId="0" fontId="2" fillId="11" borderId="8" applyAlignment="1" pivotButton="0" quotePrefix="0" xfId="0">
      <alignment horizontal="right" vertical="bottom"/>
    </xf>
    <xf numFmtId="0" fontId="21" fillId="5" borderId="17" applyAlignment="1" pivotButton="0" quotePrefix="0" xfId="0">
      <alignment vertical="bottom"/>
    </xf>
    <xf numFmtId="0" fontId="3" fillId="5" borderId="8" applyAlignment="1" pivotButton="0" quotePrefix="0" xfId="0">
      <alignment horizontal="center" vertical="bottom" wrapText="1"/>
    </xf>
    <xf numFmtId="0" fontId="2" fillId="5" borderId="8" applyAlignment="1" pivotButton="0" quotePrefix="0" xfId="0">
      <alignment horizontal="right" vertical="bottom"/>
    </xf>
    <xf numFmtId="0" fontId="2" fillId="5" borderId="7" applyAlignment="1" pivotButton="0" quotePrefix="0" xfId="0">
      <alignment vertical="bottom"/>
    </xf>
    <xf numFmtId="0" fontId="2" fillId="5" borderId="7" applyAlignment="1" pivotButton="0" quotePrefix="0" xfId="0">
      <alignment vertical="bottom" wrapText="1"/>
    </xf>
    <xf numFmtId="0" fontId="2" fillId="5" borderId="7" applyAlignment="1" pivotButton="0" quotePrefix="0" xfId="0">
      <alignment vertical="bottom" wrapText="1"/>
    </xf>
    <xf numFmtId="0" fontId="2" fillId="5" borderId="7" applyAlignment="1" pivotButton="0" quotePrefix="0" xfId="0">
      <alignment horizontal="right" vertical="bottom" wrapText="1"/>
    </xf>
    <xf numFmtId="0" fontId="2" fillId="5" borderId="2" applyAlignment="1" pivotButton="0" quotePrefix="0" xfId="0">
      <alignment horizontal="right" vertical="bottom"/>
    </xf>
    <xf numFmtId="2" fontId="21" fillId="5" borderId="7" applyAlignment="1" pivotButton="0" quotePrefix="0" xfId="0">
      <alignment horizontal="right" vertical="bottom"/>
    </xf>
    <xf numFmtId="0" fontId="21" fillId="5" borderId="16" applyAlignment="1" pivotButton="0" quotePrefix="0" xfId="0">
      <alignment vertical="bottom"/>
    </xf>
    <xf numFmtId="0" fontId="21" fillId="5" borderId="5" applyAlignment="1" pivotButton="0" quotePrefix="0" xfId="0">
      <alignment horizontal="right" vertical="bottom"/>
    </xf>
    <xf numFmtId="0" fontId="2" fillId="5" borderId="4" applyAlignment="1" pivotButton="0" quotePrefix="0" xfId="0">
      <alignment vertical="bottom"/>
    </xf>
    <xf numFmtId="0" fontId="2" fillId="5" borderId="4" applyAlignment="1" pivotButton="0" quotePrefix="0" xfId="0">
      <alignment vertical="bottom" wrapText="1"/>
    </xf>
    <xf numFmtId="0" fontId="22" fillId="5" borderId="4" applyAlignment="1" pivotButton="0" quotePrefix="0" xfId="0">
      <alignment horizontal="right" vertical="bottom" wrapText="1"/>
    </xf>
    <xf numFmtId="0" fontId="2" fillId="5" borderId="4" applyAlignment="1" pivotButton="0" quotePrefix="0" xfId="0">
      <alignment horizontal="right" vertical="bottom"/>
    </xf>
    <xf numFmtId="0" fontId="21" fillId="5" borderId="4" applyAlignment="1" pivotButton="0" quotePrefix="0" xfId="0">
      <alignment horizontal="right" vertical="bottom" wrapText="1"/>
    </xf>
    <xf numFmtId="0" fontId="2" fillId="5" borderId="4" applyAlignment="1" pivotButton="0" quotePrefix="0" xfId="0">
      <alignment horizontal="right" vertical="bottom" wrapText="1"/>
    </xf>
    <xf numFmtId="2" fontId="21" fillId="5" borderId="4" applyAlignment="1" pivotButton="0" quotePrefix="0" xfId="0">
      <alignment horizontal="right" vertical="bottom"/>
    </xf>
    <xf numFmtId="0" fontId="2" fillId="4" borderId="17" applyAlignment="1" pivotButton="0" quotePrefix="0" xfId="0">
      <alignment wrapText="1"/>
    </xf>
    <xf numFmtId="0" fontId="3" fillId="11" borderId="7" applyAlignment="1" pivotButton="0" quotePrefix="0" xfId="0">
      <alignment vertical="bottom"/>
    </xf>
    <xf numFmtId="0" fontId="2" fillId="4" borderId="16" applyAlignment="1" pivotButton="0" quotePrefix="0" xfId="0">
      <alignment wrapText="1"/>
    </xf>
    <xf numFmtId="0" fontId="2" fillId="11" borderId="16" applyAlignment="1" pivotButton="0" quotePrefix="0" xfId="0">
      <alignment wrapText="1"/>
    </xf>
    <xf numFmtId="0" fontId="2" fillId="18" borderId="7" pivotButton="0" quotePrefix="0" xfId="0"/>
    <xf numFmtId="0" fontId="2" fillId="15" borderId="4" pivotButton="0" quotePrefix="0" xfId="0"/>
    <xf numFmtId="0" fontId="5" fillId="5" borderId="4" applyAlignment="1" pivotButton="0" quotePrefix="0" xfId="0">
      <alignment horizontal="left" wrapText="1"/>
    </xf>
    <xf numFmtId="0" fontId="5" fillId="11" borderId="4" applyAlignment="1" pivotButton="0" quotePrefix="0" xfId="0">
      <alignment horizontal="left" wrapText="1"/>
    </xf>
    <xf numFmtId="0" fontId="5" fillId="5" borderId="21" applyAlignment="1" pivotButton="0" quotePrefix="0" xfId="0">
      <alignment horizontal="right" wrapText="1"/>
    </xf>
    <xf numFmtId="0" fontId="1" fillId="5" borderId="22" applyAlignment="1" pivotButton="0" quotePrefix="0" xfId="0">
      <alignment horizontal="center" wrapText="1"/>
    </xf>
    <xf numFmtId="0" fontId="5" fillId="5" borderId="23" applyAlignment="1" pivotButton="0" quotePrefix="0" xfId="0">
      <alignment horizontal="right"/>
    </xf>
    <xf numFmtId="0" fontId="5" fillId="5" borderId="23" applyAlignment="1" pivotButton="0" quotePrefix="0" xfId="0">
      <alignment horizontal="right" wrapText="1"/>
    </xf>
    <xf numFmtId="0" fontId="5" fillId="4" borderId="23" applyAlignment="1" pivotButton="0" quotePrefix="0" xfId="0">
      <alignment horizontal="right"/>
    </xf>
    <xf numFmtId="9" fontId="5" fillId="5" borderId="23" applyAlignment="1" pivotButton="0" quotePrefix="0" xfId="0">
      <alignment horizontal="right"/>
    </xf>
    <xf numFmtId="0" fontId="5" fillId="6" borderId="23" applyAlignment="1" pivotButton="0" quotePrefix="0" xfId="0">
      <alignment horizontal="right"/>
    </xf>
    <xf numFmtId="0" fontId="5" fillId="5" borderId="23" applyAlignment="1" pivotButton="0" quotePrefix="0" xfId="0">
      <alignment horizontal="right"/>
    </xf>
    <xf numFmtId="0" fontId="5" fillId="5" borderId="24" applyAlignment="1" pivotButton="0" quotePrefix="0" xfId="0">
      <alignment horizontal="right"/>
    </xf>
    <xf numFmtId="0" fontId="5" fillId="5" borderId="25" applyAlignment="1" pivotButton="0" quotePrefix="0" xfId="0">
      <alignment horizontal="right"/>
    </xf>
    <xf numFmtId="0" fontId="14" fillId="0" borderId="26" pivotButton="0" quotePrefix="0" xfId="0"/>
    <xf numFmtId="0" fontId="5" fillId="6" borderId="19" applyAlignment="1" pivotButton="0" quotePrefix="0" xfId="0">
      <alignment horizontal="right" wrapText="1"/>
    </xf>
    <xf numFmtId="0" fontId="5" fillId="5" borderId="19" applyAlignment="1" pivotButton="0" quotePrefix="0" xfId="0">
      <alignment horizontal="right"/>
    </xf>
    <xf numFmtId="0" fontId="5" fillId="5" borderId="19" applyAlignment="1" pivotButton="0" quotePrefix="0" xfId="0">
      <alignment horizontal="right"/>
    </xf>
    <xf numFmtId="0" fontId="5" fillId="5" borderId="20" applyAlignment="1" pivotButton="0" quotePrefix="0" xfId="0">
      <alignment horizontal="right"/>
    </xf>
    <xf numFmtId="0" fontId="5" fillId="21" borderId="4" applyAlignment="1" pivotButton="0" quotePrefix="0" xfId="0">
      <alignment horizontal="right" wrapText="1"/>
    </xf>
    <xf numFmtId="10" fontId="5" fillId="5" borderId="7" applyAlignment="1" pivotButton="0" quotePrefix="0" xfId="0">
      <alignment horizontal="right"/>
    </xf>
    <xf numFmtId="0" fontId="21" fillId="11" borderId="6" applyAlignment="1" pivotButton="0" quotePrefix="0" xfId="0">
      <alignment horizontal="right" vertical="bottom"/>
    </xf>
    <xf numFmtId="0" fontId="24" fillId="0" borderId="0" applyAlignment="1" pivotButton="0" quotePrefix="0" xfId="0">
      <alignment horizontal="right"/>
    </xf>
    <xf numFmtId="0" fontId="24" fillId="11" borderId="0" applyAlignment="1" pivotButton="0" quotePrefix="0" xfId="0">
      <alignment horizontal="right"/>
    </xf>
    <xf numFmtId="0" fontId="5" fillId="0" borderId="6" applyAlignment="1" pivotButton="0" quotePrefix="0" xfId="0">
      <alignment horizontal="right" wrapText="1"/>
    </xf>
    <xf numFmtId="10" fontId="5" fillId="11" borderId="0" applyAlignment="1" pivotButton="0" quotePrefix="0" xfId="0">
      <alignment horizontal="right"/>
    </xf>
    <xf numFmtId="10" fontId="21" fillId="11" borderId="0" applyAlignment="1" pivotButton="0" quotePrefix="0" xfId="0">
      <alignment horizontal="right" vertical="bottom"/>
    </xf>
    <xf numFmtId="0" fontId="24" fillId="0" borderId="0" pivotButton="0" quotePrefix="0" xfId="0"/>
    <xf numFmtId="0" fontId="21" fillId="0" borderId="1" applyAlignment="1" pivotButton="0" quotePrefix="0" xfId="0">
      <alignment horizontal="right" vertical="bottom"/>
    </xf>
    <xf numFmtId="0" fontId="31" fillId="0" borderId="0" applyAlignment="1" pivotButton="0" quotePrefix="0" xfId="0">
      <alignment horizontal="right" vertical="bottom"/>
    </xf>
    <xf numFmtId="0" fontId="31" fillId="11" borderId="0" applyAlignment="1" pivotButton="0" quotePrefix="0" xfId="0">
      <alignment horizontal="right" vertical="bottom"/>
    </xf>
    <xf numFmtId="0" fontId="21" fillId="11" borderId="0" applyAlignment="1" pivotButton="0" quotePrefix="0" xfId="0">
      <alignment horizontal="right" vertical="bottom" wrapText="1"/>
    </xf>
    <xf numFmtId="0" fontId="31" fillId="11" borderId="0" applyAlignment="1" pivotButton="0" quotePrefix="0" xfId="0">
      <alignment horizontal="right" vertical="bottom" wrapText="1"/>
    </xf>
    <xf numFmtId="0" fontId="21" fillId="0" borderId="0" applyAlignment="1" pivotButton="0" quotePrefix="0" xfId="0">
      <alignment horizontal="right" vertical="bottom" wrapText="1"/>
    </xf>
    <xf numFmtId="0" fontId="31" fillId="0" borderId="0" applyAlignment="1" pivotButton="0" quotePrefix="0" xfId="0">
      <alignment horizontal="right" vertical="bottom" wrapText="1"/>
    </xf>
    <xf numFmtId="0" fontId="0" fillId="0" borderId="0" pivotButton="0" quotePrefix="0" xfId="0"/>
    <xf numFmtId="0" fontId="5" fillId="22" borderId="0" applyAlignment="1" pivotButton="0" quotePrefix="0" xfId="0">
      <alignment horizontal="right" wrapText="1"/>
    </xf>
    <xf numFmtId="0" fontId="1" fillId="5" borderId="18" applyAlignment="1" pivotButton="0" quotePrefix="0" xfId="0">
      <alignment horizontal="center" wrapText="1"/>
    </xf>
    <xf numFmtId="0" fontId="0" fillId="0" borderId="5" pivotButton="0" quotePrefix="0" xfId="0"/>
    <xf numFmtId="0" fontId="2" fillId="22" borderId="0" applyAlignment="1" pivotButton="0" quotePrefix="0" xfId="0">
      <alignment horizontal="right" vertical="bottom"/>
    </xf>
    <xf numFmtId="0" fontId="3" fillId="12" borderId="5" applyAlignment="1" pivotButton="0" quotePrefix="0" xfId="0">
      <alignment horizontal="center"/>
    </xf>
    <xf numFmtId="0" fontId="2" fillId="22" borderId="4" applyAlignment="1" pivotButton="0" quotePrefix="0" xfId="0">
      <alignment horizontal="right" vertical="bottom"/>
    </xf>
    <xf numFmtId="0" fontId="3" fillId="10" borderId="5" applyAlignment="1" pivotButton="0" quotePrefix="0" xfId="0">
      <alignment horizontal="center"/>
    </xf>
    <xf numFmtId="0" fontId="3" fillId="10" borderId="18" applyAlignment="1" pivotButton="0" quotePrefix="0" xfId="0">
      <alignment horizontal="center"/>
    </xf>
    <xf numFmtId="0" fontId="5" fillId="22" borderId="7" pivotButton="0" quotePrefix="0" xfId="0"/>
    <xf numFmtId="0" fontId="3" fillId="10" borderId="7" applyAlignment="1" pivotButton="0" quotePrefix="0" xfId="0">
      <alignment horizontal="center"/>
    </xf>
    <xf numFmtId="0" fontId="0" fillId="0" borderId="7" pivotButton="0" quotePrefix="0" xfId="0"/>
    <xf numFmtId="0" fontId="3" fillId="8" borderId="5" applyAlignment="1" pivotButton="0" quotePrefix="0" xfId="0">
      <alignment horizontal="center" wrapText="1"/>
    </xf>
    <xf numFmtId="0" fontId="5" fillId="22" borderId="7" applyAlignment="1" pivotButton="0" quotePrefix="0" xfId="0">
      <alignment horizontal="right"/>
    </xf>
    <xf numFmtId="0" fontId="3" fillId="8" borderId="18" applyAlignment="1" pivotButton="0" quotePrefix="0" xfId="0">
      <alignment horizontal="center" wrapText="1"/>
    </xf>
    <xf numFmtId="0" fontId="0" fillId="0" borderId="8" pivotButton="0" quotePrefix="0" xfId="0"/>
    <xf numFmtId="0" fontId="3" fillId="8" borderId="5" applyAlignment="1" pivotButton="0" quotePrefix="0" xfId="0">
      <alignment horizontal="center" vertical="bottom" wrapText="1"/>
    </xf>
    <xf numFmtId="0" fontId="3" fillId="5" borderId="5" applyAlignment="1" pivotButton="0" quotePrefix="0" xfId="0">
      <alignment horizontal="center" vertical="center" wrapText="1"/>
    </xf>
    <xf numFmtId="0" fontId="3" fillId="11" borderId="5" applyAlignment="1" pivotButton="0" quotePrefix="0" xfId="0">
      <alignment horizontal="center" vertical="center" wrapText="1"/>
    </xf>
    <xf numFmtId="0" fontId="3" fillId="5" borderId="5" applyAlignment="1" pivotButton="0" quotePrefix="0" xfId="0">
      <alignment horizontal="center" wrapText="1"/>
    </xf>
    <xf numFmtId="0" fontId="1" fillId="5" borderId="9" applyAlignment="1" pivotButton="0" quotePrefix="0" xfId="0">
      <alignment horizontal="center" wrapText="1"/>
    </xf>
    <xf numFmtId="0" fontId="1" fillId="11" borderId="9" applyAlignment="1" pivotButton="0" quotePrefix="0" xfId="0">
      <alignment horizontal="center" wrapText="1"/>
    </xf>
    <xf numFmtId="0" fontId="1" fillId="5" borderId="4" applyAlignment="1" pivotButton="0" quotePrefix="0" xfId="0">
      <alignment horizontal="center" wrapText="1"/>
    </xf>
    <xf numFmtId="0" fontId="1" fillId="11" borderId="4" applyAlignment="1" pivotButton="0" quotePrefix="0" xfId="0">
      <alignment horizontal="center" wrapText="1"/>
    </xf>
    <xf numFmtId="0" fontId="5" fillId="22" borderId="0" applyAlignment="1" pivotButton="0" quotePrefix="0" xfId="0">
      <alignment horizontal="right"/>
    </xf>
    <xf numFmtId="0" fontId="5" fillId="22" borderId="4" applyAlignment="1" pivotButton="0" quotePrefix="0" xfId="0">
      <alignment horizontal="right" wrapText="1"/>
    </xf>
    <xf numFmtId="0" fontId="5" fillId="0" borderId="9" applyAlignment="1" pivotButton="0" quotePrefix="0" xfId="0">
      <alignment horizontal="center"/>
    </xf>
    <xf numFmtId="0" fontId="5" fillId="11" borderId="9" applyAlignment="1" pivotButton="0" quotePrefix="0" xfId="0">
      <alignment horizontal="center"/>
    </xf>
    <xf numFmtId="0" fontId="5" fillId="22" borderId="9" applyAlignment="1" pivotButton="0" quotePrefix="0" xfId="0">
      <alignment horizontal="right"/>
    </xf>
    <xf numFmtId="0" fontId="25" fillId="11" borderId="9" applyAlignment="1" pivotButton="0" quotePrefix="0" xfId="0">
      <alignment horizontal="center" vertical="center"/>
    </xf>
    <xf numFmtId="0" fontId="26" fillId="0" borderId="9" applyAlignment="1" pivotButton="0" quotePrefix="0" xfId="0">
      <alignment horizontal="center" vertical="center"/>
    </xf>
    <xf numFmtId="0" fontId="26" fillId="11" borderId="9" applyAlignment="1" pivotButton="0" quotePrefix="0" xfId="0">
      <alignment horizontal="center" vertical="center"/>
    </xf>
    <xf numFmtId="0" fontId="5" fillId="8" borderId="9" applyAlignment="1" pivotButton="0" quotePrefix="0" xfId="0">
      <alignment horizontal="center"/>
    </xf>
    <xf numFmtId="0" fontId="26" fillId="8" borderId="9" applyAlignment="1" pivotButton="0" quotePrefix="0" xfId="0">
      <alignment horizontal="center" vertical="center"/>
    </xf>
    <xf numFmtId="0" fontId="3" fillId="5" borderId="5" applyAlignment="1" pivotButton="0" quotePrefix="0" xfId="0">
      <alignment horizontal="center"/>
    </xf>
    <xf numFmtId="0" fontId="3" fillId="11" borderId="5" applyAlignment="1" pivotButton="0" quotePrefix="0" xfId="0">
      <alignment horizontal="center"/>
    </xf>
    <xf numFmtId="0" fontId="3" fillId="5" borderId="18" applyAlignment="1" pivotButton="0" quotePrefix="0" xfId="0">
      <alignment horizontal="center"/>
    </xf>
    <xf numFmtId="0" fontId="3" fillId="5" borderId="7" applyAlignment="1" pivotButton="0" quotePrefix="0" xfId="0">
      <alignment horizontal="center"/>
    </xf>
    <xf numFmtId="0" fontId="3" fillId="11" borderId="18" applyAlignment="1" pivotButton="0" quotePrefix="0" xfId="0">
      <alignment horizontal="center"/>
    </xf>
    <xf numFmtId="0" fontId="3" fillId="11" borderId="18" applyAlignment="1" pivotButton="0" quotePrefix="0" xfId="0">
      <alignment horizontal="center" wrapText="1"/>
    </xf>
    <xf numFmtId="0" fontId="3" fillId="5" borderId="18" applyAlignment="1" pivotButton="0" quotePrefix="0" xfId="0">
      <alignment horizontal="center" wrapText="1"/>
    </xf>
    <xf numFmtId="0" fontId="3" fillId="5" borderId="5" applyAlignment="1" pivotButton="0" quotePrefix="0" xfId="0">
      <alignment horizontal="center" vertical="bottom" wrapText="1"/>
    </xf>
    <xf numFmtId="0" fontId="1" fillId="5" borderId="19" applyAlignment="1" pivotButton="0" quotePrefix="0" xfId="0">
      <alignment horizontal="center" wrapText="1"/>
    </xf>
    <xf numFmtId="0" fontId="0" fillId="0" borderId="26" pivotButton="0" quotePrefix="0" xfId="0"/>
  </cellXfs>
  <cellStyles count="1">
    <cellStyle name="Normal" xfId="0" builtinId="0"/>
  </cellStyles>
  <dxfs count="3">
    <dxf>
      <font/>
      <fill>
        <patternFill/>
      </fill>
      <border/>
    </dxf>
    <dxf>
      <font/>
      <fill>
        <patternFill patternType="solid">
          <fgColor rgb="FFFFFF00"/>
          <bgColor rgb="FFFFFF00"/>
        </patternFill>
      </fill>
      <border/>
    </dxf>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Yspo77URcYYKwB5Y02dAx7VklxoWippQ/edit?gid=51516459" TargetMode="External" Id="rId1"/><Relationship Type="http://schemas.openxmlformats.org/officeDocument/2006/relationships/hyperlink" Target="https://docs.google.com/spreadsheets/d/1xRdk49Br5PrKz3D41MqcFnlMRr7DtgS7/edit?gid=1393562191" TargetMode="External" Id="rId2"/><Relationship Type="http://schemas.openxmlformats.org/officeDocument/2006/relationships/hyperlink" Target="https://docs.google.com/spreadsheets/d/1xz0AiyXAZxUN6xH_BWA4VIcFTUtGwIdc/edit?gid=1510530692" TargetMode="External" Id="rId3"/></Relationships>
</file>

<file path=xl/worksheets/_rels/sheet2.xml.rels><Relationships xmlns="http://schemas.openxmlformats.org/package/2006/relationships"><Relationship Type="http://schemas.openxmlformats.org/officeDocument/2006/relationships/hyperlink" Target="https://docs.google.com/document/d/1AAxVduDllJoBm_bhYpP3Ty0DwuKvrp705DFc3l_ImiE/edit?tab=t.0" TargetMode="External" Id="rId1"/></Relationships>
</file>

<file path=xl/worksheets/sheet1.xml><?xml version="1.0" encoding="utf-8"?>
<worksheet xmlns="http://schemas.openxmlformats.org/spreadsheetml/2006/main">
  <sheetPr>
    <outlinePr summaryBelow="0" summaryRight="0"/>
    <pageSetUpPr/>
  </sheetPr>
  <dimension ref="A1:AG1141"/>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9.5" customWidth="1" style="695" min="1" max="1"/>
    <col width="4.5" customWidth="1" style="695" min="2" max="2"/>
    <col width="5.13" customWidth="1" style="695" min="3" max="3"/>
    <col width="19.38" customWidth="1" style="695" min="4" max="4"/>
    <col width="9.75" customWidth="1" style="695" min="5" max="5"/>
    <col width="14.25" customWidth="1" style="695" min="11" max="11"/>
    <col hidden="1" width="12.63" customWidth="1" style="695" min="13" max="13"/>
    <col width="15" customWidth="1" style="695" min="16" max="16"/>
  </cols>
  <sheetData>
    <row r="1" ht="50.25" customHeight="1" s="695">
      <c r="A1" s="1" t="inlineStr">
        <is>
          <t>Noms anciens</t>
        </is>
      </c>
      <c r="B1" s="1" t="inlineStr">
        <is>
          <t>Numérotation des paires LFF / LFF Pair numbering</t>
        </is>
      </c>
      <c r="C1" s="2" t="inlineStr">
        <is>
          <t># d'ecole/ School identification #</t>
        </is>
      </c>
      <c r="D1" s="1" t="inlineStr">
        <is>
          <t>Ecole/ School name</t>
        </is>
      </c>
      <c r="E1" s="1" t="inlineStr">
        <is>
          <t>Commune</t>
        </is>
      </c>
      <c r="F1" s="1" t="inlineStr">
        <is>
          <t>Contrôle ou intervention ?</t>
        </is>
      </c>
      <c r="G1" s="1" t="inlineStr">
        <is>
          <t xml:space="preserve"> Début de l'année scolaire des écoles Hilin Mu et écoles contrôles</t>
        </is>
      </c>
      <c r="H1" s="1" t="inlineStr">
        <is>
          <t>Année évaluée / (il doit y avoir une école témoin également évaluée cette année)</t>
        </is>
      </c>
      <c r="I1" s="2" t="inlineStr">
        <is>
          <t xml:space="preserve">Nombre d'années du programme Hilin Mu à l'école (CM1 et/ou CM2) </t>
        </is>
      </c>
      <c r="J1" s="1" t="inlineStr">
        <is>
          <t>Nombre de groupes Hilin Mu (espaces surs) de CM2 dans l'année précédant l'évaluation</t>
        </is>
      </c>
      <c r="K1" s="1" t="inlineStr">
        <is>
          <t>Nombre d'élèves de CM2 (Interv./Controle)(pendant le CM2) au cours de l'année précédante l'évaluation (y compris les abandons ultérieurs)</t>
        </is>
      </c>
      <c r="L1" s="1" t="inlineStr">
        <is>
          <t>Avoir 1 ou 2 années complètes de participation au groupe Hilin Mu à la fin du CM2 ?</t>
        </is>
      </c>
      <c r="M1" s="3" t="inlineStr">
        <is>
          <t>[ignore]</t>
        </is>
      </c>
      <c r="N1" s="1" t="inlineStr">
        <is>
          <t>TAUX D'ABANDON Pourcentage de filles ayant abandonné l'école primaire pendant ou après la 5e année/CM2 (taux d'abandon)</t>
        </is>
      </c>
      <c r="O1" s="1" t="inlineStr">
        <is>
          <t>TAUX DE REUSSITE Pourcentage de filles réussissant l'examen secondaire (note de 5 ou plus)</t>
        </is>
      </c>
      <c r="P1" s="1" t="inlineStr">
        <is>
          <t>TAUX D'INSCRIPTION Pourcentage de filles inscrites au secondaire + présence en classe l'année d'évaluation</t>
        </is>
      </c>
      <c r="Q1" s="1" t="inlineStr">
        <is>
          <t>math_score_baseline</t>
        </is>
      </c>
      <c r="R1" s="1" t="inlineStr">
        <is>
          <t>math_score_endline</t>
        </is>
      </c>
      <c r="S1" s="1" t="inlineStr">
        <is>
          <t>french_score_baseline</t>
        </is>
      </c>
      <c r="T1" s="1" t="inlineStr">
        <is>
          <t>french_score_endline</t>
        </is>
      </c>
      <c r="U1" s="1" t="inlineStr">
        <is>
          <t>Presence de programme Hasken Mata (No. d'ans)</t>
        </is>
      </c>
      <c r="V1" s="4" t="inlineStr">
        <is>
          <t>Année de réference</t>
        </is>
      </c>
      <c r="W1" s="2" t="inlineStr">
        <is>
          <t>2nd year in CM2? (a redoublé)</t>
        </is>
      </c>
      <c r="X1" s="2" t="inlineStr">
        <is>
          <t>Proportion of class that repeated CM2</t>
        </is>
      </c>
    </row>
    <row r="2">
      <c r="A2" s="338" t="inlineStr">
        <is>
          <t>Link to explainer document</t>
        </is>
      </c>
      <c r="B2" s="6" t="n"/>
      <c r="C2" s="7" t="n"/>
      <c r="D2" s="7" t="n"/>
      <c r="E2" s="338" t="n"/>
      <c r="F2" s="338" t="n"/>
      <c r="G2" s="8" t="n"/>
      <c r="H2" s="102" t="n"/>
      <c r="I2" s="381" t="n"/>
      <c r="J2" s="381" t="n"/>
      <c r="K2" s="338" t="n"/>
      <c r="L2" s="11" t="n"/>
      <c r="M2" s="12" t="n"/>
      <c r="N2" s="13" t="n"/>
      <c r="O2" s="13" t="n"/>
      <c r="P2" s="13" t="n"/>
      <c r="Q2" s="14" t="n"/>
      <c r="R2" s="14" t="n"/>
      <c r="S2" s="14" t="n"/>
      <c r="T2" s="14" t="n"/>
    </row>
    <row r="3">
      <c r="A3" s="15" t="inlineStr">
        <is>
          <t>old names</t>
        </is>
      </c>
      <c r="B3" s="15" t="inlineStr">
        <is>
          <t>Pair number</t>
        </is>
      </c>
      <c r="C3" s="15" t="n"/>
      <c r="D3" s="15" t="inlineStr">
        <is>
          <t>School number / identifier</t>
        </is>
      </c>
      <c r="E3" s="15" t="n"/>
      <c r="F3" s="15" t="inlineStr">
        <is>
          <t>Control or intervention?</t>
        </is>
      </c>
      <c r="G3" s="15" t="inlineStr">
        <is>
          <t>Year school started Hilin Mu (enter "NA" for control schools)</t>
        </is>
      </c>
      <c r="H3" s="15" t="inlineStr">
        <is>
          <t>Year evaluated (there must be a control school also evaluated this year)</t>
        </is>
      </c>
      <c r="I3" s="15" t="n"/>
      <c r="J3" s="15" t="inlineStr">
        <is>
          <t>Number of Hilin Mu groups for year 6 students in the prior year</t>
        </is>
      </c>
      <c r="K3" s="16" t="inlineStr">
        <is>
          <t>1. Year Prior? 2. Total Stud or Total Girl Stu?</t>
        </is>
      </c>
      <c r="L3" s="15" t="n"/>
      <c r="M3" s="15" t="inlineStr">
        <is>
          <t>Percent of girls enrolled in secondary school</t>
        </is>
      </c>
      <c r="N3" s="15" t="inlineStr">
        <is>
          <t>Percent of girls who dropped out of primary school (dropout rate)</t>
        </is>
      </c>
      <c r="O3" s="15" t="inlineStr">
        <is>
          <t>Percent of girls passing secondary exam</t>
        </is>
      </c>
      <c r="P3" s="15" t="inlineStr">
        <is>
          <t>Percent of girls in enrolled in secondary school</t>
        </is>
      </c>
      <c r="Q3" s="17" t="n"/>
      <c r="R3" s="17" t="n"/>
      <c r="S3" s="17" t="n"/>
      <c r="T3" s="17" t="n"/>
      <c r="W3" s="18" t="n"/>
      <c r="X3" s="18" t="n"/>
      <c r="Y3" s="19" t="inlineStr">
        <is>
          <t>NA</t>
        </is>
      </c>
      <c r="Z3" s="19" t="inlineStr">
        <is>
          <t>Not available</t>
        </is>
      </c>
      <c r="AA3" s="18" t="n"/>
      <c r="AB3" s="18" t="n"/>
      <c r="AC3" s="18" t="n"/>
      <c r="AD3" s="18" t="n"/>
      <c r="AE3" s="18" t="n"/>
      <c r="AF3" s="18" t="n"/>
      <c r="AG3" s="18" t="n"/>
    </row>
    <row r="4">
      <c r="A4" s="20" t="n"/>
      <c r="B4" s="20" t="inlineStr">
        <is>
          <t>A</t>
        </is>
      </c>
      <c r="C4" s="21" t="n"/>
      <c r="D4" s="22" t="inlineStr">
        <is>
          <t>EXAMPLE intervention</t>
        </is>
      </c>
      <c r="E4" s="22" t="n"/>
      <c r="F4" s="22" t="inlineStr">
        <is>
          <t>Intervention</t>
        </is>
      </c>
      <c r="G4" s="22" t="n">
        <v>2018</v>
      </c>
      <c r="H4" s="22" t="n">
        <v>2019</v>
      </c>
      <c r="I4" s="22" t="n"/>
      <c r="J4" s="22" t="n">
        <v>1</v>
      </c>
      <c r="K4" s="22" t="n">
        <v>16</v>
      </c>
      <c r="L4" s="20" t="n">
        <v>1</v>
      </c>
      <c r="M4" s="20" t="n">
        <v>94</v>
      </c>
      <c r="N4" s="20" t="n">
        <v>3</v>
      </c>
      <c r="O4" s="20" t="n">
        <v>98</v>
      </c>
      <c r="P4" s="20" t="n">
        <v>83</v>
      </c>
      <c r="Q4" s="20" t="n"/>
      <c r="R4" s="20" t="n"/>
      <c r="S4" s="20" t="n"/>
      <c r="T4" s="20" t="n"/>
      <c r="Y4" s="19" t="inlineStr">
        <is>
          <t>NR</t>
        </is>
      </c>
      <c r="Z4" s="19" t="inlineStr">
        <is>
          <t>Not recorded</t>
        </is>
      </c>
    </row>
    <row r="5">
      <c r="A5" s="22" t="n"/>
      <c r="B5" s="22" t="inlineStr">
        <is>
          <t>A</t>
        </is>
      </c>
      <c r="C5" s="21" t="n"/>
      <c r="D5" s="22" t="inlineStr">
        <is>
          <t>EXAMPLE control</t>
        </is>
      </c>
      <c r="E5" s="22" t="n"/>
      <c r="F5" s="22" t="inlineStr">
        <is>
          <t xml:space="preserve">Control   </t>
        </is>
      </c>
      <c r="G5" s="22" t="inlineStr">
        <is>
          <t>NA</t>
        </is>
      </c>
      <c r="H5" s="22" t="n">
        <v>2019</v>
      </c>
      <c r="I5" s="22" t="n"/>
      <c r="J5" s="22" t="inlineStr">
        <is>
          <t>NA</t>
        </is>
      </c>
      <c r="K5" s="22" t="inlineStr">
        <is>
          <t>NA</t>
        </is>
      </c>
      <c r="L5" s="20" t="inlineStr">
        <is>
          <t>NA</t>
        </is>
      </c>
      <c r="M5" s="20" t="n">
        <v>73</v>
      </c>
      <c r="N5" s="20" t="n">
        <v>8</v>
      </c>
      <c r="O5" s="20" t="n">
        <v>82</v>
      </c>
      <c r="P5" s="20" t="n">
        <v>66</v>
      </c>
      <c r="Q5" s="20" t="n"/>
      <c r="R5" s="20" t="n"/>
      <c r="S5" s="20" t="n"/>
      <c r="T5" s="20" t="n"/>
    </row>
    <row r="6">
      <c r="A6" s="204" t="inlineStr">
        <is>
          <t>COHORTE 1 CM2  2018-2019</t>
        </is>
      </c>
      <c r="C6" s="489" t="n"/>
      <c r="D6" s="516" t="n"/>
      <c r="E6" s="516" t="n"/>
      <c r="F6" s="516" t="n"/>
      <c r="G6" s="516" t="n"/>
      <c r="H6" s="516" t="n"/>
      <c r="I6" s="516" t="n"/>
      <c r="J6" s="516" t="n"/>
      <c r="K6" s="516" t="n"/>
    </row>
    <row r="7" ht="16.5" customHeight="1" s="695">
      <c r="A7" s="26" t="n"/>
      <c r="B7" s="27" t="n">
        <v>1</v>
      </c>
      <c r="C7" s="387" t="n">
        <v>1</v>
      </c>
      <c r="D7" s="35" t="inlineStr">
        <is>
          <t>Katare Guidan Ousmane 1</t>
        </is>
      </c>
      <c r="E7" s="26" t="inlineStr">
        <is>
          <t>Tibiri</t>
        </is>
      </c>
      <c r="F7" s="26" t="inlineStr">
        <is>
          <t>Intervention</t>
        </is>
      </c>
      <c r="G7" s="381" t="n">
        <v>2017</v>
      </c>
      <c r="H7" s="381" t="n">
        <v>2018</v>
      </c>
      <c r="I7" s="35" t="n">
        <v>0</v>
      </c>
      <c r="J7" s="30" t="n">
        <v>0</v>
      </c>
      <c r="K7" s="30" t="n">
        <v>18</v>
      </c>
      <c r="L7" s="30" t="n">
        <v>0</v>
      </c>
      <c r="M7" s="31" t="n"/>
      <c r="N7" s="696" t="inlineStr">
        <is>
          <t>NR</t>
        </is>
      </c>
      <c r="O7" s="37" t="n">
        <v>0.7778</v>
      </c>
      <c r="P7" s="33" t="n">
        <v>0.12</v>
      </c>
      <c r="Q7" s="489" t="inlineStr">
        <is>
          <t>NA</t>
        </is>
      </c>
      <c r="R7" s="489" t="inlineStr">
        <is>
          <t>NA</t>
        </is>
      </c>
      <c r="S7" s="489" t="inlineStr">
        <is>
          <t>NA</t>
        </is>
      </c>
      <c r="T7" s="489" t="inlineStr">
        <is>
          <t>NA</t>
        </is>
      </c>
      <c r="U7" s="30" t="inlineStr">
        <is>
          <t>NA</t>
        </is>
      </c>
      <c r="V7" s="35" t="inlineStr">
        <is>
          <t>2017-2018</t>
        </is>
      </c>
      <c r="X7" s="34" t="inlineStr">
        <is>
          <t>MASTER Cohorte 1 HM_Exam success rate &amp; transition comparison_2018-2019_V3.xlsx</t>
        </is>
      </c>
      <c r="Y7" s="35" t="n"/>
      <c r="Z7" s="35" t="n"/>
      <c r="AA7" s="35" t="n"/>
      <c r="AB7" s="35" t="n"/>
      <c r="AC7" s="35" t="n"/>
      <c r="AD7" s="35" t="n"/>
      <c r="AE7" s="35" t="n"/>
      <c r="AF7" s="35" t="n"/>
      <c r="AG7" s="35" t="n"/>
    </row>
    <row r="8" ht="16.5" customHeight="1" s="695">
      <c r="A8" s="26" t="n"/>
      <c r="C8" s="387" t="n">
        <v>2</v>
      </c>
      <c r="D8" s="35" t="inlineStr">
        <is>
          <t>Soura 3</t>
        </is>
      </c>
      <c r="E8" s="26" t="inlineStr">
        <is>
          <t>Tibiri</t>
        </is>
      </c>
      <c r="F8" s="26" t="inlineStr">
        <is>
          <t>Control</t>
        </is>
      </c>
      <c r="G8" s="381" t="n">
        <v>2017</v>
      </c>
      <c r="H8" s="381" t="n">
        <v>2018</v>
      </c>
      <c r="I8" s="35" t="n">
        <v>0</v>
      </c>
      <c r="J8" s="30" t="n">
        <v>0</v>
      </c>
      <c r="K8" s="30" t="n">
        <v>11</v>
      </c>
      <c r="L8" s="30" t="n">
        <v>0</v>
      </c>
      <c r="M8" s="36" t="n"/>
      <c r="N8" s="696" t="inlineStr">
        <is>
          <t>NR</t>
        </is>
      </c>
      <c r="O8" s="37" t="n">
        <v>0.7272999999999999</v>
      </c>
      <c r="P8" s="33" t="n">
        <v>0</v>
      </c>
      <c r="Q8" s="489" t="inlineStr">
        <is>
          <t>NA</t>
        </is>
      </c>
      <c r="R8" s="489" t="inlineStr">
        <is>
          <t>NA</t>
        </is>
      </c>
      <c r="S8" s="489" t="inlineStr">
        <is>
          <t>NA</t>
        </is>
      </c>
      <c r="T8" s="489" t="inlineStr">
        <is>
          <t>NA</t>
        </is>
      </c>
      <c r="U8" s="30" t="inlineStr">
        <is>
          <t>NA</t>
        </is>
      </c>
      <c r="V8" s="35" t="inlineStr">
        <is>
          <t>2017-2018</t>
        </is>
      </c>
      <c r="W8" s="35" t="n"/>
      <c r="X8" s="35" t="n"/>
      <c r="Y8" s="35" t="n"/>
      <c r="Z8" s="35" t="n"/>
      <c r="AA8" s="35" t="n"/>
      <c r="AB8" s="35" t="n"/>
      <c r="AC8" s="35" t="n"/>
      <c r="AD8" s="35" t="n"/>
      <c r="AE8" s="35" t="n"/>
      <c r="AF8" s="35" t="n"/>
      <c r="AG8" s="35" t="n"/>
    </row>
    <row r="9" ht="16.5" customHeight="1" s="695">
      <c r="A9" s="26" t="n"/>
      <c r="B9" s="27" t="n">
        <v>2</v>
      </c>
      <c r="C9" s="387" t="n">
        <v>3</v>
      </c>
      <c r="D9" s="35" t="inlineStr">
        <is>
          <t>Katare Guidan Ousmane 2</t>
        </is>
      </c>
      <c r="E9" s="26" t="inlineStr">
        <is>
          <t>Tibiri</t>
        </is>
      </c>
      <c r="F9" s="26" t="inlineStr">
        <is>
          <t>Intervention</t>
        </is>
      </c>
      <c r="G9" s="381" t="n">
        <v>2017</v>
      </c>
      <c r="H9" s="381" t="n">
        <v>2018</v>
      </c>
      <c r="I9" s="35" t="n">
        <v>0</v>
      </c>
      <c r="J9" s="30" t="n">
        <v>0</v>
      </c>
      <c r="K9" s="30" t="n">
        <v>45</v>
      </c>
      <c r="L9" s="30" t="n">
        <v>0</v>
      </c>
      <c r="M9" s="31" t="n"/>
      <c r="N9" s="696" t="inlineStr">
        <is>
          <t>NR</t>
        </is>
      </c>
      <c r="O9" s="37" t="n">
        <v>0.7333</v>
      </c>
      <c r="P9" s="33" t="n">
        <v>0.2</v>
      </c>
      <c r="Q9" s="489" t="inlineStr">
        <is>
          <t>NA</t>
        </is>
      </c>
      <c r="R9" s="489" t="inlineStr">
        <is>
          <t>NA</t>
        </is>
      </c>
      <c r="S9" s="489" t="inlineStr">
        <is>
          <t>NA</t>
        </is>
      </c>
      <c r="T9" s="489" t="inlineStr">
        <is>
          <t>NA</t>
        </is>
      </c>
      <c r="U9" s="30" t="inlineStr">
        <is>
          <t>NA</t>
        </is>
      </c>
      <c r="V9" s="35" t="inlineStr">
        <is>
          <t>2017-2018</t>
        </is>
      </c>
      <c r="W9" s="35" t="n"/>
      <c r="X9" s="35" t="n"/>
      <c r="Y9" s="35" t="n"/>
      <c r="Z9" s="35" t="n"/>
      <c r="AA9" s="35" t="n"/>
      <c r="AB9" s="35" t="n"/>
      <c r="AC9" s="35" t="n"/>
      <c r="AD9" s="35" t="n"/>
      <c r="AE9" s="35" t="n"/>
      <c r="AF9" s="35" t="n"/>
      <c r="AG9" s="35" t="n"/>
    </row>
    <row r="10" ht="16.5" customHeight="1" s="695">
      <c r="A10" s="26" t="n"/>
      <c r="C10" s="387" t="n">
        <v>4</v>
      </c>
      <c r="D10" s="35" t="inlineStr">
        <is>
          <t>Kara Kara 3</t>
        </is>
      </c>
      <c r="E10" s="26" t="inlineStr">
        <is>
          <t>Tibiri</t>
        </is>
      </c>
      <c r="F10" s="26" t="inlineStr">
        <is>
          <t>Control</t>
        </is>
      </c>
      <c r="G10" s="381" t="n">
        <v>2017</v>
      </c>
      <c r="H10" s="381" t="n">
        <v>2018</v>
      </c>
      <c r="I10" s="35" t="n">
        <v>0</v>
      </c>
      <c r="J10" s="30" t="n">
        <v>0</v>
      </c>
      <c r="K10" s="30" t="n">
        <v>27</v>
      </c>
      <c r="L10" s="30" t="n">
        <v>0</v>
      </c>
      <c r="M10" s="36" t="n"/>
      <c r="N10" s="696" t="inlineStr">
        <is>
          <t>NR</t>
        </is>
      </c>
      <c r="O10" s="37" t="n">
        <v>0.7407</v>
      </c>
      <c r="P10" s="33" t="n">
        <v>0.24</v>
      </c>
      <c r="Q10" s="489" t="inlineStr">
        <is>
          <t>NA</t>
        </is>
      </c>
      <c r="R10" s="489" t="inlineStr">
        <is>
          <t>NA</t>
        </is>
      </c>
      <c r="S10" s="489" t="inlineStr">
        <is>
          <t>NA</t>
        </is>
      </c>
      <c r="T10" s="489" t="inlineStr">
        <is>
          <t>NA</t>
        </is>
      </c>
      <c r="U10" s="30" t="inlineStr">
        <is>
          <t>NA</t>
        </is>
      </c>
      <c r="V10" s="35" t="inlineStr">
        <is>
          <t>2017-2018</t>
        </is>
      </c>
      <c r="W10" s="35" t="n"/>
      <c r="X10" s="35" t="n"/>
      <c r="Y10" s="35" t="n"/>
      <c r="Z10" s="35" t="n"/>
      <c r="AA10" s="35" t="n"/>
      <c r="AB10" s="35" t="n"/>
      <c r="AC10" s="35" t="n"/>
      <c r="AD10" s="35" t="n"/>
      <c r="AE10" s="35" t="n"/>
      <c r="AF10" s="35" t="n"/>
      <c r="AG10" s="35" t="n"/>
    </row>
    <row r="11" ht="16.5" customHeight="1" s="695">
      <c r="A11" s="26" t="n"/>
      <c r="B11" s="27" t="n">
        <v>3</v>
      </c>
      <c r="C11" s="387" t="n">
        <v>5</v>
      </c>
      <c r="D11" s="35" t="inlineStr">
        <is>
          <t>Tibiri Nord 3</t>
        </is>
      </c>
      <c r="E11" s="26" t="inlineStr">
        <is>
          <t>Tibiri</t>
        </is>
      </c>
      <c r="F11" s="26" t="inlineStr">
        <is>
          <t>Intervention</t>
        </is>
      </c>
      <c r="G11" s="381" t="n">
        <v>2017</v>
      </c>
      <c r="H11" s="381" t="n">
        <v>2018</v>
      </c>
      <c r="I11" s="35" t="n">
        <v>0</v>
      </c>
      <c r="J11" s="30" t="n">
        <v>0</v>
      </c>
      <c r="K11" s="30" t="n">
        <v>34</v>
      </c>
      <c r="L11" s="30" t="n">
        <v>0</v>
      </c>
      <c r="M11" s="36" t="n"/>
      <c r="N11" s="696" t="inlineStr">
        <is>
          <t>NR</t>
        </is>
      </c>
      <c r="O11" s="37" t="n">
        <v>0.7647</v>
      </c>
      <c r="P11" s="33" t="n">
        <v>0.34</v>
      </c>
      <c r="Q11" s="489" t="inlineStr">
        <is>
          <t>NA</t>
        </is>
      </c>
      <c r="R11" s="489" t="inlineStr">
        <is>
          <t>NA</t>
        </is>
      </c>
      <c r="S11" s="489" t="inlineStr">
        <is>
          <t>NA</t>
        </is>
      </c>
      <c r="T11" s="489" t="inlineStr">
        <is>
          <t>NA</t>
        </is>
      </c>
      <c r="U11" s="30" t="inlineStr">
        <is>
          <t>NA</t>
        </is>
      </c>
      <c r="V11" s="35" t="inlineStr">
        <is>
          <t>2017-2018</t>
        </is>
      </c>
      <c r="W11" s="35" t="n"/>
      <c r="X11" s="35" t="n"/>
      <c r="Y11" s="35" t="n"/>
      <c r="Z11" s="35" t="n"/>
      <c r="AA11" s="35" t="n"/>
      <c r="AB11" s="35" t="n"/>
      <c r="AC11" s="35" t="n"/>
      <c r="AD11" s="35" t="n"/>
      <c r="AE11" s="35" t="n"/>
      <c r="AF11" s="35" t="n"/>
      <c r="AG11" s="35" t="n"/>
    </row>
    <row r="12" ht="16.5" customHeight="1" s="695">
      <c r="A12" s="26" t="n"/>
      <c r="C12" s="387" t="n">
        <v>6</v>
      </c>
      <c r="D12" s="35" t="inlineStr">
        <is>
          <t>Garin Daoure 1</t>
        </is>
      </c>
      <c r="E12" s="26" t="inlineStr">
        <is>
          <t>Tibiri</t>
        </is>
      </c>
      <c r="F12" s="26" t="inlineStr">
        <is>
          <t>Control</t>
        </is>
      </c>
      <c r="G12" s="381" t="n">
        <v>2017</v>
      </c>
      <c r="H12" s="381" t="n">
        <v>2018</v>
      </c>
      <c r="I12" s="35" t="n">
        <v>0</v>
      </c>
      <c r="J12" s="30" t="n">
        <v>0</v>
      </c>
      <c r="K12" s="30" t="n">
        <v>39</v>
      </c>
      <c r="L12" s="30" t="n">
        <v>0</v>
      </c>
      <c r="M12" s="36" t="n"/>
      <c r="N12" s="696" t="inlineStr">
        <is>
          <t>NR</t>
        </is>
      </c>
      <c r="O12" s="37" t="n">
        <v>0.7179</v>
      </c>
      <c r="P12" s="33" t="n">
        <v>0.1</v>
      </c>
      <c r="Q12" s="489" t="inlineStr">
        <is>
          <t>NA</t>
        </is>
      </c>
      <c r="R12" s="489" t="inlineStr">
        <is>
          <t>NA</t>
        </is>
      </c>
      <c r="S12" s="489" t="inlineStr">
        <is>
          <t>NA</t>
        </is>
      </c>
      <c r="T12" s="489" t="inlineStr">
        <is>
          <t>NA</t>
        </is>
      </c>
      <c r="U12" s="30" t="inlineStr">
        <is>
          <t>NA</t>
        </is>
      </c>
      <c r="V12" s="35" t="inlineStr">
        <is>
          <t>2017-2018</t>
        </is>
      </c>
      <c r="W12" s="35" t="n"/>
      <c r="X12" s="35" t="n"/>
      <c r="Y12" s="35" t="n"/>
      <c r="Z12" s="35" t="n"/>
      <c r="AA12" s="35" t="n"/>
      <c r="AB12" s="35" t="n"/>
      <c r="AC12" s="35" t="n"/>
      <c r="AD12" s="35" t="n"/>
      <c r="AE12" s="35" t="n"/>
      <c r="AF12" s="35" t="n"/>
      <c r="AG12" s="35" t="n"/>
    </row>
    <row r="13" ht="16.5" customHeight="1" s="695">
      <c r="A13" s="26" t="n"/>
      <c r="B13" s="27" t="n">
        <v>4</v>
      </c>
      <c r="C13" s="387" t="n">
        <v>7</v>
      </c>
      <c r="D13" s="35" t="inlineStr">
        <is>
          <t>Tibiri Garba Kane 2</t>
        </is>
      </c>
      <c r="E13" s="26" t="inlineStr">
        <is>
          <t>Tibiri</t>
        </is>
      </c>
      <c r="F13" s="26" t="inlineStr">
        <is>
          <t>Intervention</t>
        </is>
      </c>
      <c r="G13" s="381" t="n">
        <v>2017</v>
      </c>
      <c r="H13" s="381" t="n">
        <v>2018</v>
      </c>
      <c r="I13" s="35" t="n">
        <v>0</v>
      </c>
      <c r="J13" s="30" t="n">
        <v>0</v>
      </c>
      <c r="K13" s="30" t="n">
        <v>31</v>
      </c>
      <c r="L13" s="30" t="n">
        <v>0</v>
      </c>
      <c r="M13" s="36" t="n"/>
      <c r="N13" s="696" t="inlineStr">
        <is>
          <t>NR</t>
        </is>
      </c>
      <c r="O13" s="37" t="n">
        <v>0.9032</v>
      </c>
      <c r="P13" s="33" t="n">
        <v>0.03</v>
      </c>
      <c r="Q13" s="489" t="inlineStr">
        <is>
          <t>NA</t>
        </is>
      </c>
      <c r="R13" s="489" t="inlineStr">
        <is>
          <t>NA</t>
        </is>
      </c>
      <c r="S13" s="489" t="inlineStr">
        <is>
          <t>NA</t>
        </is>
      </c>
      <c r="T13" s="489" t="inlineStr">
        <is>
          <t>NA</t>
        </is>
      </c>
      <c r="U13" s="30" t="inlineStr">
        <is>
          <t>NA</t>
        </is>
      </c>
      <c r="V13" s="35" t="inlineStr">
        <is>
          <t>2017-2018</t>
        </is>
      </c>
      <c r="W13" s="35" t="n"/>
      <c r="X13" s="35" t="n"/>
      <c r="Y13" s="35" t="n"/>
      <c r="Z13" s="35" t="n"/>
      <c r="AA13" s="35" t="n"/>
      <c r="AB13" s="35" t="n"/>
      <c r="AC13" s="35" t="n"/>
      <c r="AD13" s="35" t="n"/>
      <c r="AE13" s="35" t="n"/>
      <c r="AF13" s="35" t="n"/>
      <c r="AG13" s="35" t="n"/>
    </row>
    <row r="14" ht="16.5" customHeight="1" s="695">
      <c r="A14" s="26" t="n"/>
      <c r="C14" s="387" t="n">
        <v>8</v>
      </c>
      <c r="D14" s="35" t="inlineStr">
        <is>
          <t>Tibiri Dan Filo 3</t>
        </is>
      </c>
      <c r="E14" s="26" t="inlineStr">
        <is>
          <t>Tibiri</t>
        </is>
      </c>
      <c r="F14" s="26" t="inlineStr">
        <is>
          <t>Control</t>
        </is>
      </c>
      <c r="G14" s="381" t="n">
        <v>2017</v>
      </c>
      <c r="H14" s="381" t="n">
        <v>2018</v>
      </c>
      <c r="I14" s="35" t="n">
        <v>0</v>
      </c>
      <c r="J14" s="30" t="n">
        <v>0</v>
      </c>
      <c r="K14" s="30" t="n">
        <v>29</v>
      </c>
      <c r="L14" s="30" t="n">
        <v>0</v>
      </c>
      <c r="M14" s="36" t="n"/>
      <c r="N14" s="696" t="inlineStr">
        <is>
          <t>NR</t>
        </is>
      </c>
      <c r="O14" s="37" t="n">
        <v>0.8966</v>
      </c>
      <c r="P14" s="33" t="n">
        <v>0.25</v>
      </c>
      <c r="Q14" s="489" t="inlineStr">
        <is>
          <t>NA</t>
        </is>
      </c>
      <c r="R14" s="489" t="inlineStr">
        <is>
          <t>NA</t>
        </is>
      </c>
      <c r="S14" s="489" t="inlineStr">
        <is>
          <t>NA</t>
        </is>
      </c>
      <c r="T14" s="489" t="inlineStr">
        <is>
          <t>NA</t>
        </is>
      </c>
      <c r="U14" s="30" t="inlineStr">
        <is>
          <t>NA</t>
        </is>
      </c>
      <c r="V14" s="35" t="inlineStr">
        <is>
          <t>2017_2018</t>
        </is>
      </c>
      <c r="W14" s="35" t="n"/>
      <c r="X14" s="35" t="n"/>
      <c r="Y14" s="35" t="n"/>
      <c r="Z14" s="35" t="n"/>
      <c r="AA14" s="35" t="n"/>
      <c r="AB14" s="35" t="n"/>
      <c r="AC14" s="35" t="n"/>
      <c r="AD14" s="35" t="n"/>
      <c r="AE14" s="35" t="n"/>
      <c r="AF14" s="35" t="n"/>
      <c r="AG14" s="35" t="n"/>
    </row>
    <row r="15" ht="16.5" customHeight="1" s="695">
      <c r="A15" s="26" t="n"/>
      <c r="B15" s="27" t="n">
        <v>5</v>
      </c>
      <c r="C15" s="387" t="n">
        <v>9</v>
      </c>
      <c r="D15" s="35" t="inlineStr">
        <is>
          <t>Soura Aboubacar 3</t>
        </is>
      </c>
      <c r="E15" s="26" t="inlineStr">
        <is>
          <t>Tibiri</t>
        </is>
      </c>
      <c r="F15" s="26" t="inlineStr">
        <is>
          <t>Intervention</t>
        </is>
      </c>
      <c r="G15" s="381" t="n">
        <v>2017</v>
      </c>
      <c r="H15" s="381" t="n">
        <v>2018</v>
      </c>
      <c r="I15" s="35" t="n">
        <v>0</v>
      </c>
      <c r="J15" s="30" t="n">
        <v>0</v>
      </c>
      <c r="K15" s="30" t="n">
        <v>46</v>
      </c>
      <c r="L15" s="30" t="n">
        <v>0</v>
      </c>
      <c r="M15" s="36" t="n"/>
      <c r="N15" s="696" t="inlineStr">
        <is>
          <t>NR</t>
        </is>
      </c>
      <c r="O15" s="37" t="n">
        <v>0.6087</v>
      </c>
      <c r="P15" s="33" t="n">
        <v>0.02</v>
      </c>
      <c r="Q15" s="489" t="inlineStr">
        <is>
          <t>NA</t>
        </is>
      </c>
      <c r="R15" s="489" t="inlineStr">
        <is>
          <t>NA</t>
        </is>
      </c>
      <c r="S15" s="489" t="inlineStr">
        <is>
          <t>NA</t>
        </is>
      </c>
      <c r="T15" s="489" t="inlineStr">
        <is>
          <t>NA</t>
        </is>
      </c>
      <c r="U15" s="30" t="inlineStr">
        <is>
          <t>NA</t>
        </is>
      </c>
      <c r="V15" s="35" t="inlineStr">
        <is>
          <t>2017-2018</t>
        </is>
      </c>
      <c r="W15" s="35" t="n"/>
      <c r="X15" s="35" t="n"/>
      <c r="Y15" s="35" t="n"/>
      <c r="Z15" s="35" t="n"/>
      <c r="AA15" s="35" t="n"/>
      <c r="AB15" s="35" t="n"/>
      <c r="AC15" s="35" t="n"/>
      <c r="AD15" s="35" t="n"/>
      <c r="AE15" s="35" t="n"/>
      <c r="AF15" s="35" t="n"/>
      <c r="AG15" s="35" t="n"/>
    </row>
    <row r="16" ht="16.5" customHeight="1" s="695">
      <c r="A16" s="26" t="n"/>
      <c r="C16" s="387" t="n">
        <v>10</v>
      </c>
      <c r="D16" s="35" t="inlineStr">
        <is>
          <t>Imbelbelou 3</t>
        </is>
      </c>
      <c r="E16" s="26" t="inlineStr">
        <is>
          <t>Tibiri</t>
        </is>
      </c>
      <c r="F16" s="26" t="inlineStr">
        <is>
          <t>Control</t>
        </is>
      </c>
      <c r="G16" s="381" t="n">
        <v>2017</v>
      </c>
      <c r="H16" s="381" t="n">
        <v>2018</v>
      </c>
      <c r="I16" s="35" t="n">
        <v>0</v>
      </c>
      <c r="J16" s="30" t="n">
        <v>0</v>
      </c>
      <c r="K16" s="30" t="n">
        <v>37</v>
      </c>
      <c r="L16" s="30" t="n">
        <v>0</v>
      </c>
      <c r="M16" s="36" t="n"/>
      <c r="N16" s="696" t="inlineStr">
        <is>
          <t>NR</t>
        </is>
      </c>
      <c r="O16" s="37" t="n">
        <v>0.5946</v>
      </c>
      <c r="P16" s="33" t="n">
        <v>0.16</v>
      </c>
      <c r="Q16" s="489" t="inlineStr">
        <is>
          <t>NA</t>
        </is>
      </c>
      <c r="R16" s="489" t="inlineStr">
        <is>
          <t>NA</t>
        </is>
      </c>
      <c r="S16" s="489" t="inlineStr">
        <is>
          <t>NA</t>
        </is>
      </c>
      <c r="T16" s="489" t="inlineStr">
        <is>
          <t>NA</t>
        </is>
      </c>
      <c r="U16" s="30" t="inlineStr">
        <is>
          <t>NA</t>
        </is>
      </c>
      <c r="V16" s="35" t="inlineStr">
        <is>
          <t>2017-2018</t>
        </is>
      </c>
      <c r="W16" s="35" t="n"/>
      <c r="X16" s="35" t="n"/>
      <c r="Y16" s="35" t="n"/>
      <c r="Z16" s="35" t="n"/>
      <c r="AA16" s="35" t="n"/>
      <c r="AB16" s="35" t="n"/>
      <c r="AC16" s="35" t="n"/>
      <c r="AD16" s="35" t="n"/>
      <c r="AE16" s="35" t="n"/>
      <c r="AF16" s="35" t="n"/>
      <c r="AG16" s="35" t="n"/>
    </row>
    <row r="17" ht="16.5" customHeight="1" s="695">
      <c r="A17" s="26" t="n"/>
      <c r="B17" s="27" t="n">
        <v>6</v>
      </c>
      <c r="C17" s="387" t="n">
        <v>11</v>
      </c>
      <c r="D17" s="35" t="inlineStr">
        <is>
          <t>Soura Aboubacar 4</t>
        </is>
      </c>
      <c r="E17" s="26" t="inlineStr">
        <is>
          <t>Tibiri</t>
        </is>
      </c>
      <c r="F17" s="26" t="inlineStr">
        <is>
          <t>Intervention</t>
        </is>
      </c>
      <c r="G17" s="381" t="n">
        <v>2017</v>
      </c>
      <c r="H17" s="381" t="n">
        <v>2018</v>
      </c>
      <c r="I17" s="35" t="n">
        <v>0</v>
      </c>
      <c r="J17" s="30" t="n">
        <v>0</v>
      </c>
      <c r="K17" s="30" t="n">
        <v>29</v>
      </c>
      <c r="L17" s="30" t="n">
        <v>0</v>
      </c>
      <c r="M17" s="36" t="n"/>
      <c r="N17" s="696" t="inlineStr">
        <is>
          <t>NR</t>
        </is>
      </c>
      <c r="O17" s="37" t="n">
        <v>0.6207</v>
      </c>
      <c r="P17" s="33" t="n">
        <v>0</v>
      </c>
      <c r="Q17" s="489" t="inlineStr">
        <is>
          <t>NA</t>
        </is>
      </c>
      <c r="R17" s="489" t="inlineStr">
        <is>
          <t>NA</t>
        </is>
      </c>
      <c r="S17" s="489" t="inlineStr">
        <is>
          <t>NA</t>
        </is>
      </c>
      <c r="T17" s="489" t="inlineStr">
        <is>
          <t>NA</t>
        </is>
      </c>
      <c r="U17" s="30" t="inlineStr">
        <is>
          <t>NA</t>
        </is>
      </c>
      <c r="V17" s="35" t="inlineStr">
        <is>
          <t>2017-2018</t>
        </is>
      </c>
      <c r="W17" s="35" t="n"/>
      <c r="X17" s="35" t="n"/>
      <c r="Y17" s="35" t="n"/>
      <c r="Z17" s="35" t="n"/>
      <c r="AA17" s="35" t="n"/>
      <c r="AB17" s="35" t="n"/>
      <c r="AC17" s="35" t="n"/>
      <c r="AD17" s="35" t="n"/>
      <c r="AE17" s="35" t="n"/>
      <c r="AF17" s="35" t="n"/>
      <c r="AG17" s="35" t="n"/>
    </row>
    <row r="18" ht="16.5" customHeight="1" s="695">
      <c r="A18" s="26" t="n"/>
      <c r="C18" s="387" t="n">
        <v>12</v>
      </c>
      <c r="D18" s="35" t="inlineStr">
        <is>
          <t>Soura 2</t>
        </is>
      </c>
      <c r="E18" s="26" t="inlineStr">
        <is>
          <t>Tibiri</t>
        </is>
      </c>
      <c r="F18" s="26" t="inlineStr">
        <is>
          <t>Control</t>
        </is>
      </c>
      <c r="G18" s="381" t="n">
        <v>2017</v>
      </c>
      <c r="H18" s="381" t="n">
        <v>2018</v>
      </c>
      <c r="I18" s="35" t="n">
        <v>0</v>
      </c>
      <c r="J18" s="30" t="n">
        <v>0</v>
      </c>
      <c r="K18" s="30" t="n">
        <v>30</v>
      </c>
      <c r="L18" s="30" t="n">
        <v>0</v>
      </c>
      <c r="M18" s="36" t="n"/>
      <c r="N18" s="696" t="inlineStr">
        <is>
          <t>NR</t>
        </is>
      </c>
      <c r="O18" s="37" t="n">
        <v>0.5667</v>
      </c>
      <c r="P18" s="33" t="n">
        <v>0</v>
      </c>
      <c r="Q18" s="489" t="inlineStr">
        <is>
          <t>NA</t>
        </is>
      </c>
      <c r="R18" s="489" t="inlineStr">
        <is>
          <t>NA</t>
        </is>
      </c>
      <c r="S18" s="489" t="inlineStr">
        <is>
          <t>NA</t>
        </is>
      </c>
      <c r="T18" s="489" t="inlineStr">
        <is>
          <t>NA</t>
        </is>
      </c>
      <c r="U18" s="30" t="inlineStr">
        <is>
          <t>NA</t>
        </is>
      </c>
      <c r="V18" s="35" t="inlineStr">
        <is>
          <t>2017-2018</t>
        </is>
      </c>
      <c r="W18" s="35" t="n"/>
      <c r="X18" s="35" t="n"/>
      <c r="Y18" s="35" t="n"/>
      <c r="Z18" s="35" t="n"/>
      <c r="AA18" s="35" t="n"/>
      <c r="AB18" s="35" t="n"/>
      <c r="AC18" s="35" t="n"/>
      <c r="AD18" s="35" t="n"/>
      <c r="AE18" s="35" t="n"/>
      <c r="AF18" s="35" t="n"/>
      <c r="AG18" s="35" t="n"/>
    </row>
    <row r="19" ht="16.5" customHeight="1" s="695">
      <c r="A19" s="26" t="n"/>
      <c r="B19" s="27" t="n">
        <v>7</v>
      </c>
      <c r="C19" s="387" t="n">
        <v>13</v>
      </c>
      <c r="D19" s="35" t="inlineStr">
        <is>
          <t>Garin Yari Idi</t>
        </is>
      </c>
      <c r="E19" s="26" t="inlineStr">
        <is>
          <t>Tibiri</t>
        </is>
      </c>
      <c r="F19" s="26" t="inlineStr">
        <is>
          <t>Intervention</t>
        </is>
      </c>
      <c r="G19" s="381" t="n">
        <v>2017</v>
      </c>
      <c r="H19" s="381" t="n">
        <v>2018</v>
      </c>
      <c r="I19" s="35" t="n">
        <v>0</v>
      </c>
      <c r="J19" s="30" t="n">
        <v>0</v>
      </c>
      <c r="K19" s="30" t="n">
        <v>25</v>
      </c>
      <c r="L19" s="30" t="n">
        <v>0</v>
      </c>
      <c r="M19" s="36" t="n"/>
      <c r="N19" s="696" t="inlineStr">
        <is>
          <t>NR</t>
        </is>
      </c>
      <c r="O19" s="37" t="n">
        <v>0.4</v>
      </c>
      <c r="P19" s="33" t="n">
        <v>0.2</v>
      </c>
      <c r="Q19" s="489" t="inlineStr">
        <is>
          <t>NA</t>
        </is>
      </c>
      <c r="R19" s="489" t="inlineStr">
        <is>
          <t>NA</t>
        </is>
      </c>
      <c r="S19" s="489" t="inlineStr">
        <is>
          <t>NA</t>
        </is>
      </c>
      <c r="T19" s="489" t="inlineStr">
        <is>
          <t>NA</t>
        </is>
      </c>
      <c r="U19" s="30" t="inlineStr">
        <is>
          <t>NA</t>
        </is>
      </c>
      <c r="V19" s="35" t="inlineStr">
        <is>
          <t>2017-2018</t>
        </is>
      </c>
      <c r="W19" s="35" t="n"/>
      <c r="X19" s="35" t="n"/>
      <c r="Y19" s="35" t="n"/>
      <c r="Z19" s="35" t="n"/>
      <c r="AA19" s="35" t="n"/>
      <c r="AB19" s="35" t="n"/>
      <c r="AC19" s="35" t="n"/>
      <c r="AD19" s="35" t="n"/>
      <c r="AE19" s="35" t="n"/>
      <c r="AF19" s="35" t="n"/>
      <c r="AG19" s="35" t="n"/>
    </row>
    <row r="20" ht="16.5" customHeight="1" s="695">
      <c r="A20" s="26" t="n"/>
      <c r="C20" s="387" t="n">
        <v>14</v>
      </c>
      <c r="D20" s="35" t="inlineStr">
        <is>
          <t>Kara Kara 2</t>
        </is>
      </c>
      <c r="E20" s="26" t="inlineStr">
        <is>
          <t>Tibiri</t>
        </is>
      </c>
      <c r="F20" s="26" t="inlineStr">
        <is>
          <t>Control</t>
        </is>
      </c>
      <c r="G20" s="381" t="n">
        <v>2017</v>
      </c>
      <c r="H20" s="381" t="n">
        <v>2018</v>
      </c>
      <c r="I20" s="35" t="n">
        <v>0</v>
      </c>
      <c r="J20" s="30" t="n">
        <v>0</v>
      </c>
      <c r="K20" s="30" t="n">
        <v>25</v>
      </c>
      <c r="L20" s="30" t="n">
        <v>0</v>
      </c>
      <c r="M20" s="36" t="n"/>
      <c r="N20" s="696" t="inlineStr">
        <is>
          <t>NR</t>
        </is>
      </c>
      <c r="O20" s="37" t="n">
        <v>0.48</v>
      </c>
      <c r="P20" s="33" t="n">
        <v>0.17</v>
      </c>
      <c r="Q20" s="489" t="inlineStr">
        <is>
          <t>NA</t>
        </is>
      </c>
      <c r="R20" s="489" t="inlineStr">
        <is>
          <t>NA</t>
        </is>
      </c>
      <c r="S20" s="489" t="inlineStr">
        <is>
          <t>NA</t>
        </is>
      </c>
      <c r="T20" s="489" t="inlineStr">
        <is>
          <t>NA</t>
        </is>
      </c>
      <c r="U20" s="30" t="inlineStr">
        <is>
          <t>NA</t>
        </is>
      </c>
      <c r="V20" s="35" t="inlineStr">
        <is>
          <t>2017-2018</t>
        </is>
      </c>
      <c r="W20" s="35" t="n"/>
      <c r="X20" s="35" t="n"/>
      <c r="Y20" s="35" t="n"/>
      <c r="Z20" s="35" t="n"/>
      <c r="AA20" s="35" t="n"/>
      <c r="AB20" s="35" t="n"/>
      <c r="AC20" s="35" t="n"/>
      <c r="AD20" s="35" t="n"/>
      <c r="AE20" s="35" t="n"/>
      <c r="AF20" s="35" t="n"/>
      <c r="AG20" s="35" t="n"/>
    </row>
    <row r="21" ht="16.5" customHeight="1" s="695">
      <c r="A21" s="26" t="n"/>
      <c r="B21" s="27" t="n"/>
      <c r="C21" s="387" t="n"/>
      <c r="D21" s="26" t="n"/>
      <c r="E21" s="26" t="n"/>
      <c r="F21" s="26" t="n"/>
      <c r="G21" s="381" t="n"/>
      <c r="H21" s="381" t="n"/>
      <c r="I21" s="35" t="n"/>
      <c r="J21" s="381" t="n"/>
      <c r="K21" s="381" t="n"/>
      <c r="L21" s="387" t="n"/>
      <c r="M21" s="12" t="n"/>
      <c r="N21" s="37" t="n"/>
      <c r="O21" s="37" t="n"/>
      <c r="P21" s="37" t="n"/>
      <c r="Q21" s="38" t="n"/>
      <c r="R21" s="38" t="n"/>
      <c r="S21" s="38" t="n"/>
      <c r="T21" s="38" t="n"/>
      <c r="U21" s="35" t="n"/>
      <c r="V21" s="35" t="n"/>
      <c r="W21" s="35" t="n"/>
      <c r="X21" s="35" t="n"/>
      <c r="Y21" s="35" t="n"/>
      <c r="Z21" s="35" t="n"/>
      <c r="AA21" s="35" t="n"/>
      <c r="AB21" s="35" t="n"/>
      <c r="AC21" s="35" t="n"/>
      <c r="AD21" s="35" t="n"/>
      <c r="AE21" s="35" t="n"/>
      <c r="AF21" s="35" t="n"/>
      <c r="AG21" s="35" t="n"/>
    </row>
    <row r="22" ht="16.5" customHeight="1" s="695">
      <c r="A22" s="39" t="n"/>
      <c r="B22" s="697" t="n">
        <v>1</v>
      </c>
      <c r="C22" s="41" t="n">
        <v>1</v>
      </c>
      <c r="D22" s="49" t="inlineStr">
        <is>
          <t>Katare Guidan Ousmane 1</t>
        </is>
      </c>
      <c r="E22" s="39" t="inlineStr">
        <is>
          <t>Tibiri</t>
        </is>
      </c>
      <c r="F22" s="39" t="inlineStr">
        <is>
          <t>Intervention</t>
        </is>
      </c>
      <c r="G22" s="43" t="n">
        <v>2018</v>
      </c>
      <c r="H22" s="43" t="n">
        <v>2019</v>
      </c>
      <c r="I22" s="49" t="n">
        <v>1</v>
      </c>
      <c r="J22" s="44" t="n">
        <v>2</v>
      </c>
      <c r="K22" s="43" t="n">
        <v>17</v>
      </c>
      <c r="L22" s="41" t="n">
        <v>1</v>
      </c>
      <c r="M22" s="534" t="n"/>
      <c r="N22" s="47">
        <f>1/21</f>
        <v/>
      </c>
      <c r="O22" s="47" t="n">
        <v>0.5</v>
      </c>
      <c r="P22" s="47" t="n">
        <v>0.52</v>
      </c>
      <c r="Q22" s="48" t="n">
        <v>3.7</v>
      </c>
      <c r="R22" s="48" t="n">
        <v>5.4</v>
      </c>
      <c r="S22" s="48" t="n">
        <v>0.1</v>
      </c>
      <c r="T22" s="48" t="n">
        <v>2.7</v>
      </c>
      <c r="U22" s="49" t="inlineStr">
        <is>
          <t>N/A</t>
        </is>
      </c>
      <c r="V22" s="49" t="n"/>
      <c r="W22" s="49" t="n"/>
      <c r="X22" s="49" t="n"/>
      <c r="Y22" s="49" t="n"/>
      <c r="Z22" s="49" t="n"/>
      <c r="AA22" s="49" t="n"/>
      <c r="AB22" s="49" t="n"/>
      <c r="AC22" s="49" t="n"/>
      <c r="AD22" s="49" t="n"/>
      <c r="AE22" s="49" t="n"/>
      <c r="AF22" s="49" t="n"/>
      <c r="AG22" s="49" t="n"/>
    </row>
    <row r="23" ht="16.5" customHeight="1" s="695">
      <c r="A23" s="92" t="n"/>
      <c r="B23" s="698" t="n"/>
      <c r="C23" s="445" t="n">
        <v>2</v>
      </c>
      <c r="D23" s="53" t="inlineStr">
        <is>
          <t xml:space="preserve">Soura 3 </t>
        </is>
      </c>
      <c r="E23" s="54" t="inlineStr">
        <is>
          <t>Tibiri</t>
        </is>
      </c>
      <c r="F23" s="54" t="inlineStr">
        <is>
          <t>Controle</t>
        </is>
      </c>
      <c r="G23" s="55" t="n">
        <v>2018</v>
      </c>
      <c r="H23" s="56" t="n">
        <v>2019</v>
      </c>
      <c r="I23" s="445" t="n">
        <v>0</v>
      </c>
      <c r="J23" s="56" t="n">
        <v>0</v>
      </c>
      <c r="K23" s="57" t="n">
        <v>10</v>
      </c>
      <c r="L23" s="58" t="n">
        <v>0</v>
      </c>
      <c r="M23" s="59" t="n"/>
      <c r="N23" s="80">
        <f>5/21</f>
        <v/>
      </c>
      <c r="O23" s="80" t="n">
        <v>0.57</v>
      </c>
      <c r="P23" s="80" t="n">
        <v>0.57</v>
      </c>
      <c r="Q23" s="62" t="n">
        <v>3</v>
      </c>
      <c r="R23" s="62" t="n">
        <v>4.9</v>
      </c>
      <c r="S23" s="62" t="n">
        <v>0.2</v>
      </c>
      <c r="T23" s="62" t="n">
        <v>3.8</v>
      </c>
      <c r="U23" s="49" t="inlineStr">
        <is>
          <t>N/A</t>
        </is>
      </c>
      <c r="V23" s="62" t="n"/>
      <c r="W23" s="62" t="n"/>
      <c r="X23" s="62" t="n"/>
      <c r="Y23" s="62" t="n"/>
      <c r="Z23" s="62" t="n"/>
      <c r="AA23" s="62" t="n"/>
      <c r="AB23" s="62" t="n"/>
      <c r="AC23" s="62" t="n"/>
      <c r="AD23" s="62" t="n"/>
      <c r="AE23" s="62" t="n"/>
      <c r="AF23" s="62" t="n"/>
      <c r="AG23" s="62" t="n"/>
    </row>
    <row r="24">
      <c r="A24" s="67" t="n"/>
      <c r="B24" s="531" t="n">
        <v>2</v>
      </c>
      <c r="C24" s="65" t="n">
        <v>3</v>
      </c>
      <c r="D24" s="72" t="inlineStr">
        <is>
          <t xml:space="preserve">Katare Guidan Ousmane 2 </t>
        </is>
      </c>
      <c r="E24" s="67" t="inlineStr">
        <is>
          <t>Tibiri</t>
        </is>
      </c>
      <c r="F24" s="67" t="inlineStr">
        <is>
          <t>Intervention</t>
        </is>
      </c>
      <c r="G24" s="68" t="n">
        <v>2018</v>
      </c>
      <c r="H24" s="68" t="n">
        <v>2019</v>
      </c>
      <c r="I24" s="72" t="n">
        <v>1</v>
      </c>
      <c r="J24" s="68" t="n">
        <v>2</v>
      </c>
      <c r="K24" s="68" t="n">
        <v>44</v>
      </c>
      <c r="L24" s="411" t="n">
        <v>1</v>
      </c>
      <c r="M24" s="537" t="n"/>
      <c r="N24" s="89">
        <f>2/24</f>
        <v/>
      </c>
      <c r="O24" s="89" t="n">
        <v>0.41</v>
      </c>
      <c r="P24" s="89" t="n">
        <v>0.5</v>
      </c>
      <c r="Q24" s="72" t="n">
        <v>3.7</v>
      </c>
      <c r="R24" s="72" t="n">
        <v>4.4</v>
      </c>
      <c r="S24" s="72" t="n">
        <v>0.3</v>
      </c>
      <c r="T24" s="72" t="n">
        <v>1.9</v>
      </c>
      <c r="U24" s="49" t="inlineStr">
        <is>
          <t>N/A</t>
        </is>
      </c>
      <c r="V24" s="72" t="n"/>
      <c r="W24" s="72" t="n"/>
      <c r="X24" s="72" t="n"/>
      <c r="Y24" s="72" t="n"/>
      <c r="Z24" s="72" t="n"/>
      <c r="AA24" s="72" t="n"/>
      <c r="AB24" s="72" t="n"/>
      <c r="AC24" s="72" t="n"/>
      <c r="AD24" s="72" t="n"/>
      <c r="AE24" s="72" t="n"/>
      <c r="AF24" s="72" t="n"/>
      <c r="AG24" s="72" t="n"/>
    </row>
    <row r="25">
      <c r="A25" s="76" t="n"/>
      <c r="B25" s="698" t="n"/>
      <c r="C25" s="74" t="n">
        <v>4</v>
      </c>
      <c r="D25" s="81" t="inlineStr">
        <is>
          <t xml:space="preserve">Kara Kara 3 </t>
        </is>
      </c>
      <c r="E25" s="76" t="inlineStr">
        <is>
          <t>Tibiri</t>
        </is>
      </c>
      <c r="F25" s="76" t="inlineStr">
        <is>
          <t>Control</t>
        </is>
      </c>
      <c r="G25" s="77" t="n">
        <v>2018</v>
      </c>
      <c r="H25" s="78" t="n">
        <v>2019</v>
      </c>
      <c r="I25" s="81" t="n">
        <v>0</v>
      </c>
      <c r="J25" s="78" t="n">
        <v>0</v>
      </c>
      <c r="K25" s="78" t="n">
        <v>29</v>
      </c>
      <c r="L25" s="79" t="n">
        <v>0</v>
      </c>
      <c r="M25" s="59" t="n"/>
      <c r="N25" s="80">
        <f>2/32</f>
        <v/>
      </c>
      <c r="O25" s="80" t="n">
        <v>0.52</v>
      </c>
      <c r="P25" s="80" t="n">
        <v>0.5</v>
      </c>
      <c r="Q25" s="81" t="n">
        <v>1.1</v>
      </c>
      <c r="R25" s="81" t="n">
        <v>2.3</v>
      </c>
      <c r="S25" s="81" t="n">
        <v>4.5</v>
      </c>
      <c r="T25" s="81" t="n">
        <v>3.2</v>
      </c>
      <c r="U25" s="49" t="inlineStr">
        <is>
          <t>N/A</t>
        </is>
      </c>
      <c r="V25" s="81" t="n"/>
      <c r="W25" s="81" t="n"/>
      <c r="X25" s="81" t="n"/>
      <c r="Y25" s="81" t="n"/>
      <c r="Z25" s="81" t="n"/>
      <c r="AA25" s="81" t="n"/>
      <c r="AB25" s="81" t="n"/>
      <c r="AC25" s="81" t="n"/>
      <c r="AD25" s="81" t="n"/>
      <c r="AE25" s="81" t="n"/>
      <c r="AF25" s="81" t="n"/>
      <c r="AG25" s="81" t="n"/>
    </row>
    <row r="26">
      <c r="A26" s="86" t="n"/>
      <c r="B26" s="528" t="n">
        <v>3</v>
      </c>
      <c r="C26" s="439" t="n">
        <v>5</v>
      </c>
      <c r="D26" s="91" t="inlineStr">
        <is>
          <t xml:space="preserve">Tibiri Nord 3 </t>
        </is>
      </c>
      <c r="E26" s="86" t="inlineStr">
        <is>
          <t>Tibiri</t>
        </is>
      </c>
      <c r="F26" s="86" t="inlineStr">
        <is>
          <t>Intervention</t>
        </is>
      </c>
      <c r="G26" s="87" t="n">
        <v>2018</v>
      </c>
      <c r="H26" s="87" t="n">
        <v>2019</v>
      </c>
      <c r="I26" s="91" t="n">
        <v>1</v>
      </c>
      <c r="J26" s="87" t="n">
        <v>2</v>
      </c>
      <c r="K26" s="87" t="n">
        <v>32</v>
      </c>
      <c r="L26" s="88" t="n">
        <v>1</v>
      </c>
      <c r="M26" s="537" t="n"/>
      <c r="N26" s="89">
        <f>1/30</f>
        <v/>
      </c>
      <c r="O26" s="89" t="n">
        <v>0.6899999999999999</v>
      </c>
      <c r="P26" s="89" t="n">
        <v>0.73</v>
      </c>
      <c r="Q26" s="90" t="n">
        <v>2</v>
      </c>
      <c r="R26" s="90" t="n">
        <v>5.9</v>
      </c>
      <c r="S26" s="90" t="n">
        <v>0.8</v>
      </c>
      <c r="T26" s="90" t="n">
        <v>3</v>
      </c>
      <c r="U26" s="49" t="inlineStr">
        <is>
          <t>N/A</t>
        </is>
      </c>
      <c r="V26" s="91" t="n"/>
      <c r="W26" s="91" t="n"/>
      <c r="X26" s="91" t="n"/>
      <c r="Y26" s="91" t="n"/>
      <c r="Z26" s="91" t="n"/>
      <c r="AA26" s="91" t="n"/>
      <c r="AB26" s="91" t="n"/>
      <c r="AC26" s="91" t="n"/>
      <c r="AD26" s="91" t="n"/>
      <c r="AE26" s="91" t="n"/>
      <c r="AF26" s="91" t="n"/>
      <c r="AG26" s="91" t="n"/>
    </row>
    <row r="27">
      <c r="A27" s="92" t="n"/>
      <c r="B27" s="698" t="n"/>
      <c r="C27" s="445" t="n">
        <v>6</v>
      </c>
      <c r="D27" s="62" t="inlineStr">
        <is>
          <t>Garin Daoure 1</t>
        </is>
      </c>
      <c r="E27" s="92" t="inlineStr">
        <is>
          <t>Tibiri</t>
        </is>
      </c>
      <c r="F27" s="92" t="inlineStr">
        <is>
          <t>Control</t>
        </is>
      </c>
      <c r="G27" s="55" t="n">
        <v>2018</v>
      </c>
      <c r="H27" s="56" t="n">
        <v>2019</v>
      </c>
      <c r="I27" s="62" t="n">
        <v>0</v>
      </c>
      <c r="J27" s="56" t="n">
        <v>0</v>
      </c>
      <c r="K27" s="57" t="n">
        <v>40</v>
      </c>
      <c r="L27" s="58" t="n">
        <v>0</v>
      </c>
      <c r="M27" s="59" t="n"/>
      <c r="N27" s="80">
        <f>2/18</f>
        <v/>
      </c>
      <c r="O27" s="80" t="n">
        <v>0.45</v>
      </c>
      <c r="P27" s="80" t="n">
        <v>0.78</v>
      </c>
      <c r="Q27" s="62" t="n">
        <v>0.6</v>
      </c>
      <c r="R27" s="62" t="n">
        <v>3.9</v>
      </c>
      <c r="S27" s="62" t="n">
        <v>3.4</v>
      </c>
      <c r="T27" s="62" t="n">
        <v>5.1</v>
      </c>
      <c r="U27" s="49" t="inlineStr">
        <is>
          <t>N/A</t>
        </is>
      </c>
      <c r="V27" s="62" t="n"/>
      <c r="W27" s="62" t="n"/>
      <c r="X27" s="62" t="n"/>
      <c r="Y27" s="62" t="n"/>
      <c r="Z27" s="62" t="n"/>
      <c r="AA27" s="62" t="n"/>
      <c r="AB27" s="62" t="n"/>
      <c r="AC27" s="62" t="n"/>
      <c r="AD27" s="62" t="n"/>
      <c r="AE27" s="62" t="n"/>
      <c r="AF27" s="62" t="n"/>
      <c r="AG27" s="62" t="n"/>
    </row>
    <row r="28">
      <c r="A28" s="67" t="n"/>
      <c r="B28" s="531" t="n">
        <v>4</v>
      </c>
      <c r="C28" s="65" t="n">
        <v>7</v>
      </c>
      <c r="D28" s="72" t="inlineStr">
        <is>
          <t>Tibiri Garba Kane 2</t>
        </is>
      </c>
      <c r="E28" s="67" t="inlineStr">
        <is>
          <t>Tibiri</t>
        </is>
      </c>
      <c r="F28" s="67" t="inlineStr">
        <is>
          <t>Intervention</t>
        </is>
      </c>
      <c r="G28" s="68" t="n">
        <v>2018</v>
      </c>
      <c r="H28" s="68" t="n">
        <v>2019</v>
      </c>
      <c r="I28" s="72" t="n">
        <v>1</v>
      </c>
      <c r="J28" s="68" t="n">
        <v>3</v>
      </c>
      <c r="K28" s="68" t="n">
        <v>31</v>
      </c>
      <c r="L28" s="93" t="n">
        <v>1</v>
      </c>
      <c r="M28" s="537" t="n"/>
      <c r="N28" s="89">
        <f>1/40</f>
        <v/>
      </c>
      <c r="O28" s="89" t="n">
        <v>0.67</v>
      </c>
      <c r="P28" s="89" t="n">
        <v>0.73</v>
      </c>
      <c r="Q28" s="72" t="n">
        <v>4.4</v>
      </c>
      <c r="R28" s="72" t="n">
        <v>8.199999999999999</v>
      </c>
      <c r="S28" s="72" t="n">
        <v>3.9</v>
      </c>
      <c r="T28" s="72" t="n">
        <v>6.1</v>
      </c>
      <c r="U28" s="49" t="inlineStr">
        <is>
          <t>N/A</t>
        </is>
      </c>
      <c r="V28" s="72" t="n"/>
      <c r="W28" s="72" t="n"/>
      <c r="X28" s="72" t="n"/>
      <c r="Y28" s="72" t="n"/>
      <c r="Z28" s="72" t="n"/>
      <c r="AA28" s="72" t="n"/>
      <c r="AB28" s="72" t="n"/>
      <c r="AC28" s="72" t="n"/>
      <c r="AD28" s="72" t="n"/>
      <c r="AE28" s="72" t="n"/>
      <c r="AF28" s="72" t="n"/>
      <c r="AG28" s="72" t="n"/>
    </row>
    <row r="29">
      <c r="A29" s="76" t="n"/>
      <c r="B29" s="698" t="n"/>
      <c r="C29" s="74" t="n">
        <v>8</v>
      </c>
      <c r="D29" s="81" t="inlineStr">
        <is>
          <t>Tibiri Dan Fillo 3</t>
        </is>
      </c>
      <c r="E29" s="76" t="inlineStr">
        <is>
          <t>Tibiri</t>
        </is>
      </c>
      <c r="F29" s="76" t="inlineStr">
        <is>
          <t>Control</t>
        </is>
      </c>
      <c r="G29" s="77" t="n">
        <v>2018</v>
      </c>
      <c r="H29" s="78" t="n">
        <v>2019</v>
      </c>
      <c r="I29" s="81" t="n">
        <v>0</v>
      </c>
      <c r="J29" s="78" t="n">
        <v>0</v>
      </c>
      <c r="K29" s="78" t="n">
        <v>29</v>
      </c>
      <c r="L29" s="79" t="n">
        <v>0</v>
      </c>
      <c r="M29" s="59" t="n"/>
      <c r="N29" s="80">
        <f>0/39</f>
        <v/>
      </c>
      <c r="O29" s="80" t="n">
        <v>0.76</v>
      </c>
      <c r="P29" s="80" t="n">
        <v>0.67</v>
      </c>
      <c r="Q29" s="81" t="n">
        <v>0.3</v>
      </c>
      <c r="R29" s="81" t="n">
        <v>1.8</v>
      </c>
      <c r="S29" s="81" t="n">
        <v>3.8</v>
      </c>
      <c r="T29" s="81" t="n">
        <v>3.1</v>
      </c>
      <c r="U29" s="49" t="inlineStr">
        <is>
          <t>N/A</t>
        </is>
      </c>
      <c r="V29" s="81" t="n"/>
      <c r="W29" s="81" t="n"/>
      <c r="X29" s="81" t="n"/>
      <c r="Y29" s="81" t="n"/>
      <c r="Z29" s="81" t="n"/>
      <c r="AA29" s="81" t="n"/>
      <c r="AB29" s="81" t="n"/>
      <c r="AC29" s="81" t="n"/>
      <c r="AD29" s="81" t="n"/>
      <c r="AE29" s="81" t="n"/>
      <c r="AF29" s="81" t="n"/>
      <c r="AG29" s="81" t="n"/>
    </row>
    <row r="30">
      <c r="A30" s="86" t="n"/>
      <c r="B30" s="528" t="n">
        <v>5</v>
      </c>
      <c r="C30" s="439" t="n">
        <v>9</v>
      </c>
      <c r="D30" s="91" t="inlineStr">
        <is>
          <t>Soura Aboubacar 3</t>
        </is>
      </c>
      <c r="E30" s="86" t="inlineStr">
        <is>
          <t>Tibiri</t>
        </is>
      </c>
      <c r="F30" s="86" t="inlineStr">
        <is>
          <t>Intervention</t>
        </is>
      </c>
      <c r="G30" s="87" t="n">
        <v>2018</v>
      </c>
      <c r="H30" s="87" t="n">
        <v>2019</v>
      </c>
      <c r="I30" s="91" t="n">
        <v>1</v>
      </c>
      <c r="J30" s="87" t="n">
        <v>3</v>
      </c>
      <c r="K30" s="87" t="n">
        <v>45</v>
      </c>
      <c r="L30" s="88" t="n">
        <v>1</v>
      </c>
      <c r="M30" s="537" t="n"/>
      <c r="N30" s="89">
        <f>14/45</f>
        <v/>
      </c>
      <c r="O30" s="89" t="n">
        <v>0.3</v>
      </c>
      <c r="P30" s="89" t="n">
        <v>0.62</v>
      </c>
      <c r="Q30" s="90" t="n">
        <v>3</v>
      </c>
      <c r="R30" s="90" t="n">
        <v>5.4</v>
      </c>
      <c r="S30" s="90" t="n">
        <v>0.2</v>
      </c>
      <c r="T30" s="90" t="n">
        <v>3.6</v>
      </c>
      <c r="U30" s="49" t="inlineStr">
        <is>
          <t>N/A</t>
        </is>
      </c>
      <c r="V30" s="91" t="n"/>
      <c r="W30" s="91" t="n"/>
      <c r="X30" s="91" t="n"/>
      <c r="Y30" s="91" t="n"/>
      <c r="Z30" s="91" t="n"/>
      <c r="AA30" s="91" t="n"/>
      <c r="AB30" s="91" t="n"/>
      <c r="AC30" s="91" t="n"/>
      <c r="AD30" s="91" t="n"/>
      <c r="AE30" s="91" t="n"/>
      <c r="AF30" s="91" t="n"/>
      <c r="AG30" s="91" t="n"/>
    </row>
    <row r="31">
      <c r="A31" s="92" t="n"/>
      <c r="B31" s="698" t="n"/>
      <c r="C31" s="445" t="n">
        <v>10</v>
      </c>
      <c r="D31" s="62" t="inlineStr">
        <is>
          <t xml:space="preserve">Imbelbelou 3 </t>
        </is>
      </c>
      <c r="E31" s="92" t="inlineStr">
        <is>
          <t>Tibiri</t>
        </is>
      </c>
      <c r="F31" s="92" t="inlineStr">
        <is>
          <t>Control</t>
        </is>
      </c>
      <c r="G31" s="55" t="n">
        <v>2018</v>
      </c>
      <c r="H31" s="56" t="n">
        <v>2019</v>
      </c>
      <c r="I31" s="62" t="n">
        <v>0</v>
      </c>
      <c r="J31" s="56" t="n">
        <v>0</v>
      </c>
      <c r="K31" s="57" t="n">
        <v>37</v>
      </c>
      <c r="L31" s="58" t="n">
        <v>0</v>
      </c>
      <c r="M31" s="59" t="n"/>
      <c r="N31" s="80">
        <f>3/40</f>
        <v/>
      </c>
      <c r="O31" s="80" t="n">
        <v>0.59</v>
      </c>
      <c r="P31" s="80" t="n">
        <v>0.55</v>
      </c>
      <c r="Q31" s="62" t="n">
        <v>1.3</v>
      </c>
      <c r="R31" s="62" t="n">
        <v>2.4</v>
      </c>
      <c r="S31" s="62" t="n">
        <v>6</v>
      </c>
      <c r="T31" s="62" t="n">
        <v>4.9</v>
      </c>
      <c r="U31" s="49" t="inlineStr">
        <is>
          <t>N/A</t>
        </is>
      </c>
      <c r="V31" s="62" t="n"/>
      <c r="W31" s="62" t="n"/>
      <c r="X31" s="62" t="n"/>
      <c r="Y31" s="62" t="n"/>
      <c r="Z31" s="62" t="n"/>
      <c r="AA31" s="62" t="n"/>
      <c r="AB31" s="62" t="n"/>
      <c r="AC31" s="62" t="n"/>
      <c r="AD31" s="62" t="n"/>
      <c r="AE31" s="62" t="n"/>
      <c r="AF31" s="62" t="n"/>
      <c r="AG31" s="62" t="n"/>
    </row>
    <row r="32">
      <c r="A32" s="67" t="n"/>
      <c r="B32" s="531" t="n">
        <v>6</v>
      </c>
      <c r="C32" s="65" t="n">
        <v>11</v>
      </c>
      <c r="D32" s="72" t="inlineStr">
        <is>
          <t>Soura Aboubacar 4</t>
        </is>
      </c>
      <c r="E32" s="67" t="inlineStr">
        <is>
          <t>Tibiri</t>
        </is>
      </c>
      <c r="F32" s="67" t="inlineStr">
        <is>
          <t>Intervention</t>
        </is>
      </c>
      <c r="G32" s="68" t="n">
        <v>2018</v>
      </c>
      <c r="H32" s="68" t="n">
        <v>2019</v>
      </c>
      <c r="I32" s="72" t="n">
        <v>1</v>
      </c>
      <c r="J32" s="68" t="n">
        <v>3</v>
      </c>
      <c r="K32" s="68" t="n">
        <v>31</v>
      </c>
      <c r="L32" s="93" t="n">
        <v>1</v>
      </c>
      <c r="M32" s="537" t="n"/>
      <c r="N32" s="89">
        <f>1/47</f>
        <v/>
      </c>
      <c r="O32" s="89" t="n">
        <v>0.7</v>
      </c>
      <c r="P32" s="89" t="n">
        <v>0.71</v>
      </c>
      <c r="Q32" s="72" t="n">
        <v>2.4</v>
      </c>
      <c r="R32" s="72" t="n">
        <v>6.4</v>
      </c>
      <c r="S32" s="72" t="n">
        <v>0.4</v>
      </c>
      <c r="T32" s="72" t="n">
        <v>3.2</v>
      </c>
      <c r="U32" s="49" t="inlineStr">
        <is>
          <t>N/A</t>
        </is>
      </c>
      <c r="V32" s="72" t="n"/>
      <c r="W32" s="72" t="n"/>
      <c r="X32" s="72" t="n"/>
      <c r="Y32" s="72" t="n"/>
      <c r="Z32" s="72" t="n"/>
      <c r="AA32" s="72" t="n"/>
      <c r="AB32" s="72" t="n"/>
      <c r="AC32" s="72" t="n"/>
      <c r="AD32" s="72" t="n"/>
      <c r="AE32" s="72" t="n"/>
      <c r="AF32" s="72" t="n"/>
      <c r="AG32" s="72" t="n"/>
    </row>
    <row r="33" ht="15.75" customHeight="1" s="695">
      <c r="A33" s="76" t="n"/>
      <c r="B33" s="698" t="n"/>
      <c r="C33" s="74" t="n">
        <v>12</v>
      </c>
      <c r="D33" s="81" t="inlineStr">
        <is>
          <t>Soura 2</t>
        </is>
      </c>
      <c r="E33" s="76" t="inlineStr">
        <is>
          <t>Tibiri</t>
        </is>
      </c>
      <c r="F33" s="76" t="inlineStr">
        <is>
          <t>Control</t>
        </is>
      </c>
      <c r="G33" s="77" t="n">
        <v>2018</v>
      </c>
      <c r="H33" s="78" t="n">
        <v>2019</v>
      </c>
      <c r="I33" s="81" t="n">
        <v>0</v>
      </c>
      <c r="J33" s="78" t="n">
        <v>0</v>
      </c>
      <c r="K33" s="78" t="n">
        <v>31</v>
      </c>
      <c r="L33" s="79" t="n">
        <v>0</v>
      </c>
      <c r="M33" s="59" t="n"/>
      <c r="N33" s="80">
        <f>9/36</f>
        <v/>
      </c>
      <c r="O33" s="80" t="n">
        <v>0.79</v>
      </c>
      <c r="P33" s="80" t="n">
        <v>0.61</v>
      </c>
      <c r="Q33" s="81" t="n">
        <v>1.3</v>
      </c>
      <c r="R33" s="81" t="n">
        <v>1.8</v>
      </c>
      <c r="S33" s="81" t="n">
        <v>3.3</v>
      </c>
      <c r="T33" s="81" t="n">
        <v>4.1</v>
      </c>
      <c r="U33" s="49" t="inlineStr">
        <is>
          <t>N/A</t>
        </is>
      </c>
      <c r="V33" s="81" t="n"/>
      <c r="W33" s="81" t="n"/>
      <c r="X33" s="81" t="n"/>
      <c r="Y33" s="81" t="n"/>
      <c r="Z33" s="81" t="n"/>
      <c r="AA33" s="81" t="n"/>
      <c r="AB33" s="81" t="n"/>
      <c r="AC33" s="81" t="n"/>
      <c r="AD33" s="81" t="n"/>
      <c r="AE33" s="81" t="n"/>
      <c r="AF33" s="81" t="n"/>
      <c r="AG33" s="81" t="n"/>
    </row>
    <row r="34">
      <c r="A34" s="86" t="n"/>
      <c r="B34" s="528" t="n">
        <v>7</v>
      </c>
      <c r="C34" s="87" t="n">
        <v>13</v>
      </c>
      <c r="D34" s="86" t="inlineStr">
        <is>
          <t xml:space="preserve">Garin Yari Idi </t>
        </is>
      </c>
      <c r="E34" s="86" t="inlineStr">
        <is>
          <t>Tibiri</t>
        </is>
      </c>
      <c r="F34" s="86" t="inlineStr">
        <is>
          <t>Intervention</t>
        </is>
      </c>
      <c r="G34" s="87" t="n">
        <v>2018</v>
      </c>
      <c r="H34" s="87" t="n">
        <v>2019</v>
      </c>
      <c r="I34" s="91" t="n">
        <v>1</v>
      </c>
      <c r="J34" s="87" t="n">
        <v>4</v>
      </c>
      <c r="K34" s="87" t="n">
        <v>65</v>
      </c>
      <c r="L34" s="88" t="n">
        <v>1</v>
      </c>
      <c r="M34" s="537" t="n"/>
      <c r="N34" s="89">
        <f>1/44</f>
        <v/>
      </c>
      <c r="O34" s="89" t="n">
        <v>0.62</v>
      </c>
      <c r="P34" s="89" t="n">
        <v>0.7</v>
      </c>
      <c r="Q34" s="90" t="n">
        <v>2.1</v>
      </c>
      <c r="R34" s="90" t="n">
        <v>3.5</v>
      </c>
      <c r="S34" s="90" t="n">
        <v>0.1</v>
      </c>
      <c r="T34" s="90" t="n">
        <v>1.1</v>
      </c>
      <c r="U34" s="49" t="inlineStr">
        <is>
          <t>N/A</t>
        </is>
      </c>
      <c r="V34" s="91" t="n"/>
      <c r="W34" s="91" t="n"/>
      <c r="X34" s="91" t="n"/>
      <c r="Y34" s="91" t="n"/>
      <c r="Z34" s="91" t="n"/>
      <c r="AA34" s="91" t="n"/>
      <c r="AB34" s="91" t="n"/>
      <c r="AC34" s="91" t="n"/>
      <c r="AD34" s="91" t="n"/>
      <c r="AE34" s="91" t="n"/>
      <c r="AF34" s="91" t="n"/>
      <c r="AG34" s="91" t="n"/>
    </row>
    <row r="35">
      <c r="A35" s="92" t="n"/>
      <c r="B35" s="698" t="n"/>
      <c r="C35" s="56" t="n">
        <v>14</v>
      </c>
      <c r="D35" s="92" t="inlineStr">
        <is>
          <t xml:space="preserve">Kara Kara 2 </t>
        </is>
      </c>
      <c r="E35" s="92" t="inlineStr">
        <is>
          <t>Tibiri</t>
        </is>
      </c>
      <c r="F35" s="92" t="inlineStr">
        <is>
          <t>Control</t>
        </is>
      </c>
      <c r="G35" s="55" t="n">
        <v>2018</v>
      </c>
      <c r="H35" s="56" t="n">
        <v>2019</v>
      </c>
      <c r="I35" s="62" t="n">
        <v>0</v>
      </c>
      <c r="J35" s="56" t="n">
        <v>0</v>
      </c>
      <c r="K35" s="57" t="n">
        <v>24</v>
      </c>
      <c r="L35" s="405" t="n">
        <v>0</v>
      </c>
      <c r="M35" s="59" t="n"/>
      <c r="N35" s="80">
        <f>10/46</f>
        <v/>
      </c>
      <c r="O35" s="80" t="n">
        <v>0.57</v>
      </c>
      <c r="P35" s="80" t="n">
        <v>0.59</v>
      </c>
      <c r="Q35" s="62" t="n">
        <v>1.8</v>
      </c>
      <c r="R35" s="62" t="n">
        <v>4.1</v>
      </c>
      <c r="S35" s="62" t="n">
        <v>3.3</v>
      </c>
      <c r="T35" s="62" t="n">
        <v>3.9</v>
      </c>
      <c r="U35" s="49" t="inlineStr">
        <is>
          <t>N/A</t>
        </is>
      </c>
      <c r="V35" s="62" t="n"/>
      <c r="W35" s="62" t="n"/>
      <c r="X35" s="62" t="n"/>
      <c r="Y35" s="62" t="n"/>
      <c r="Z35" s="62" t="n"/>
      <c r="AA35" s="62" t="n"/>
      <c r="AB35" s="62" t="n"/>
      <c r="AC35" s="62" t="n"/>
      <c r="AD35" s="62" t="n"/>
      <c r="AE35" s="62" t="n"/>
      <c r="AF35" s="62" t="n"/>
      <c r="AG35" s="62" t="n"/>
    </row>
    <row r="36">
      <c r="A36" s="95" t="n"/>
      <c r="B36" s="95" t="n"/>
      <c r="C36" s="96" t="n"/>
      <c r="D36" s="97" t="n"/>
      <c r="E36" s="95" t="n"/>
      <c r="F36" s="95" t="n"/>
      <c r="G36" s="95" t="n"/>
      <c r="H36" s="95" t="n"/>
      <c r="I36" s="98" t="n"/>
      <c r="J36" s="98" t="n"/>
      <c r="K36" s="98" t="n"/>
      <c r="L36" s="99" t="n"/>
      <c r="M36" s="100" t="n"/>
      <c r="N36" s="36" t="n"/>
      <c r="O36" s="36" t="n"/>
      <c r="P36" s="36" t="n"/>
      <c r="Q36" s="100" t="n"/>
      <c r="R36" s="100" t="n"/>
      <c r="S36" s="100" t="n"/>
      <c r="T36" s="100" t="n"/>
      <c r="U36" s="100" t="n"/>
      <c r="V36" s="100" t="n"/>
      <c r="W36" s="100" t="n"/>
      <c r="X36" s="100" t="n"/>
      <c r="Y36" s="100" t="n"/>
      <c r="Z36" s="100" t="n"/>
    </row>
    <row r="37">
      <c r="A37" s="207" t="inlineStr">
        <is>
          <t>COHORTE 2 CM2 2019-2020</t>
        </is>
      </c>
      <c r="B37" s="100" t="n"/>
      <c r="C37" s="99" t="n"/>
      <c r="D37" s="100" t="n"/>
      <c r="E37" s="100" t="n"/>
      <c r="F37" s="100" t="n"/>
      <c r="G37" s="100" t="n"/>
      <c r="H37" s="100" t="n"/>
      <c r="I37" s="99" t="n"/>
      <c r="J37" s="99" t="n"/>
      <c r="K37" s="99" t="n"/>
      <c r="L37" s="99" t="n"/>
      <c r="M37" s="100" t="n"/>
      <c r="N37" s="36" t="n"/>
      <c r="O37" s="36" t="n"/>
      <c r="P37" s="36" t="n"/>
      <c r="Q37" s="100" t="n"/>
      <c r="R37" s="100" t="n"/>
      <c r="S37" s="100" t="n"/>
      <c r="T37" s="100" t="n"/>
      <c r="U37" s="100" t="n"/>
      <c r="V37" s="100" t="n"/>
      <c r="W37" s="100" t="n"/>
      <c r="X37" s="100" t="n"/>
      <c r="Y37" s="100" t="n"/>
      <c r="Z37" s="100" t="n"/>
    </row>
    <row r="38">
      <c r="A38" s="102" t="n"/>
      <c r="B38" s="103" t="n"/>
      <c r="C38" s="387" t="n"/>
      <c r="D38" s="35" t="inlineStr">
        <is>
          <t>Soura Sarkin Galma 1</t>
        </is>
      </c>
      <c r="E38" s="92" t="inlineStr">
        <is>
          <t>Tibiri</t>
        </is>
      </c>
      <c r="F38" s="26" t="inlineStr">
        <is>
          <t>Control</t>
        </is>
      </c>
      <c r="G38" s="102" t="n">
        <v>2018</v>
      </c>
      <c r="H38" s="102" t="n">
        <v>2019</v>
      </c>
      <c r="I38" s="35" t="n">
        <v>0</v>
      </c>
      <c r="J38" s="104" t="n">
        <v>0</v>
      </c>
      <c r="K38" s="105" t="inlineStr">
        <is>
          <t>NA</t>
        </is>
      </c>
      <c r="L38" s="104" t="n">
        <v>0</v>
      </c>
      <c r="M38" s="106" t="inlineStr">
        <is>
          <t>NR</t>
        </is>
      </c>
      <c r="N38" s="699" t="inlineStr">
        <is>
          <t>NR</t>
        </is>
      </c>
      <c r="O38" s="699" t="inlineStr">
        <is>
          <t>NR</t>
        </is>
      </c>
      <c r="P38" s="699" t="inlineStr">
        <is>
          <t>NR</t>
        </is>
      </c>
      <c r="Q38" s="107" t="inlineStr">
        <is>
          <t>NA</t>
        </is>
      </c>
      <c r="R38" s="107" t="inlineStr">
        <is>
          <t>NA</t>
        </is>
      </c>
      <c r="S38" s="107" t="inlineStr">
        <is>
          <t>NA</t>
        </is>
      </c>
      <c r="T38" s="107" t="inlineStr">
        <is>
          <t>NA</t>
        </is>
      </c>
      <c r="U38" s="107" t="inlineStr">
        <is>
          <t>NA</t>
        </is>
      </c>
      <c r="V38" s="35" t="inlineStr">
        <is>
          <t>2018-2019</t>
        </is>
      </c>
      <c r="X38" s="108" t="inlineStr">
        <is>
          <t>https://docs.google.com/spreadsheets/d/1xRdk49Br5PrKz3D41MqcFnlMRr7DtgS7/edit?gid=1393562191#gid=1393562191</t>
        </is>
      </c>
      <c r="Y38" s="35" t="n"/>
      <c r="Z38" s="35" t="n"/>
      <c r="AA38" s="35" t="n"/>
      <c r="AB38" s="35" t="n"/>
      <c r="AC38" s="35" t="n"/>
      <c r="AD38" s="35" t="n"/>
      <c r="AE38" s="35" t="n"/>
      <c r="AF38" s="35" t="n"/>
      <c r="AG38" s="35" t="n"/>
    </row>
    <row r="39">
      <c r="A39" s="102" t="n"/>
      <c r="B39" s="103" t="n">
        <v>7</v>
      </c>
      <c r="C39" s="387" t="n">
        <v>15</v>
      </c>
      <c r="D39" s="35" t="inlineStr">
        <is>
          <t>Waraou</t>
        </is>
      </c>
      <c r="E39" s="92" t="inlineStr">
        <is>
          <t>Tibiri</t>
        </is>
      </c>
      <c r="F39" s="102" t="inlineStr">
        <is>
          <t>Intervention</t>
        </is>
      </c>
      <c r="G39" s="102" t="n">
        <v>2018</v>
      </c>
      <c r="H39" s="102" t="n">
        <v>2019</v>
      </c>
      <c r="I39" s="35" t="n">
        <v>0</v>
      </c>
      <c r="J39" s="104" t="n">
        <v>0</v>
      </c>
      <c r="K39" s="105" t="n">
        <v>42</v>
      </c>
      <c r="L39" s="104" t="n">
        <v>0</v>
      </c>
      <c r="M39" s="106" t="inlineStr">
        <is>
          <t>NR</t>
        </is>
      </c>
      <c r="N39" s="109" t="n">
        <v>0.5</v>
      </c>
      <c r="O39" s="699" t="inlineStr">
        <is>
          <t>NR</t>
        </is>
      </c>
      <c r="P39" s="109" t="n">
        <v>0.5</v>
      </c>
      <c r="Q39" s="107" t="inlineStr">
        <is>
          <t>NA</t>
        </is>
      </c>
      <c r="R39" s="107" t="inlineStr">
        <is>
          <t>NA</t>
        </is>
      </c>
      <c r="S39" s="107" t="inlineStr">
        <is>
          <t>NA</t>
        </is>
      </c>
      <c r="T39" s="107" t="inlineStr">
        <is>
          <t>NA</t>
        </is>
      </c>
      <c r="U39" s="107" t="inlineStr">
        <is>
          <t>NA</t>
        </is>
      </c>
      <c r="V39" s="35" t="inlineStr">
        <is>
          <t>2018-2019</t>
        </is>
      </c>
      <c r="W39" s="35" t="n"/>
      <c r="X39" s="35" t="n"/>
      <c r="Y39" s="35" t="n"/>
      <c r="Z39" s="35" t="n"/>
      <c r="AA39" s="35" t="n"/>
      <c r="AB39" s="35" t="n"/>
      <c r="AC39" s="35" t="n"/>
      <c r="AD39" s="35" t="n"/>
      <c r="AE39" s="35" t="n"/>
      <c r="AF39" s="35" t="n"/>
      <c r="AG39" s="35" t="n"/>
    </row>
    <row r="40">
      <c r="A40" s="102" t="n"/>
      <c r="C40" s="387" t="n">
        <v>16</v>
      </c>
      <c r="D40" s="35" t="inlineStr">
        <is>
          <t>Soura Sarkin Galma 2</t>
        </is>
      </c>
      <c r="E40" s="92" t="inlineStr">
        <is>
          <t>Tibiri</t>
        </is>
      </c>
      <c r="F40" s="102" t="inlineStr">
        <is>
          <t>Control</t>
        </is>
      </c>
      <c r="G40" s="102" t="n">
        <v>2018</v>
      </c>
      <c r="H40" s="102" t="n">
        <v>2019</v>
      </c>
      <c r="I40" s="35" t="n">
        <v>0</v>
      </c>
      <c r="J40" s="104" t="n">
        <v>0</v>
      </c>
      <c r="K40" s="105" t="n">
        <v>73</v>
      </c>
      <c r="L40" s="104" t="n">
        <v>0</v>
      </c>
      <c r="M40" s="110" t="n"/>
      <c r="N40" s="109" t="n">
        <v>0.5334</v>
      </c>
      <c r="O40" s="699" t="inlineStr">
        <is>
          <t>NR</t>
        </is>
      </c>
      <c r="P40" s="109" t="n">
        <v>0.4666</v>
      </c>
      <c r="Q40" s="107" t="inlineStr">
        <is>
          <t>NA</t>
        </is>
      </c>
      <c r="R40" s="107" t="inlineStr">
        <is>
          <t>NA</t>
        </is>
      </c>
      <c r="S40" s="107" t="inlineStr">
        <is>
          <t>NA</t>
        </is>
      </c>
      <c r="T40" s="107" t="inlineStr">
        <is>
          <t>NA</t>
        </is>
      </c>
      <c r="U40" s="107" t="inlineStr">
        <is>
          <t>NA</t>
        </is>
      </c>
      <c r="V40" s="35" t="inlineStr">
        <is>
          <t>2018-2019</t>
        </is>
      </c>
      <c r="W40" s="35" t="n"/>
      <c r="X40" s="35" t="n"/>
      <c r="Y40" s="35" t="n"/>
      <c r="Z40" s="35" t="n"/>
      <c r="AA40" s="35" t="n"/>
      <c r="AB40" s="35" t="n"/>
      <c r="AC40" s="35" t="n"/>
      <c r="AD40" s="35" t="n"/>
      <c r="AE40" s="35" t="n"/>
      <c r="AF40" s="35" t="n"/>
      <c r="AG40" s="35" t="n"/>
    </row>
    <row r="41">
      <c r="A41" s="102" t="n"/>
      <c r="B41" s="103" t="n">
        <v>8</v>
      </c>
      <c r="C41" s="387" t="n">
        <v>17</v>
      </c>
      <c r="D41" s="35" t="inlineStr">
        <is>
          <t>Madara</t>
        </is>
      </c>
      <c r="E41" s="92" t="inlineStr">
        <is>
          <t>Tibiri</t>
        </is>
      </c>
      <c r="F41" s="102" t="inlineStr">
        <is>
          <t>Intervention</t>
        </is>
      </c>
      <c r="G41" s="102" t="n">
        <v>2018</v>
      </c>
      <c r="H41" s="102" t="n">
        <v>2019</v>
      </c>
      <c r="I41" s="35" t="n">
        <v>0</v>
      </c>
      <c r="J41" s="104" t="n">
        <v>0</v>
      </c>
      <c r="K41" s="105" t="n">
        <v>18</v>
      </c>
      <c r="L41" s="104" t="n">
        <v>0</v>
      </c>
      <c r="M41" s="106" t="inlineStr">
        <is>
          <t>NR</t>
        </is>
      </c>
      <c r="N41" s="699" t="inlineStr">
        <is>
          <t>NR</t>
        </is>
      </c>
      <c r="O41" s="699" t="inlineStr">
        <is>
          <t>NR</t>
        </is>
      </c>
      <c r="P41" s="699" t="inlineStr">
        <is>
          <t>NR</t>
        </is>
      </c>
      <c r="Q41" s="107" t="inlineStr">
        <is>
          <t>NA</t>
        </is>
      </c>
      <c r="R41" s="107" t="inlineStr">
        <is>
          <t>NA</t>
        </is>
      </c>
      <c r="S41" s="107" t="inlineStr">
        <is>
          <t>NA</t>
        </is>
      </c>
      <c r="T41" s="107" t="inlineStr">
        <is>
          <t>NA</t>
        </is>
      </c>
      <c r="U41" s="107" t="inlineStr">
        <is>
          <t>NA</t>
        </is>
      </c>
      <c r="V41" s="35" t="inlineStr">
        <is>
          <t>2018-2019</t>
        </is>
      </c>
      <c r="W41" s="35" t="n"/>
      <c r="X41" s="35" t="n"/>
      <c r="Y41" s="35" t="n"/>
      <c r="Z41" s="35" t="n"/>
      <c r="AA41" s="35" t="n"/>
      <c r="AB41" s="35" t="n"/>
      <c r="AC41" s="35" t="n"/>
      <c r="AD41" s="35" t="n"/>
      <c r="AE41" s="35" t="n"/>
      <c r="AF41" s="35" t="n"/>
      <c r="AG41" s="35" t="n"/>
    </row>
    <row r="42">
      <c r="A42" s="102" t="n"/>
      <c r="C42" s="387" t="n">
        <v>18</v>
      </c>
      <c r="D42" s="35" t="inlineStr">
        <is>
          <t>Yan Zango</t>
        </is>
      </c>
      <c r="E42" s="92" t="inlineStr">
        <is>
          <t>Tibiri</t>
        </is>
      </c>
      <c r="F42" s="102" t="inlineStr">
        <is>
          <t>Control</t>
        </is>
      </c>
      <c r="G42" s="102" t="n">
        <v>2018</v>
      </c>
      <c r="H42" s="102" t="n">
        <v>2019</v>
      </c>
      <c r="I42" s="35" t="n">
        <v>0</v>
      </c>
      <c r="J42" s="104" t="n">
        <v>0</v>
      </c>
      <c r="K42" s="105" t="n">
        <v>15</v>
      </c>
      <c r="L42" s="104" t="n">
        <v>0</v>
      </c>
      <c r="M42" s="110" t="n"/>
      <c r="N42" s="109" t="n">
        <v>0.4</v>
      </c>
      <c r="O42" s="699" t="inlineStr">
        <is>
          <t>NR</t>
        </is>
      </c>
      <c r="P42" s="109" t="n">
        <v>0.6</v>
      </c>
      <c r="Q42" s="107" t="inlineStr">
        <is>
          <t>NA</t>
        </is>
      </c>
      <c r="R42" s="107" t="inlineStr">
        <is>
          <t>NA</t>
        </is>
      </c>
      <c r="S42" s="107" t="inlineStr">
        <is>
          <t>NA</t>
        </is>
      </c>
      <c r="T42" s="107" t="inlineStr">
        <is>
          <t>NA</t>
        </is>
      </c>
      <c r="U42" s="107" t="inlineStr">
        <is>
          <t>NA</t>
        </is>
      </c>
      <c r="V42" s="35" t="inlineStr">
        <is>
          <t>2018-2019</t>
        </is>
      </c>
      <c r="W42" s="35" t="n"/>
      <c r="X42" s="35" t="n"/>
      <c r="Y42" s="35" t="n"/>
      <c r="Z42" s="35" t="n"/>
      <c r="AA42" s="35" t="n"/>
      <c r="AB42" s="35" t="n"/>
      <c r="AC42" s="35" t="n"/>
      <c r="AD42" s="35" t="n"/>
      <c r="AE42" s="35" t="n"/>
      <c r="AF42" s="35" t="n"/>
      <c r="AG42" s="35" t="n"/>
    </row>
    <row r="43">
      <c r="A43" s="102" t="n"/>
      <c r="B43" s="103" t="n">
        <v>9</v>
      </c>
      <c r="C43" s="387" t="n">
        <v>19</v>
      </c>
      <c r="D43" s="35" t="inlineStr">
        <is>
          <t>Guidan Oumarou D</t>
        </is>
      </c>
      <c r="E43" s="92" t="inlineStr">
        <is>
          <t>Tibiri</t>
        </is>
      </c>
      <c r="F43" s="102" t="inlineStr">
        <is>
          <t>Intervention</t>
        </is>
      </c>
      <c r="G43" s="102" t="n">
        <v>2018</v>
      </c>
      <c r="H43" s="102" t="n">
        <v>2019</v>
      </c>
      <c r="I43" s="35" t="n">
        <v>0</v>
      </c>
      <c r="J43" s="104" t="n">
        <v>0</v>
      </c>
      <c r="K43" s="105" t="n">
        <v>48</v>
      </c>
      <c r="L43" s="104" t="n">
        <v>0</v>
      </c>
      <c r="M43" s="106" t="inlineStr">
        <is>
          <t>NR</t>
        </is>
      </c>
      <c r="N43" s="109" t="n">
        <v>0.2703</v>
      </c>
      <c r="O43" s="699" t="inlineStr">
        <is>
          <t>NR</t>
        </is>
      </c>
      <c r="P43" s="109" t="n">
        <v>0.7297</v>
      </c>
      <c r="Q43" s="107" t="inlineStr">
        <is>
          <t>NA</t>
        </is>
      </c>
      <c r="R43" s="107" t="inlineStr">
        <is>
          <t>NA</t>
        </is>
      </c>
      <c r="S43" s="107" t="inlineStr">
        <is>
          <t>NA</t>
        </is>
      </c>
      <c r="T43" s="107" t="inlineStr">
        <is>
          <t>NA</t>
        </is>
      </c>
      <c r="U43" s="107" t="inlineStr">
        <is>
          <t>NA</t>
        </is>
      </c>
      <c r="V43" s="35" t="inlineStr">
        <is>
          <t>2018-2019</t>
        </is>
      </c>
      <c r="W43" s="35" t="n"/>
      <c r="X43" s="35" t="n"/>
      <c r="Y43" s="35" t="n"/>
      <c r="Z43" s="35" t="n"/>
      <c r="AA43" s="35" t="n"/>
      <c r="AB43" s="35" t="n"/>
      <c r="AC43" s="35" t="n"/>
      <c r="AD43" s="35" t="n"/>
      <c r="AE43" s="35" t="n"/>
      <c r="AF43" s="35" t="n"/>
      <c r="AG43" s="35" t="n"/>
    </row>
    <row r="44">
      <c r="A44" s="102" t="n"/>
      <c r="C44" s="387" t="n">
        <v>20</v>
      </c>
      <c r="D44" s="35" t="inlineStr">
        <is>
          <t>Garin Adjia Sofoua</t>
        </is>
      </c>
      <c r="E44" s="92" t="inlineStr">
        <is>
          <t>Tibiri</t>
        </is>
      </c>
      <c r="F44" s="102" t="inlineStr">
        <is>
          <t>Control</t>
        </is>
      </c>
      <c r="G44" s="102" t="n">
        <v>2018</v>
      </c>
      <c r="H44" s="102" t="n">
        <v>2019</v>
      </c>
      <c r="I44" s="35" t="n">
        <v>0</v>
      </c>
      <c r="J44" s="104" t="n">
        <v>0</v>
      </c>
      <c r="K44" s="105" t="n">
        <v>12</v>
      </c>
      <c r="L44" s="104" t="n">
        <v>0</v>
      </c>
      <c r="M44" s="110" t="n"/>
      <c r="N44" s="109" t="n">
        <v>0</v>
      </c>
      <c r="O44" s="699" t="inlineStr">
        <is>
          <t>NR</t>
        </is>
      </c>
      <c r="P44" s="109" t="n">
        <v>1</v>
      </c>
      <c r="Q44" s="107" t="inlineStr">
        <is>
          <t>NA</t>
        </is>
      </c>
      <c r="R44" s="107" t="inlineStr">
        <is>
          <t>NA</t>
        </is>
      </c>
      <c r="S44" s="107" t="inlineStr">
        <is>
          <t>NA</t>
        </is>
      </c>
      <c r="T44" s="107" t="inlineStr">
        <is>
          <t>NA</t>
        </is>
      </c>
      <c r="U44" s="107" t="inlineStr">
        <is>
          <t>NA</t>
        </is>
      </c>
      <c r="V44" s="35" t="inlineStr">
        <is>
          <t>2018-2019</t>
        </is>
      </c>
      <c r="W44" s="35" t="n"/>
      <c r="X44" s="35" t="n"/>
      <c r="Y44" s="35" t="n"/>
      <c r="Z44" s="35" t="n"/>
      <c r="AA44" s="35" t="n"/>
      <c r="AB44" s="35" t="n"/>
      <c r="AC44" s="35" t="n"/>
      <c r="AD44" s="35" t="n"/>
      <c r="AE44" s="35" t="n"/>
      <c r="AF44" s="35" t="n"/>
      <c r="AG44" s="35" t="n"/>
    </row>
    <row r="45">
      <c r="A45" s="102" t="n"/>
      <c r="B45" s="103" t="n">
        <v>10</v>
      </c>
      <c r="C45" s="387" t="n">
        <v>21</v>
      </c>
      <c r="D45" s="35" t="inlineStr">
        <is>
          <t>Moundourkoussa</t>
        </is>
      </c>
      <c r="E45" s="92" t="inlineStr">
        <is>
          <t>Tibiri</t>
        </is>
      </c>
      <c r="F45" s="102" t="inlineStr">
        <is>
          <t>Intervention</t>
        </is>
      </c>
      <c r="G45" s="102" t="n">
        <v>2018</v>
      </c>
      <c r="H45" s="102" t="n">
        <v>2019</v>
      </c>
      <c r="I45" s="35" t="n">
        <v>0</v>
      </c>
      <c r="J45" s="104" t="n">
        <v>0</v>
      </c>
      <c r="K45" s="105" t="n">
        <v>16</v>
      </c>
      <c r="L45" s="104" t="n">
        <v>0</v>
      </c>
      <c r="M45" s="110" t="n"/>
      <c r="N45" s="109" t="n">
        <v>0.4</v>
      </c>
      <c r="O45" s="699" t="inlineStr">
        <is>
          <t>NR</t>
        </is>
      </c>
      <c r="P45" s="109" t="n">
        <v>0.6</v>
      </c>
      <c r="Q45" s="107" t="inlineStr">
        <is>
          <t>NA</t>
        </is>
      </c>
      <c r="R45" s="107" t="inlineStr">
        <is>
          <t>NA</t>
        </is>
      </c>
      <c r="S45" s="107" t="inlineStr">
        <is>
          <t>NA</t>
        </is>
      </c>
      <c r="T45" s="107" t="inlineStr">
        <is>
          <t>NA</t>
        </is>
      </c>
      <c r="U45" s="107" t="inlineStr">
        <is>
          <t>NA</t>
        </is>
      </c>
      <c r="V45" s="35" t="inlineStr">
        <is>
          <t>2018-2019</t>
        </is>
      </c>
      <c r="W45" s="35" t="n"/>
      <c r="X45" s="35" t="n"/>
      <c r="Y45" s="35" t="n"/>
      <c r="Z45" s="35" t="n"/>
      <c r="AA45" s="35" t="n"/>
      <c r="AB45" s="35" t="n"/>
      <c r="AC45" s="35" t="n"/>
      <c r="AD45" s="35" t="n"/>
      <c r="AE45" s="35" t="n"/>
      <c r="AF45" s="35" t="n"/>
      <c r="AG45" s="35" t="n"/>
    </row>
    <row r="46">
      <c r="A46" s="102" t="n"/>
      <c r="C46" s="387" t="n">
        <v>22</v>
      </c>
      <c r="D46" s="35" t="inlineStr">
        <is>
          <t>Guigamaoua Sofoua</t>
        </is>
      </c>
      <c r="E46" s="92" t="inlineStr">
        <is>
          <t>Tibiri</t>
        </is>
      </c>
      <c r="F46" s="102" t="inlineStr">
        <is>
          <t>Control</t>
        </is>
      </c>
      <c r="G46" s="102" t="n">
        <v>2018</v>
      </c>
      <c r="H46" s="102" t="n">
        <v>2019</v>
      </c>
      <c r="I46" s="35" t="n">
        <v>0</v>
      </c>
      <c r="J46" s="104" t="n">
        <v>0</v>
      </c>
      <c r="K46" s="105" t="n">
        <v>21</v>
      </c>
      <c r="L46" s="104" t="n">
        <v>0</v>
      </c>
      <c r="M46" s="110" t="n"/>
      <c r="N46" s="109" t="n">
        <v>0.4737</v>
      </c>
      <c r="O46" s="699" t="inlineStr">
        <is>
          <t>NR</t>
        </is>
      </c>
      <c r="P46" s="109" t="n">
        <v>0.5263</v>
      </c>
      <c r="Q46" s="107" t="inlineStr">
        <is>
          <t>NA</t>
        </is>
      </c>
      <c r="R46" s="107" t="inlineStr">
        <is>
          <t>NA</t>
        </is>
      </c>
      <c r="S46" s="107" t="inlineStr">
        <is>
          <t>NA</t>
        </is>
      </c>
      <c r="T46" s="107" t="inlineStr">
        <is>
          <t>NA</t>
        </is>
      </c>
      <c r="U46" s="107" t="inlineStr">
        <is>
          <t>NA</t>
        </is>
      </c>
      <c r="V46" s="35" t="inlineStr">
        <is>
          <t>2018-2019</t>
        </is>
      </c>
      <c r="W46" s="35" t="n"/>
      <c r="X46" s="35" t="n"/>
      <c r="Y46" s="35" t="n"/>
      <c r="Z46" s="35" t="n"/>
      <c r="AA46" s="35" t="n"/>
      <c r="AB46" s="35" t="n"/>
      <c r="AC46" s="35" t="n"/>
      <c r="AD46" s="35" t="n"/>
      <c r="AE46" s="35" t="n"/>
      <c r="AF46" s="35" t="n"/>
      <c r="AG46" s="35" t="n"/>
    </row>
    <row r="47">
      <c r="A47" s="102" t="n"/>
      <c r="B47" s="103" t="n">
        <v>11</v>
      </c>
      <c r="C47" s="387" t="n">
        <v>23</v>
      </c>
      <c r="D47" s="35" t="inlineStr">
        <is>
          <t>Guidan Adjia 1</t>
        </is>
      </c>
      <c r="E47" s="92" t="inlineStr">
        <is>
          <t>Tibiri</t>
        </is>
      </c>
      <c r="F47" s="102" t="inlineStr">
        <is>
          <t>Intervention</t>
        </is>
      </c>
      <c r="G47" s="102" t="n">
        <v>2018</v>
      </c>
      <c r="H47" s="102" t="n">
        <v>2019</v>
      </c>
      <c r="I47" s="35" t="n">
        <v>0</v>
      </c>
      <c r="J47" s="104" t="n">
        <v>0</v>
      </c>
      <c r="K47" s="105" t="n">
        <v>31</v>
      </c>
      <c r="L47" s="104" t="n">
        <v>0</v>
      </c>
      <c r="M47" s="110" t="n"/>
      <c r="N47" s="109" t="n">
        <v>0.6153999999999999</v>
      </c>
      <c r="O47" s="699" t="inlineStr">
        <is>
          <t>NR</t>
        </is>
      </c>
      <c r="P47" s="109" t="n">
        <v>0.3846</v>
      </c>
      <c r="Q47" s="107" t="inlineStr">
        <is>
          <t>NA</t>
        </is>
      </c>
      <c r="R47" s="107" t="inlineStr">
        <is>
          <t>NA</t>
        </is>
      </c>
      <c r="S47" s="107" t="inlineStr">
        <is>
          <t>NA</t>
        </is>
      </c>
      <c r="T47" s="107" t="inlineStr">
        <is>
          <t>NA</t>
        </is>
      </c>
      <c r="U47" s="107" t="inlineStr">
        <is>
          <t>NA</t>
        </is>
      </c>
      <c r="V47" s="35" t="inlineStr">
        <is>
          <t>2018-2019</t>
        </is>
      </c>
      <c r="W47" s="35" t="n"/>
      <c r="X47" s="35" t="n"/>
      <c r="Y47" s="35" t="n"/>
      <c r="Z47" s="35" t="n"/>
      <c r="AA47" s="35" t="n"/>
      <c r="AB47" s="35" t="n"/>
      <c r="AC47" s="35" t="n"/>
      <c r="AD47" s="35" t="n"/>
      <c r="AE47" s="35" t="n"/>
      <c r="AF47" s="35" t="n"/>
      <c r="AG47" s="35" t="n"/>
    </row>
    <row r="48">
      <c r="A48" s="102" t="n"/>
      <c r="C48" s="387" t="n">
        <v>24</v>
      </c>
      <c r="D48" s="35" t="inlineStr">
        <is>
          <t>Dan Adoua</t>
        </is>
      </c>
      <c r="E48" s="92" t="inlineStr">
        <is>
          <t>Tibiri</t>
        </is>
      </c>
      <c r="F48" s="102" t="inlineStr">
        <is>
          <t>Control</t>
        </is>
      </c>
      <c r="G48" s="102" t="n">
        <v>2018</v>
      </c>
      <c r="H48" s="102" t="n">
        <v>2019</v>
      </c>
      <c r="I48" s="35" t="n">
        <v>0</v>
      </c>
      <c r="J48" s="104" t="n">
        <v>0</v>
      </c>
      <c r="K48" s="105" t="n">
        <v>28</v>
      </c>
      <c r="L48" s="104" t="n">
        <v>0</v>
      </c>
      <c r="M48" s="110" t="n"/>
      <c r="N48" s="109" t="n">
        <v>0.6316000000000001</v>
      </c>
      <c r="O48" s="699" t="inlineStr">
        <is>
          <t>NR</t>
        </is>
      </c>
      <c r="P48" s="109" t="n">
        <v>0.3684</v>
      </c>
      <c r="Q48" s="107" t="inlineStr">
        <is>
          <t>NA</t>
        </is>
      </c>
      <c r="R48" s="107" t="inlineStr">
        <is>
          <t>NA</t>
        </is>
      </c>
      <c r="S48" s="107" t="inlineStr">
        <is>
          <t>NA</t>
        </is>
      </c>
      <c r="T48" s="107" t="inlineStr">
        <is>
          <t>NA</t>
        </is>
      </c>
      <c r="U48" s="107" t="inlineStr">
        <is>
          <t>NA</t>
        </is>
      </c>
      <c r="V48" s="35" t="inlineStr">
        <is>
          <t>2018-2019</t>
        </is>
      </c>
      <c r="W48" s="35" t="n"/>
      <c r="X48" s="35" t="n"/>
      <c r="Y48" s="35" t="n"/>
      <c r="Z48" s="35" t="n"/>
      <c r="AA48" s="35" t="n"/>
      <c r="AB48" s="35" t="n"/>
      <c r="AC48" s="35" t="n"/>
      <c r="AD48" s="35" t="n"/>
      <c r="AE48" s="35" t="n"/>
      <c r="AF48" s="35" t="n"/>
      <c r="AG48" s="35" t="n"/>
    </row>
    <row r="49">
      <c r="A49" s="102" t="n"/>
      <c r="B49" s="103" t="n">
        <v>12</v>
      </c>
      <c r="C49" s="387" t="n">
        <v>25</v>
      </c>
      <c r="D49" s="35" t="inlineStr">
        <is>
          <t>Soura Magagi Rogo</t>
        </is>
      </c>
      <c r="E49" s="92" t="inlineStr">
        <is>
          <t>Tibiri</t>
        </is>
      </c>
      <c r="F49" s="102" t="inlineStr">
        <is>
          <t>Intervention</t>
        </is>
      </c>
      <c r="G49" s="102" t="n">
        <v>2018</v>
      </c>
      <c r="H49" s="102" t="n">
        <v>2019</v>
      </c>
      <c r="I49" s="35" t="n">
        <v>0</v>
      </c>
      <c r="J49" s="104" t="n">
        <v>0</v>
      </c>
      <c r="K49" s="105" t="n">
        <v>23</v>
      </c>
      <c r="L49" s="104" t="n">
        <v>0</v>
      </c>
      <c r="M49" s="110" t="n"/>
      <c r="N49" s="109" t="n">
        <v>0.1071</v>
      </c>
      <c r="O49" s="699" t="inlineStr">
        <is>
          <t>NR</t>
        </is>
      </c>
      <c r="P49" s="109" t="n">
        <v>0.8929</v>
      </c>
      <c r="Q49" s="107" t="inlineStr">
        <is>
          <t>NA</t>
        </is>
      </c>
      <c r="R49" s="107" t="inlineStr">
        <is>
          <t>NA</t>
        </is>
      </c>
      <c r="S49" s="107" t="inlineStr">
        <is>
          <t>NA</t>
        </is>
      </c>
      <c r="T49" s="107" t="inlineStr">
        <is>
          <t>NA</t>
        </is>
      </c>
      <c r="U49" s="107" t="inlineStr">
        <is>
          <t>NA</t>
        </is>
      </c>
      <c r="V49" s="35" t="inlineStr">
        <is>
          <t>2018-2019</t>
        </is>
      </c>
      <c r="W49" s="35" t="n"/>
      <c r="X49" s="35" t="n"/>
      <c r="Y49" s="35" t="n"/>
      <c r="Z49" s="35" t="n"/>
      <c r="AA49" s="35" t="n"/>
      <c r="AB49" s="35" t="n"/>
      <c r="AC49" s="35" t="n"/>
      <c r="AD49" s="35" t="n"/>
      <c r="AE49" s="35" t="n"/>
      <c r="AF49" s="35" t="n"/>
      <c r="AG49" s="35" t="n"/>
    </row>
    <row r="50">
      <c r="A50" s="102" t="n"/>
      <c r="C50" s="387" t="n">
        <v>26</v>
      </c>
      <c r="D50" s="35" t="inlineStr">
        <is>
          <t>Maisso</t>
        </is>
      </c>
      <c r="E50" s="92" t="inlineStr">
        <is>
          <t>Tibiri</t>
        </is>
      </c>
      <c r="F50" s="102" t="inlineStr">
        <is>
          <t>Control</t>
        </is>
      </c>
      <c r="G50" s="102" t="n">
        <v>2018</v>
      </c>
      <c r="H50" s="102" t="n">
        <v>2019</v>
      </c>
      <c r="I50" s="35" t="n">
        <v>0</v>
      </c>
      <c r="J50" s="104" t="n">
        <v>0</v>
      </c>
      <c r="K50" s="105" t="n">
        <v>22</v>
      </c>
      <c r="L50" s="104" t="n">
        <v>0</v>
      </c>
      <c r="M50" s="110" t="n"/>
      <c r="N50" s="109" t="n">
        <v>0.3333</v>
      </c>
      <c r="O50" s="699" t="inlineStr">
        <is>
          <t>NR</t>
        </is>
      </c>
      <c r="P50" s="109" t="n">
        <v>0.6667</v>
      </c>
      <c r="Q50" s="107" t="inlineStr">
        <is>
          <t>NA</t>
        </is>
      </c>
      <c r="R50" s="107" t="inlineStr">
        <is>
          <t>NA</t>
        </is>
      </c>
      <c r="S50" s="107" t="inlineStr">
        <is>
          <t>NA</t>
        </is>
      </c>
      <c r="T50" s="107" t="inlineStr">
        <is>
          <t>NA</t>
        </is>
      </c>
      <c r="U50" s="107" t="inlineStr">
        <is>
          <t>NA</t>
        </is>
      </c>
      <c r="V50" s="35" t="inlineStr">
        <is>
          <t>2018-2019</t>
        </is>
      </c>
      <c r="W50" s="35" t="n"/>
      <c r="X50" s="35" t="n"/>
      <c r="Y50" s="35" t="n"/>
      <c r="Z50" s="35" t="n"/>
      <c r="AA50" s="35" t="n"/>
      <c r="AB50" s="35" t="n"/>
      <c r="AC50" s="35" t="n"/>
      <c r="AD50" s="35" t="n"/>
      <c r="AE50" s="35" t="n"/>
      <c r="AF50" s="35" t="n"/>
      <c r="AG50" s="35" t="n"/>
    </row>
    <row r="51">
      <c r="A51" s="102" t="n"/>
      <c r="B51" s="103" t="n">
        <v>13</v>
      </c>
      <c r="C51" s="387" t="n">
        <v>27</v>
      </c>
      <c r="D51" s="35" t="inlineStr">
        <is>
          <t>Kalgon Waraou</t>
        </is>
      </c>
      <c r="E51" s="92" t="inlineStr">
        <is>
          <t>Tibiri</t>
        </is>
      </c>
      <c r="F51" s="102" t="inlineStr">
        <is>
          <t>Intervention</t>
        </is>
      </c>
      <c r="G51" s="102" t="n">
        <v>2018</v>
      </c>
      <c r="H51" s="102" t="n">
        <v>2019</v>
      </c>
      <c r="I51" s="35" t="n">
        <v>0</v>
      </c>
      <c r="J51" s="104" t="n">
        <v>0</v>
      </c>
      <c r="K51" s="105" t="n">
        <v>12</v>
      </c>
      <c r="L51" s="104" t="n">
        <v>0</v>
      </c>
      <c r="M51" s="110" t="n"/>
      <c r="N51" s="699" t="inlineStr">
        <is>
          <t>NR</t>
        </is>
      </c>
      <c r="O51" s="699" t="inlineStr">
        <is>
          <t>NR</t>
        </is>
      </c>
      <c r="P51" s="699" t="inlineStr">
        <is>
          <t>NR</t>
        </is>
      </c>
      <c r="Q51" s="107" t="inlineStr">
        <is>
          <t>NA</t>
        </is>
      </c>
      <c r="R51" s="107" t="inlineStr">
        <is>
          <t>NA</t>
        </is>
      </c>
      <c r="S51" s="107" t="inlineStr">
        <is>
          <t>NA</t>
        </is>
      </c>
      <c r="T51" s="107" t="inlineStr">
        <is>
          <t>NA</t>
        </is>
      </c>
      <c r="U51" s="107" t="inlineStr">
        <is>
          <t>NA</t>
        </is>
      </c>
      <c r="V51" s="35" t="inlineStr">
        <is>
          <t>2018-2019</t>
        </is>
      </c>
      <c r="W51" s="35" t="n"/>
      <c r="X51" s="35" t="n"/>
      <c r="Y51" s="35" t="n"/>
      <c r="Z51" s="35" t="n"/>
      <c r="AA51" s="35" t="n"/>
      <c r="AB51" s="35" t="n"/>
      <c r="AC51" s="35" t="n"/>
      <c r="AD51" s="35" t="n"/>
      <c r="AE51" s="35" t="n"/>
      <c r="AF51" s="35" t="n"/>
      <c r="AG51" s="35" t="n"/>
    </row>
    <row r="52">
      <c r="A52" s="102" t="n"/>
      <c r="C52" s="387" t="n">
        <v>28</v>
      </c>
      <c r="D52" s="35" t="inlineStr">
        <is>
          <t>Garin Malan Hamza</t>
        </is>
      </c>
      <c r="E52" s="92" t="inlineStr">
        <is>
          <t>Tibiri</t>
        </is>
      </c>
      <c r="F52" s="102" t="inlineStr">
        <is>
          <t>Control</t>
        </is>
      </c>
      <c r="G52" s="102" t="n">
        <v>2018</v>
      </c>
      <c r="H52" s="102" t="n">
        <v>2019</v>
      </c>
      <c r="I52" s="35" t="n">
        <v>0</v>
      </c>
      <c r="J52" s="104" t="n">
        <v>0</v>
      </c>
      <c r="K52" s="105" t="n">
        <v>12</v>
      </c>
      <c r="L52" s="104" t="n">
        <v>0</v>
      </c>
      <c r="M52" s="110" t="n"/>
      <c r="N52" s="699" t="inlineStr">
        <is>
          <t>NR</t>
        </is>
      </c>
      <c r="O52" s="699" t="inlineStr">
        <is>
          <t>NR</t>
        </is>
      </c>
      <c r="P52" s="699" t="inlineStr">
        <is>
          <t>NR</t>
        </is>
      </c>
      <c r="Q52" s="107" t="inlineStr">
        <is>
          <t>NA</t>
        </is>
      </c>
      <c r="R52" s="107" t="inlineStr">
        <is>
          <t>NA</t>
        </is>
      </c>
      <c r="S52" s="107" t="inlineStr">
        <is>
          <t>NA</t>
        </is>
      </c>
      <c r="T52" s="107" t="inlineStr">
        <is>
          <t>NA</t>
        </is>
      </c>
      <c r="U52" s="107" t="inlineStr">
        <is>
          <t>NA</t>
        </is>
      </c>
      <c r="V52" s="35" t="inlineStr">
        <is>
          <t>2018-2019</t>
        </is>
      </c>
      <c r="W52" s="35" t="n"/>
      <c r="X52" s="35" t="n"/>
      <c r="Y52" s="35" t="n"/>
      <c r="Z52" s="35" t="n"/>
      <c r="AA52" s="35" t="n"/>
      <c r="AB52" s="35" t="n"/>
      <c r="AC52" s="35" t="n"/>
      <c r="AD52" s="35" t="n"/>
      <c r="AE52" s="35" t="n"/>
      <c r="AF52" s="35" t="n"/>
      <c r="AG52" s="35" t="n"/>
    </row>
    <row r="53">
      <c r="A53" s="102" t="n"/>
      <c r="B53" s="103" t="n">
        <v>14</v>
      </c>
      <c r="C53" s="387" t="n">
        <v>29</v>
      </c>
      <c r="D53" s="35" t="inlineStr">
        <is>
          <t>Laouali Dango</t>
        </is>
      </c>
      <c r="E53" s="92" t="inlineStr">
        <is>
          <t>Tibiri</t>
        </is>
      </c>
      <c r="F53" s="102" t="inlineStr">
        <is>
          <t>Intervention</t>
        </is>
      </c>
      <c r="G53" s="102" t="n">
        <v>2018</v>
      </c>
      <c r="H53" s="102" t="n">
        <v>2019</v>
      </c>
      <c r="I53" s="35" t="n">
        <v>0</v>
      </c>
      <c r="J53" s="104" t="n">
        <v>0</v>
      </c>
      <c r="K53" s="105" t="n">
        <v>53</v>
      </c>
      <c r="L53" s="104" t="n">
        <v>0</v>
      </c>
      <c r="M53" s="110" t="n"/>
      <c r="N53" s="109" t="n">
        <v>0.6429</v>
      </c>
      <c r="O53" s="699" t="inlineStr">
        <is>
          <t>NR</t>
        </is>
      </c>
      <c r="P53" s="109" t="n">
        <v>0.3571</v>
      </c>
      <c r="Q53" s="107" t="inlineStr">
        <is>
          <t>NA</t>
        </is>
      </c>
      <c r="R53" s="107" t="inlineStr">
        <is>
          <t>NA</t>
        </is>
      </c>
      <c r="S53" s="107" t="inlineStr">
        <is>
          <t>NA</t>
        </is>
      </c>
      <c r="T53" s="107" t="inlineStr">
        <is>
          <t>NA</t>
        </is>
      </c>
      <c r="U53" s="107" t="inlineStr">
        <is>
          <t>NA</t>
        </is>
      </c>
      <c r="V53" s="35" t="inlineStr">
        <is>
          <t>2018-2019</t>
        </is>
      </c>
      <c r="W53" s="35" t="n"/>
      <c r="X53" s="35" t="n"/>
      <c r="Y53" s="35" t="n"/>
      <c r="Z53" s="35" t="n"/>
      <c r="AA53" s="35" t="n"/>
      <c r="AB53" s="35" t="n"/>
      <c r="AC53" s="35" t="n"/>
      <c r="AD53" s="35" t="n"/>
      <c r="AE53" s="35" t="n"/>
      <c r="AF53" s="35" t="n"/>
      <c r="AG53" s="35" t="n"/>
    </row>
    <row r="54">
      <c r="A54" s="102" t="n"/>
      <c r="C54" s="387" t="n">
        <v>30</v>
      </c>
      <c r="D54" s="35" t="inlineStr">
        <is>
          <t>Garin Barmo</t>
        </is>
      </c>
      <c r="E54" s="92" t="inlineStr">
        <is>
          <t>Tibiri</t>
        </is>
      </c>
      <c r="F54" s="102" t="inlineStr">
        <is>
          <t>Control</t>
        </is>
      </c>
      <c r="G54" s="102" t="n">
        <v>2018</v>
      </c>
      <c r="H54" s="102" t="n">
        <v>2019</v>
      </c>
      <c r="I54" s="35" t="n">
        <v>0</v>
      </c>
      <c r="J54" s="104" t="n">
        <v>0</v>
      </c>
      <c r="K54" s="105" t="inlineStr">
        <is>
          <t>NA</t>
        </is>
      </c>
      <c r="L54" s="104" t="n">
        <v>0</v>
      </c>
      <c r="M54" s="110" t="n"/>
      <c r="N54" s="699" t="inlineStr">
        <is>
          <t>NR</t>
        </is>
      </c>
      <c r="O54" s="699" t="inlineStr">
        <is>
          <t>NR</t>
        </is>
      </c>
      <c r="P54" s="699" t="inlineStr">
        <is>
          <t>NR</t>
        </is>
      </c>
      <c r="Q54" s="107" t="inlineStr">
        <is>
          <t>NA</t>
        </is>
      </c>
      <c r="R54" s="107" t="inlineStr">
        <is>
          <t>NA</t>
        </is>
      </c>
      <c r="S54" s="107" t="inlineStr">
        <is>
          <t>NA</t>
        </is>
      </c>
      <c r="T54" s="107" t="inlineStr">
        <is>
          <t>NA</t>
        </is>
      </c>
      <c r="U54" s="107" t="inlineStr">
        <is>
          <t>NA</t>
        </is>
      </c>
      <c r="V54" s="35" t="inlineStr">
        <is>
          <t>2018-2019</t>
        </is>
      </c>
      <c r="W54" s="35" t="n"/>
      <c r="X54" s="35" t="n"/>
      <c r="Y54" s="35" t="n"/>
      <c r="Z54" s="35" t="n"/>
      <c r="AA54" s="35" t="n"/>
      <c r="AB54" s="35" t="n"/>
      <c r="AC54" s="35" t="n"/>
      <c r="AD54" s="35" t="n"/>
      <c r="AE54" s="35" t="n"/>
      <c r="AF54" s="35" t="n"/>
      <c r="AG54" s="35" t="n"/>
    </row>
    <row r="55">
      <c r="A55" s="115" t="n"/>
      <c r="B55" s="112" t="n"/>
      <c r="C55" s="113" t="n"/>
      <c r="D55" s="114" t="n"/>
      <c r="E55" s="86" t="n"/>
      <c r="F55" s="115" t="n"/>
      <c r="G55" s="115" t="n"/>
      <c r="H55" s="115" t="n"/>
      <c r="I55" s="114" t="n"/>
      <c r="J55" s="116" t="n"/>
      <c r="K55" s="116" t="n"/>
      <c r="L55" s="116" t="n"/>
      <c r="M55" s="117" t="n"/>
      <c r="N55" s="118" t="n"/>
      <c r="O55" s="118" t="n"/>
      <c r="P55" s="118" t="n"/>
      <c r="Q55" s="119" t="n"/>
      <c r="R55" s="119" t="n"/>
      <c r="S55" s="119" t="n"/>
      <c r="T55" s="119" t="n"/>
      <c r="U55" s="114" t="n"/>
      <c r="V55" s="114" t="n"/>
      <c r="W55" s="35" t="n"/>
      <c r="X55" s="35" t="n"/>
      <c r="Y55" s="35" t="n"/>
      <c r="Z55" s="35" t="n"/>
      <c r="AA55" s="35" t="n"/>
      <c r="AB55" s="35" t="n"/>
      <c r="AC55" s="35" t="n"/>
      <c r="AD55" s="35" t="n"/>
      <c r="AE55" s="35" t="n"/>
      <c r="AF55" s="35" t="n"/>
      <c r="AG55" s="35" t="n"/>
    </row>
    <row r="56">
      <c r="A56" s="124" t="n"/>
      <c r="B56" s="700" t="n">
        <v>1</v>
      </c>
      <c r="C56" s="122" t="n">
        <v>1</v>
      </c>
      <c r="D56" s="123" t="inlineStr">
        <is>
          <t>Katare Guidan Ousmane 1</t>
        </is>
      </c>
      <c r="E56" s="124" t="inlineStr">
        <is>
          <t>Tibiri</t>
        </is>
      </c>
      <c r="F56" s="124" t="inlineStr">
        <is>
          <t>Intervention</t>
        </is>
      </c>
      <c r="G56" s="124" t="n">
        <v>2019</v>
      </c>
      <c r="H56" s="124" t="n">
        <v>2020</v>
      </c>
      <c r="I56" s="125" t="n">
        <v>2</v>
      </c>
      <c r="J56" s="126" t="n">
        <v>3</v>
      </c>
      <c r="K56" s="126" t="n">
        <v>39</v>
      </c>
      <c r="L56" s="126" t="n">
        <v>1</v>
      </c>
      <c r="M56" s="127" t="n"/>
      <c r="N56" s="157" t="n">
        <v>0</v>
      </c>
      <c r="O56" s="157" t="n">
        <v>0.72</v>
      </c>
      <c r="P56" s="157" t="n">
        <v>0.72</v>
      </c>
      <c r="Q56" s="129" t="n">
        <v>6.8</v>
      </c>
      <c r="R56" s="129" t="n">
        <v>11</v>
      </c>
      <c r="S56" s="129" t="n">
        <v>7.4</v>
      </c>
      <c r="T56" s="129" t="n">
        <v>12.3</v>
      </c>
      <c r="U56" s="35" t="inlineStr">
        <is>
          <t>N/A</t>
        </is>
      </c>
      <c r="V56" s="35" t="n"/>
      <c r="W56" s="35" t="n"/>
      <c r="X56" s="35" t="n"/>
      <c r="Y56" s="35" t="n"/>
      <c r="Z56" s="35" t="n"/>
      <c r="AA56" s="35" t="n"/>
      <c r="AB56" s="35" t="n"/>
      <c r="AC56" s="35" t="n"/>
      <c r="AD56" s="35" t="n"/>
      <c r="AE56" s="35" t="n"/>
      <c r="AF56" s="35" t="n"/>
      <c r="AG56" s="35" t="n"/>
    </row>
    <row r="57">
      <c r="A57" s="134" t="n"/>
      <c r="B57" s="698" t="n"/>
      <c r="C57" s="132" t="n">
        <v>2</v>
      </c>
      <c r="D57" s="133" t="inlineStr">
        <is>
          <t xml:space="preserve">Soura 3 </t>
        </is>
      </c>
      <c r="E57" s="134" t="inlineStr">
        <is>
          <t>Tibiri</t>
        </is>
      </c>
      <c r="F57" s="134" t="inlineStr">
        <is>
          <t>Control</t>
        </is>
      </c>
      <c r="G57" s="135" t="n">
        <v>2019</v>
      </c>
      <c r="H57" s="134" t="n">
        <v>2020</v>
      </c>
      <c r="I57" s="136" t="n">
        <v>0</v>
      </c>
      <c r="J57" s="137" t="n">
        <v>0</v>
      </c>
      <c r="K57" s="137" t="n">
        <v>20</v>
      </c>
      <c r="L57" s="138" t="n">
        <v>0</v>
      </c>
      <c r="M57" s="139" t="n"/>
      <c r="N57" s="701" t="inlineStr">
        <is>
          <t>NR</t>
        </is>
      </c>
      <c r="O57" s="141" t="n">
        <v>0.5</v>
      </c>
      <c r="P57" s="141" t="n">
        <v>0.5</v>
      </c>
      <c r="Q57" s="142" t="n">
        <v>7.7</v>
      </c>
      <c r="R57" s="142" t="n">
        <v>10</v>
      </c>
      <c r="S57" s="142" t="n">
        <v>8.9</v>
      </c>
      <c r="T57" s="142" t="n">
        <v>12.1</v>
      </c>
      <c r="U57" s="35" t="inlineStr">
        <is>
          <t>N/A</t>
        </is>
      </c>
      <c r="V57" s="544" t="n"/>
      <c r="W57" s="544" t="n"/>
      <c r="X57" s="544" t="n"/>
      <c r="Y57" s="544" t="n"/>
      <c r="Z57" s="544" t="n"/>
      <c r="AA57" s="544" t="n"/>
      <c r="AB57" s="544" t="n"/>
      <c r="AC57" s="544" t="n"/>
      <c r="AD57" s="544" t="n"/>
      <c r="AE57" s="544" t="n"/>
      <c r="AF57" s="544" t="n"/>
      <c r="AG57" s="544" t="n"/>
    </row>
    <row r="58">
      <c r="A58" s="147" t="n"/>
      <c r="B58" s="702" t="n">
        <v>2</v>
      </c>
      <c r="C58" s="146" t="n">
        <v>3</v>
      </c>
      <c r="D58" s="90" t="inlineStr">
        <is>
          <t>Katare Guidan Ousmane 2</t>
        </is>
      </c>
      <c r="E58" s="147" t="inlineStr">
        <is>
          <t>Tibiri</t>
        </is>
      </c>
      <c r="F58" s="147" t="inlineStr">
        <is>
          <t>Intervention</t>
        </is>
      </c>
      <c r="G58" s="147" t="n">
        <v>2019</v>
      </c>
      <c r="H58" s="147" t="n">
        <v>2020</v>
      </c>
      <c r="I58" s="148" t="n">
        <v>2</v>
      </c>
      <c r="J58" s="149" t="n">
        <v>1</v>
      </c>
      <c r="K58" s="149" t="n">
        <v>18</v>
      </c>
      <c r="L58" s="149" t="n">
        <v>1</v>
      </c>
      <c r="M58" s="127" t="n"/>
      <c r="N58" s="157" t="n">
        <v>0</v>
      </c>
      <c r="O58" s="157" t="n">
        <v>0.72</v>
      </c>
      <c r="P58" s="157" t="n">
        <v>0.83</v>
      </c>
      <c r="Q58" s="150" t="n">
        <v>11.9</v>
      </c>
      <c r="R58" s="150" t="n">
        <v>13.7</v>
      </c>
      <c r="S58" s="150" t="n">
        <v>11.1</v>
      </c>
      <c r="T58" s="150" t="n">
        <v>14.3</v>
      </c>
      <c r="U58" s="35" t="inlineStr">
        <is>
          <t>N/A</t>
        </is>
      </c>
      <c r="V58" s="547" t="n"/>
      <c r="W58" s="547" t="n"/>
      <c r="X58" s="547" t="n"/>
      <c r="Y58" s="547" t="n"/>
      <c r="Z58" s="547" t="n"/>
      <c r="AA58" s="547" t="n"/>
      <c r="AB58" s="547" t="n"/>
      <c r="AC58" s="547" t="n"/>
      <c r="AD58" s="547" t="n"/>
      <c r="AE58" s="547" t="n"/>
      <c r="AF58" s="547" t="n"/>
      <c r="AG58" s="547" t="n"/>
    </row>
    <row r="59">
      <c r="A59" s="134" t="n"/>
      <c r="B59" s="698" t="n"/>
      <c r="C59" s="132" t="n">
        <v>4</v>
      </c>
      <c r="D59" s="133" t="inlineStr">
        <is>
          <t>Kara Kara 3</t>
        </is>
      </c>
      <c r="E59" s="134" t="inlineStr">
        <is>
          <t>Tibiri</t>
        </is>
      </c>
      <c r="F59" s="134" t="inlineStr">
        <is>
          <t>Control</t>
        </is>
      </c>
      <c r="G59" s="135" t="n">
        <v>2019</v>
      </c>
      <c r="H59" s="134" t="n">
        <v>2020</v>
      </c>
      <c r="I59" s="136" t="n">
        <v>0</v>
      </c>
      <c r="J59" s="137" t="n">
        <v>0</v>
      </c>
      <c r="K59" s="152" t="n">
        <v>37</v>
      </c>
      <c r="L59" s="138" t="n">
        <v>0</v>
      </c>
      <c r="M59" s="139" t="n"/>
      <c r="N59" s="701" t="inlineStr">
        <is>
          <t>NR</t>
        </is>
      </c>
      <c r="O59" s="141" t="n">
        <v>0.51</v>
      </c>
      <c r="P59" s="141" t="n">
        <v>0.51</v>
      </c>
      <c r="Q59" s="153" t="n">
        <v>6.6</v>
      </c>
      <c r="R59" s="153" t="n">
        <v>11.3</v>
      </c>
      <c r="S59" s="153" t="n">
        <v>7</v>
      </c>
      <c r="T59" s="153" t="n">
        <v>10</v>
      </c>
      <c r="U59" s="35" t="inlineStr">
        <is>
          <t>N/A</t>
        </is>
      </c>
      <c r="V59" s="550" t="n"/>
      <c r="W59" s="550" t="n"/>
      <c r="X59" s="550" t="n"/>
      <c r="Y59" s="550" t="n"/>
      <c r="Z59" s="550" t="n"/>
      <c r="AA59" s="550" t="n"/>
      <c r="AB59" s="550" t="n"/>
      <c r="AC59" s="550" t="n"/>
      <c r="AD59" s="550" t="n"/>
      <c r="AE59" s="550" t="n"/>
      <c r="AF59" s="550" t="n"/>
      <c r="AG59" s="550" t="n"/>
    </row>
    <row r="60">
      <c r="A60" s="147" t="n"/>
      <c r="B60" s="702" t="n">
        <v>3</v>
      </c>
      <c r="C60" s="155" t="n">
        <v>5</v>
      </c>
      <c r="D60" s="147" t="inlineStr">
        <is>
          <t>Tibiri Nord 3</t>
        </is>
      </c>
      <c r="E60" s="147" t="inlineStr">
        <is>
          <t>Tibiri</t>
        </is>
      </c>
      <c r="F60" s="147" t="inlineStr">
        <is>
          <t>Intervention</t>
        </is>
      </c>
      <c r="G60" s="147" t="n">
        <v>2019</v>
      </c>
      <c r="H60" s="147" t="n">
        <v>2020</v>
      </c>
      <c r="I60" s="148" t="n">
        <v>2</v>
      </c>
      <c r="J60" s="149" t="n">
        <v>1</v>
      </c>
      <c r="K60" s="149" t="n">
        <v>21</v>
      </c>
      <c r="L60" s="149" t="n">
        <v>1</v>
      </c>
      <c r="M60" s="127" t="n"/>
      <c r="N60" s="157" t="n">
        <v>0</v>
      </c>
      <c r="O60" s="157" t="n">
        <v>0.86</v>
      </c>
      <c r="P60" s="157" t="n">
        <v>0.86</v>
      </c>
      <c r="Q60" s="129" t="n">
        <v>10.6</v>
      </c>
      <c r="R60" s="129" t="n">
        <v>12.8</v>
      </c>
      <c r="S60" s="129" t="n">
        <v>10.3</v>
      </c>
      <c r="T60" s="129" t="n">
        <v>15.4</v>
      </c>
      <c r="U60" s="35" t="inlineStr">
        <is>
          <t>N/A</t>
        </is>
      </c>
      <c r="V60" s="35" t="n"/>
      <c r="W60" s="35" t="n"/>
      <c r="X60" s="35" t="n"/>
      <c r="Y60" s="35" t="n"/>
      <c r="Z60" s="35" t="n"/>
      <c r="AA60" s="35" t="n"/>
      <c r="AB60" s="35" t="n"/>
      <c r="AC60" s="35" t="n"/>
      <c r="AD60" s="35" t="n"/>
      <c r="AE60" s="35" t="n"/>
      <c r="AF60" s="35" t="n"/>
      <c r="AG60" s="35" t="n"/>
    </row>
    <row r="61">
      <c r="A61" s="134" t="n"/>
      <c r="B61" s="698" t="n"/>
      <c r="C61" s="137" t="n">
        <v>6</v>
      </c>
      <c r="D61" s="134" t="inlineStr">
        <is>
          <t>Garin Daoure 1</t>
        </is>
      </c>
      <c r="E61" s="134" t="inlineStr">
        <is>
          <t>Tibiri</t>
        </is>
      </c>
      <c r="F61" s="134" t="inlineStr">
        <is>
          <t>Control</t>
        </is>
      </c>
      <c r="G61" s="135" t="n">
        <v>2019</v>
      </c>
      <c r="H61" s="134" t="n">
        <v>2020</v>
      </c>
      <c r="I61" s="136" t="n">
        <v>0</v>
      </c>
      <c r="J61" s="137" t="n">
        <v>0</v>
      </c>
      <c r="K61" s="152" t="n">
        <v>15</v>
      </c>
      <c r="L61" s="138" t="n">
        <v>0</v>
      </c>
      <c r="M61" s="139" t="n"/>
      <c r="N61" s="141" t="n">
        <v>0</v>
      </c>
      <c r="O61" s="141" t="n">
        <v>0.73</v>
      </c>
      <c r="P61" s="141" t="n">
        <v>0.73</v>
      </c>
      <c r="Q61" s="142" t="n">
        <v>11.3</v>
      </c>
      <c r="R61" s="142" t="n">
        <v>12.5</v>
      </c>
      <c r="S61" s="142" t="n">
        <v>14.6</v>
      </c>
      <c r="T61" s="142" t="n">
        <v>16.3</v>
      </c>
      <c r="U61" s="35" t="inlineStr">
        <is>
          <t>N/A</t>
        </is>
      </c>
      <c r="V61" s="544" t="n"/>
      <c r="W61" s="544" t="n"/>
      <c r="X61" s="544" t="n"/>
      <c r="Y61" s="544" t="n"/>
      <c r="Z61" s="544" t="n"/>
      <c r="AA61" s="544" t="n"/>
      <c r="AB61" s="544" t="n"/>
      <c r="AC61" s="544" t="n"/>
      <c r="AD61" s="544" t="n"/>
      <c r="AE61" s="544" t="n"/>
      <c r="AF61" s="544" t="n"/>
      <c r="AG61" s="544" t="n"/>
    </row>
    <row r="62">
      <c r="A62" s="147" t="n"/>
      <c r="B62" s="702" t="n">
        <v>4</v>
      </c>
      <c r="C62" s="156" t="n">
        <v>9</v>
      </c>
      <c r="D62" s="90" t="inlineStr">
        <is>
          <t>Soura Aboubacar 3</t>
        </is>
      </c>
      <c r="E62" s="147" t="inlineStr">
        <is>
          <t>Tibiri</t>
        </is>
      </c>
      <c r="F62" s="147" t="inlineStr">
        <is>
          <t>Intervention</t>
        </is>
      </c>
      <c r="G62" s="147" t="n">
        <v>2019</v>
      </c>
      <c r="H62" s="147" t="n">
        <v>2020</v>
      </c>
      <c r="I62" s="148" t="n">
        <v>2</v>
      </c>
      <c r="J62" s="149" t="n">
        <v>5</v>
      </c>
      <c r="K62" s="149" t="n">
        <v>66</v>
      </c>
      <c r="L62" s="149" t="n">
        <v>1</v>
      </c>
      <c r="M62" s="127" t="n"/>
      <c r="N62" s="157">
        <f>3/66</f>
        <v/>
      </c>
      <c r="O62" s="157" t="n">
        <v>0.66</v>
      </c>
      <c r="P62" s="157" t="n">
        <v>0.47</v>
      </c>
      <c r="Q62" s="150" t="n">
        <v>7.9</v>
      </c>
      <c r="R62" s="150" t="n">
        <v>12.4</v>
      </c>
      <c r="S62" s="150" t="n">
        <v>10.7</v>
      </c>
      <c r="T62" s="150" t="n">
        <v>14</v>
      </c>
      <c r="U62" s="35" t="inlineStr">
        <is>
          <t>N/A</t>
        </is>
      </c>
      <c r="V62" s="547" t="n"/>
      <c r="W62" s="547" t="n"/>
      <c r="X62" s="547" t="n"/>
      <c r="Y62" s="547" t="n"/>
      <c r="Z62" s="547" t="n"/>
      <c r="AA62" s="547" t="n"/>
      <c r="AB62" s="547" t="n"/>
      <c r="AC62" s="547" t="n"/>
      <c r="AD62" s="547" t="n"/>
      <c r="AE62" s="547" t="n"/>
      <c r="AF62" s="547" t="n"/>
      <c r="AG62" s="547" t="n"/>
    </row>
    <row r="63">
      <c r="A63" s="134" t="n"/>
      <c r="B63" s="698" t="n"/>
      <c r="C63" s="158" t="n">
        <v>10</v>
      </c>
      <c r="D63" s="133" t="inlineStr">
        <is>
          <t>Imbelbelou 3</t>
        </is>
      </c>
      <c r="E63" s="134" t="inlineStr">
        <is>
          <t>Tibiri</t>
        </is>
      </c>
      <c r="F63" s="134" t="inlineStr">
        <is>
          <t>Control</t>
        </is>
      </c>
      <c r="G63" s="135" t="n">
        <v>2019</v>
      </c>
      <c r="H63" s="134" t="n">
        <v>2020</v>
      </c>
      <c r="I63" s="136" t="n">
        <v>0</v>
      </c>
      <c r="J63" s="137" t="n">
        <v>0</v>
      </c>
      <c r="K63" s="152" t="n">
        <v>48</v>
      </c>
      <c r="L63" s="138" t="n">
        <v>0</v>
      </c>
      <c r="M63" s="139" t="n"/>
      <c r="N63" s="701" t="inlineStr">
        <is>
          <t>NR</t>
        </is>
      </c>
      <c r="O63" s="141" t="n">
        <v>0.58</v>
      </c>
      <c r="P63" s="141" t="n">
        <v>0.58</v>
      </c>
      <c r="Q63" s="153" t="n">
        <v>9</v>
      </c>
      <c r="R63" s="153" t="n">
        <v>10.3</v>
      </c>
      <c r="S63" s="153" t="n">
        <v>12.7</v>
      </c>
      <c r="T63" s="153" t="n">
        <v>13</v>
      </c>
      <c r="U63" s="35" t="inlineStr">
        <is>
          <t>N/A</t>
        </is>
      </c>
      <c r="V63" s="550" t="n"/>
      <c r="W63" s="550" t="n"/>
      <c r="X63" s="550" t="n"/>
      <c r="Y63" s="550" t="n"/>
      <c r="Z63" s="550" t="n"/>
      <c r="AA63" s="550" t="n"/>
      <c r="AB63" s="550" t="n"/>
      <c r="AC63" s="550" t="n"/>
      <c r="AD63" s="550" t="n"/>
      <c r="AE63" s="550" t="n"/>
      <c r="AF63" s="550" t="n"/>
      <c r="AG63" s="550" t="n"/>
    </row>
    <row r="64">
      <c r="A64" s="147" t="n"/>
      <c r="B64" s="702" t="n">
        <v>5</v>
      </c>
      <c r="C64" s="159" t="n">
        <v>11</v>
      </c>
      <c r="D64" s="90" t="inlineStr">
        <is>
          <t>Soura Aboubacar 4</t>
        </is>
      </c>
      <c r="E64" s="147" t="inlineStr">
        <is>
          <t>Tibiri</t>
        </is>
      </c>
      <c r="F64" s="147" t="inlineStr">
        <is>
          <t>Intervention</t>
        </is>
      </c>
      <c r="G64" s="147" t="n">
        <v>2019</v>
      </c>
      <c r="H64" s="147" t="n">
        <v>2020</v>
      </c>
      <c r="I64" s="90" t="n">
        <v>2</v>
      </c>
      <c r="J64" s="149" t="n">
        <v>3</v>
      </c>
      <c r="K64" s="149" t="n">
        <v>44</v>
      </c>
      <c r="L64" s="149" t="n">
        <v>1</v>
      </c>
      <c r="M64" s="127" t="n"/>
      <c r="N64" s="157" t="n">
        <v>0</v>
      </c>
      <c r="O64" s="157" t="n">
        <v>0.66</v>
      </c>
      <c r="P64" s="157" t="n">
        <v>0.66</v>
      </c>
      <c r="Q64" s="129" t="n">
        <v>7.3</v>
      </c>
      <c r="R64" s="129" t="n">
        <v>10.8</v>
      </c>
      <c r="S64" s="129" t="n">
        <v>11</v>
      </c>
      <c r="T64" s="129" t="n">
        <v>14</v>
      </c>
      <c r="U64" s="35" t="inlineStr">
        <is>
          <t>N/A</t>
        </is>
      </c>
      <c r="V64" s="91" t="n"/>
      <c r="W64" s="91" t="n"/>
      <c r="X64" s="91" t="n"/>
      <c r="Y64" s="91" t="n"/>
      <c r="Z64" s="91" t="n"/>
      <c r="AA64" s="91" t="n"/>
      <c r="AB64" s="91" t="n"/>
      <c r="AC64" s="91" t="n"/>
      <c r="AD64" s="91" t="n"/>
      <c r="AE64" s="91" t="n"/>
      <c r="AF64" s="91" t="n"/>
      <c r="AG64" s="160" t="n"/>
    </row>
    <row r="65">
      <c r="A65" s="134" t="n"/>
      <c r="B65" s="698" t="n"/>
      <c r="C65" s="161" t="n">
        <v>12</v>
      </c>
      <c r="D65" s="133" t="inlineStr">
        <is>
          <t>Soura 2</t>
        </is>
      </c>
      <c r="E65" s="134" t="inlineStr">
        <is>
          <t>Tibiri</t>
        </is>
      </c>
      <c r="F65" s="134" t="inlineStr">
        <is>
          <t>Control</t>
        </is>
      </c>
      <c r="G65" s="135" t="n">
        <v>2019</v>
      </c>
      <c r="H65" s="134" t="n">
        <v>2020</v>
      </c>
      <c r="I65" s="133" t="n">
        <v>0</v>
      </c>
      <c r="J65" s="137" t="n">
        <v>0</v>
      </c>
      <c r="K65" s="152" t="n">
        <v>24</v>
      </c>
      <c r="L65" s="138" t="n">
        <v>0</v>
      </c>
      <c r="M65" s="139" t="n"/>
      <c r="N65" s="701" t="inlineStr">
        <is>
          <t>NR</t>
        </is>
      </c>
      <c r="O65" s="141" t="n">
        <v>0.63</v>
      </c>
      <c r="P65" s="141" t="n">
        <v>0.63</v>
      </c>
      <c r="Q65" s="142" t="n">
        <v>10.8</v>
      </c>
      <c r="R65" s="142" t="n">
        <v>12.5</v>
      </c>
      <c r="S65" s="142" t="n">
        <v>12.9</v>
      </c>
      <c r="T65" s="142" t="n">
        <v>15.6</v>
      </c>
      <c r="U65" s="35" t="inlineStr">
        <is>
          <t>N/A</t>
        </is>
      </c>
      <c r="V65" s="62" t="n"/>
      <c r="W65" s="62" t="n"/>
      <c r="X65" s="62" t="n"/>
      <c r="Y65" s="62" t="n"/>
      <c r="Z65" s="62" t="n"/>
      <c r="AA65" s="62" t="n"/>
      <c r="AB65" s="62" t="n"/>
      <c r="AC65" s="62" t="n"/>
      <c r="AD65" s="62" t="n"/>
      <c r="AE65" s="62" t="n"/>
      <c r="AF65" s="62" t="n"/>
      <c r="AG65" s="162" t="n"/>
    </row>
    <row r="66">
      <c r="A66" s="147" t="n"/>
      <c r="B66" s="702" t="n">
        <v>6</v>
      </c>
      <c r="C66" s="149" t="n">
        <v>13</v>
      </c>
      <c r="D66" s="147" t="inlineStr">
        <is>
          <t>Garin Yari Idi</t>
        </is>
      </c>
      <c r="E66" s="147" t="inlineStr">
        <is>
          <t>Tibiri</t>
        </is>
      </c>
      <c r="F66" s="147" t="inlineStr">
        <is>
          <t>Intervention</t>
        </is>
      </c>
      <c r="G66" s="147" t="n">
        <v>2019</v>
      </c>
      <c r="H66" s="147" t="n">
        <v>2020</v>
      </c>
      <c r="I66" s="90" t="n">
        <v>2</v>
      </c>
      <c r="J66" s="149" t="n">
        <v>1</v>
      </c>
      <c r="K66" s="149" t="n">
        <v>23</v>
      </c>
      <c r="L66" s="149" t="n">
        <v>1</v>
      </c>
      <c r="M66" s="127" t="n"/>
      <c r="N66" s="157" t="n">
        <v>0</v>
      </c>
      <c r="O66" s="157" t="n">
        <v>0.52</v>
      </c>
      <c r="P66" s="157" t="n">
        <v>0.52</v>
      </c>
      <c r="Q66" s="150" t="n">
        <v>4.2</v>
      </c>
      <c r="R66" s="150" t="n">
        <v>7.7</v>
      </c>
      <c r="S66" s="150" t="n">
        <v>6.8</v>
      </c>
      <c r="T66" s="150" t="n">
        <v>12.9</v>
      </c>
      <c r="U66" s="35" t="inlineStr">
        <is>
          <t>N/A</t>
        </is>
      </c>
      <c r="V66" s="72" t="n"/>
      <c r="W66" s="72" t="n"/>
      <c r="X66" s="72" t="n"/>
      <c r="Y66" s="72" t="n"/>
      <c r="Z66" s="72" t="n"/>
      <c r="AA66" s="72" t="n"/>
      <c r="AB66" s="72" t="n"/>
      <c r="AC66" s="72" t="n"/>
      <c r="AD66" s="72" t="n"/>
      <c r="AE66" s="72" t="n"/>
      <c r="AF66" s="72" t="n"/>
      <c r="AG66" s="163" t="n"/>
    </row>
    <row r="67">
      <c r="A67" s="164" t="inlineStr">
        <is>
          <t>Katare Guidan Ousmane 2</t>
        </is>
      </c>
      <c r="B67" s="698" t="n"/>
      <c r="C67" s="165" t="n">
        <v>31</v>
      </c>
      <c r="D67" s="164" t="inlineStr">
        <is>
          <t>Soura Sarkin Galma 1</t>
        </is>
      </c>
      <c r="E67" s="164" t="inlineStr">
        <is>
          <t>Tibiri</t>
        </is>
      </c>
      <c r="F67" s="164" t="inlineStr">
        <is>
          <t>Control</t>
        </is>
      </c>
      <c r="G67" s="166" t="n">
        <v>2019</v>
      </c>
      <c r="H67" s="164" t="n">
        <v>2020</v>
      </c>
      <c r="I67" s="167" t="n">
        <v>0</v>
      </c>
      <c r="J67" s="165" t="n">
        <v>0</v>
      </c>
      <c r="K67" s="152" t="n">
        <v>23</v>
      </c>
      <c r="L67" s="168" t="n">
        <v>0</v>
      </c>
      <c r="M67" s="169" t="n"/>
      <c r="N67" s="170" t="n">
        <v>0</v>
      </c>
      <c r="O67" s="170" t="n">
        <v>0.65</v>
      </c>
      <c r="P67" s="170" t="n">
        <v>0.65</v>
      </c>
      <c r="Q67" s="171" t="n">
        <v>11.1</v>
      </c>
      <c r="R67" s="171" t="n">
        <v>13.6</v>
      </c>
      <c r="S67" s="171" t="n">
        <v>11.1</v>
      </c>
      <c r="T67" s="171" t="n">
        <v>18.9</v>
      </c>
      <c r="U67" s="35" t="inlineStr">
        <is>
          <t>N/A</t>
        </is>
      </c>
      <c r="V67" s="574" t="n"/>
      <c r="W67" s="574" t="n"/>
      <c r="X67" s="574" t="n"/>
      <c r="Y67" s="574" t="n"/>
      <c r="Z67" s="574" t="n"/>
      <c r="AA67" s="574" t="n"/>
      <c r="AB67" s="574" t="n"/>
      <c r="AC67" s="574" t="n"/>
      <c r="AD67" s="574" t="n"/>
      <c r="AE67" s="574" t="n"/>
      <c r="AF67" s="574" t="n"/>
      <c r="AG67" s="173" t="n"/>
    </row>
    <row r="68" ht="16.5" customHeight="1" s="695">
      <c r="A68" s="174" t="n"/>
      <c r="B68" s="703" t="n">
        <v>7</v>
      </c>
      <c r="C68" s="176" t="n">
        <v>15</v>
      </c>
      <c r="D68" s="177" t="inlineStr">
        <is>
          <t>Waraou</t>
        </is>
      </c>
      <c r="E68" s="178" t="inlineStr">
        <is>
          <t>Tibiri</t>
        </is>
      </c>
      <c r="F68" s="178" t="inlineStr">
        <is>
          <t>Intervention</t>
        </is>
      </c>
      <c r="G68" s="44" t="n">
        <v>2019</v>
      </c>
      <c r="H68" s="44" t="n">
        <v>2020</v>
      </c>
      <c r="I68" s="48" t="n">
        <v>1</v>
      </c>
      <c r="J68" s="44" t="n">
        <v>3</v>
      </c>
      <c r="K68" s="44" t="n">
        <v>45</v>
      </c>
      <c r="L68" s="179" t="n">
        <v>1</v>
      </c>
      <c r="M68" s="534" t="n"/>
      <c r="N68" s="47" t="n">
        <v>0</v>
      </c>
      <c r="O68" s="47" t="n">
        <v>0.71</v>
      </c>
      <c r="P68" s="47" t="n">
        <v>0.71</v>
      </c>
      <c r="Q68" s="180" t="n">
        <v>8.6</v>
      </c>
      <c r="R68" s="180" t="n">
        <v>10</v>
      </c>
      <c r="S68" s="180" t="n">
        <v>7.8</v>
      </c>
      <c r="T68" s="180" t="n">
        <v>12.1</v>
      </c>
      <c r="U68" s="35" t="inlineStr">
        <is>
          <t>N/A</t>
        </is>
      </c>
      <c r="V68" s="49" t="n"/>
      <c r="W68" s="49" t="n"/>
      <c r="X68" s="49" t="n"/>
      <c r="Y68" s="49" t="n"/>
      <c r="Z68" s="49" t="n"/>
      <c r="AA68" s="49" t="n"/>
      <c r="AB68" s="49" t="n"/>
      <c r="AC68" s="49" t="n"/>
      <c r="AD68" s="49" t="n"/>
      <c r="AE68" s="49" t="n"/>
      <c r="AF68" s="49" t="n"/>
      <c r="AG68" s="181" t="n"/>
    </row>
    <row r="69" ht="16.5" customHeight="1" s="695">
      <c r="A69" s="182" t="n"/>
      <c r="B69" s="698" t="n"/>
      <c r="C69" s="137" t="n">
        <v>16</v>
      </c>
      <c r="D69" s="134" t="inlineStr">
        <is>
          <t>Soura Sarkin Galma  2</t>
        </is>
      </c>
      <c r="E69" s="189" t="inlineStr">
        <is>
          <t>Tibiri</t>
        </is>
      </c>
      <c r="F69" s="189" t="inlineStr">
        <is>
          <t>Control</t>
        </is>
      </c>
      <c r="G69" s="135" t="n">
        <v>2019</v>
      </c>
      <c r="H69" s="152" t="n">
        <v>2020</v>
      </c>
      <c r="I69" s="133" t="n">
        <v>0</v>
      </c>
      <c r="J69" s="152" t="n">
        <v>0</v>
      </c>
      <c r="K69" s="152" t="n">
        <v>54</v>
      </c>
      <c r="L69" s="138" t="n">
        <v>0</v>
      </c>
      <c r="M69" s="59" t="n"/>
      <c r="N69" s="701" t="inlineStr">
        <is>
          <t>NR</t>
        </is>
      </c>
      <c r="O69" s="80" t="n">
        <v>0.13</v>
      </c>
      <c r="P69" s="80" t="n">
        <v>0.13</v>
      </c>
      <c r="Q69" s="184" t="n">
        <v>8.199999999999999</v>
      </c>
      <c r="R69" s="184" t="n">
        <v>6.8</v>
      </c>
      <c r="S69" s="184" t="n">
        <v>8.300000000000001</v>
      </c>
      <c r="T69" s="184" t="n">
        <v>10.1</v>
      </c>
      <c r="U69" s="35" t="inlineStr">
        <is>
          <t>N/A</t>
        </is>
      </c>
      <c r="V69" s="62" t="n"/>
      <c r="W69" s="62" t="n"/>
      <c r="X69" s="62" t="n"/>
      <c r="Y69" s="62" t="n"/>
      <c r="Z69" s="62" t="n"/>
      <c r="AA69" s="62" t="n"/>
      <c r="AB69" s="62" t="n"/>
      <c r="AC69" s="62" t="n"/>
      <c r="AD69" s="62" t="n"/>
      <c r="AE69" s="62" t="n"/>
      <c r="AF69" s="62" t="n"/>
      <c r="AG69" s="162" t="n"/>
    </row>
    <row r="70">
      <c r="A70" s="186" t="n"/>
      <c r="B70" s="702" t="n">
        <v>8</v>
      </c>
      <c r="C70" s="149" t="n">
        <v>17</v>
      </c>
      <c r="D70" s="147" t="inlineStr">
        <is>
          <t>Madara</t>
        </is>
      </c>
      <c r="E70" s="54" t="inlineStr">
        <is>
          <t>Tibiri</t>
        </is>
      </c>
      <c r="F70" s="186" t="inlineStr">
        <is>
          <t>Intervention</t>
        </is>
      </c>
      <c r="G70" s="187" t="n">
        <v>2019</v>
      </c>
      <c r="H70" s="187" t="n">
        <v>2020</v>
      </c>
      <c r="I70" s="90" t="n">
        <v>1</v>
      </c>
      <c r="J70" s="187" t="n">
        <v>1</v>
      </c>
      <c r="K70" s="187" t="n">
        <v>18</v>
      </c>
      <c r="L70" s="159" t="n">
        <v>1</v>
      </c>
      <c r="M70" s="537" t="n"/>
      <c r="N70" s="89" t="n">
        <v>0</v>
      </c>
      <c r="O70" s="89" t="n">
        <v>0.44</v>
      </c>
      <c r="P70" s="89" t="n">
        <v>0.44</v>
      </c>
      <c r="Q70" s="188" t="n">
        <v>10.8</v>
      </c>
      <c r="R70" s="188" t="n">
        <v>11.8</v>
      </c>
      <c r="S70" s="188" t="n">
        <v>9.699999999999999</v>
      </c>
      <c r="T70" s="188" t="n">
        <v>11.6</v>
      </c>
      <c r="U70" s="35" t="inlineStr">
        <is>
          <t>N/A</t>
        </is>
      </c>
      <c r="V70" s="72" t="n"/>
      <c r="W70" s="72" t="n"/>
      <c r="X70" s="72" t="n"/>
      <c r="Y70" s="72" t="n"/>
      <c r="Z70" s="72" t="n"/>
      <c r="AA70" s="72" t="n"/>
      <c r="AB70" s="72" t="n"/>
      <c r="AC70" s="72" t="n"/>
      <c r="AD70" s="72" t="n"/>
      <c r="AE70" s="72" t="n"/>
      <c r="AF70" s="72" t="n"/>
      <c r="AG70" s="72" t="n"/>
    </row>
    <row r="71">
      <c r="A71" s="189" t="n"/>
      <c r="B71" s="698" t="n"/>
      <c r="C71" s="137" t="n">
        <v>18</v>
      </c>
      <c r="D71" s="134" t="inlineStr">
        <is>
          <t>Yan Zango</t>
        </is>
      </c>
      <c r="E71" s="189" t="inlineStr">
        <is>
          <t>Tibiri</t>
        </is>
      </c>
      <c r="F71" s="189" t="inlineStr">
        <is>
          <t>Control</t>
        </is>
      </c>
      <c r="G71" s="135" t="n">
        <v>2019</v>
      </c>
      <c r="H71" s="152" t="n">
        <v>2020</v>
      </c>
      <c r="I71" s="133" t="n">
        <v>0</v>
      </c>
      <c r="J71" s="152" t="n">
        <v>0</v>
      </c>
      <c r="K71" s="152" t="n">
        <v>20</v>
      </c>
      <c r="L71" s="138" t="n">
        <v>0</v>
      </c>
      <c r="M71" s="59" t="n"/>
      <c r="N71" s="80" t="n">
        <v>0</v>
      </c>
      <c r="O71" s="80" t="n">
        <v>0.3</v>
      </c>
      <c r="P71" s="80" t="n">
        <v>0.3</v>
      </c>
      <c r="Q71" s="190" t="n">
        <v>6.5</v>
      </c>
      <c r="R71" s="190" t="n">
        <v>6.8</v>
      </c>
      <c r="S71" s="190" t="n">
        <v>6.4</v>
      </c>
      <c r="T71" s="190" t="n">
        <v>7.5</v>
      </c>
      <c r="U71" s="35" t="inlineStr">
        <is>
          <t>N/A</t>
        </is>
      </c>
      <c r="V71" s="81" t="n"/>
      <c r="W71" s="81" t="n"/>
      <c r="X71" s="81" t="n"/>
      <c r="Y71" s="81" t="n"/>
      <c r="Z71" s="81" t="n"/>
      <c r="AA71" s="81" t="n"/>
      <c r="AB71" s="81" t="n"/>
      <c r="AC71" s="81" t="n"/>
      <c r="AD71" s="81" t="n"/>
      <c r="AE71" s="81" t="n"/>
      <c r="AF71" s="81" t="n"/>
      <c r="AG71" s="81" t="n"/>
    </row>
    <row r="72">
      <c r="A72" s="186" t="n"/>
      <c r="B72" s="702" t="n">
        <v>9</v>
      </c>
      <c r="C72" s="149" t="n">
        <v>19</v>
      </c>
      <c r="D72" s="147" t="inlineStr">
        <is>
          <t>Guidan Oumarou D</t>
        </is>
      </c>
      <c r="E72" s="54" t="inlineStr">
        <is>
          <t>Tibiri</t>
        </is>
      </c>
      <c r="F72" s="186" t="inlineStr">
        <is>
          <t>Intervention</t>
        </is>
      </c>
      <c r="G72" s="187" t="n">
        <v>2019</v>
      </c>
      <c r="H72" s="187" t="n">
        <v>2020</v>
      </c>
      <c r="I72" s="90" t="n">
        <v>1</v>
      </c>
      <c r="J72" s="187" t="n">
        <v>4</v>
      </c>
      <c r="K72" s="187" t="n">
        <v>50</v>
      </c>
      <c r="L72" s="159" t="n">
        <v>1</v>
      </c>
      <c r="M72" s="537" t="n"/>
      <c r="N72" s="89" t="n">
        <v>0</v>
      </c>
      <c r="O72" s="89" t="n">
        <v>0.88</v>
      </c>
      <c r="P72" s="704" t="inlineStr">
        <is>
          <t>NR</t>
        </is>
      </c>
      <c r="Q72" s="192" t="n">
        <v>7.3</v>
      </c>
      <c r="R72" s="192" t="n">
        <v>9.800000000000001</v>
      </c>
      <c r="S72" s="192" t="n">
        <v>8.9</v>
      </c>
      <c r="T72" s="192" t="n">
        <v>13.1</v>
      </c>
      <c r="U72" s="35" t="inlineStr">
        <is>
          <t>N/A</t>
        </is>
      </c>
      <c r="V72" s="91" t="n"/>
      <c r="W72" s="91" t="n"/>
      <c r="X72" s="91" t="n"/>
      <c r="Y72" s="91" t="n"/>
      <c r="Z72" s="91" t="n"/>
      <c r="AA72" s="91" t="n"/>
      <c r="AB72" s="91" t="n"/>
      <c r="AC72" s="91" t="n"/>
      <c r="AD72" s="91" t="n"/>
      <c r="AE72" s="91" t="n"/>
      <c r="AF72" s="91" t="n"/>
      <c r="AG72" s="91" t="n"/>
    </row>
    <row r="73">
      <c r="A73" s="189" t="n"/>
      <c r="B73" s="698" t="n"/>
      <c r="C73" s="137" t="n">
        <v>20</v>
      </c>
      <c r="D73" s="134" t="inlineStr">
        <is>
          <t>Garin Adjia Sofoua</t>
        </is>
      </c>
      <c r="E73" s="189" t="inlineStr">
        <is>
          <t>Tibiri</t>
        </is>
      </c>
      <c r="F73" s="189" t="inlineStr">
        <is>
          <t>Control</t>
        </is>
      </c>
      <c r="G73" s="135" t="n">
        <v>2019</v>
      </c>
      <c r="H73" s="152" t="n">
        <v>2020</v>
      </c>
      <c r="I73" s="133" t="n">
        <v>0</v>
      </c>
      <c r="J73" s="152" t="n">
        <v>0</v>
      </c>
      <c r="K73" s="152" t="n">
        <v>10</v>
      </c>
      <c r="L73" s="138" t="n">
        <v>0</v>
      </c>
      <c r="M73" s="59" t="n"/>
      <c r="N73" s="80" t="n">
        <v>0</v>
      </c>
      <c r="O73" s="80" t="n">
        <v>0.73</v>
      </c>
      <c r="P73" s="80" t="n">
        <v>0.5</v>
      </c>
      <c r="Q73" s="184" t="n">
        <v>4.5</v>
      </c>
      <c r="R73" s="184" t="n">
        <v>6.5</v>
      </c>
      <c r="S73" s="184" t="n">
        <v>5.7</v>
      </c>
      <c r="T73" s="184" t="n">
        <v>7.5</v>
      </c>
      <c r="U73" s="35" t="inlineStr">
        <is>
          <t>N/A</t>
        </is>
      </c>
      <c r="V73" s="62" t="n"/>
      <c r="W73" s="62" t="n"/>
      <c r="X73" s="62" t="n"/>
      <c r="Y73" s="62" t="n"/>
      <c r="Z73" s="62" t="n"/>
      <c r="AA73" s="62" t="n"/>
      <c r="AB73" s="62" t="n"/>
      <c r="AC73" s="62" t="n"/>
      <c r="AD73" s="62" t="n"/>
      <c r="AE73" s="62" t="n"/>
      <c r="AF73" s="62" t="n"/>
      <c r="AG73" s="62" t="n"/>
    </row>
    <row r="74">
      <c r="A74" s="186" t="n"/>
      <c r="B74" s="702" t="n">
        <v>10</v>
      </c>
      <c r="C74" s="149" t="n">
        <v>21</v>
      </c>
      <c r="D74" s="147" t="inlineStr">
        <is>
          <t xml:space="preserve">Moundourkoussa </t>
        </is>
      </c>
      <c r="E74" s="54" t="inlineStr">
        <is>
          <t>Tibiri</t>
        </is>
      </c>
      <c r="F74" s="186" t="inlineStr">
        <is>
          <t>Intervention</t>
        </is>
      </c>
      <c r="G74" s="187" t="n">
        <v>2019</v>
      </c>
      <c r="H74" s="187" t="n">
        <v>2020</v>
      </c>
      <c r="I74" s="90" t="n">
        <v>1</v>
      </c>
      <c r="J74" s="187" t="n">
        <v>1</v>
      </c>
      <c r="K74" s="187" t="n">
        <v>14</v>
      </c>
      <c r="L74" s="159" t="n">
        <v>1</v>
      </c>
      <c r="M74" s="537" t="n"/>
      <c r="N74" s="89" t="n">
        <v>0</v>
      </c>
      <c r="O74" s="89" t="n">
        <v>0.43</v>
      </c>
      <c r="P74" s="89" t="n">
        <v>0.43</v>
      </c>
      <c r="Q74" s="188" t="n">
        <v>7.3</v>
      </c>
      <c r="R74" s="188" t="n">
        <v>9.5</v>
      </c>
      <c r="S74" s="188" t="n">
        <v>7</v>
      </c>
      <c r="T74" s="188" t="n">
        <v>10.4</v>
      </c>
      <c r="U74" s="35" t="inlineStr">
        <is>
          <t>N/A</t>
        </is>
      </c>
      <c r="V74" s="72" t="n"/>
      <c r="W74" s="72" t="n"/>
      <c r="X74" s="72" t="n"/>
      <c r="Y74" s="72" t="n"/>
      <c r="Z74" s="72" t="n"/>
      <c r="AA74" s="72" t="n"/>
      <c r="AB74" s="72" t="n"/>
      <c r="AC74" s="72" t="n"/>
      <c r="AD74" s="72" t="n"/>
      <c r="AE74" s="72" t="n"/>
      <c r="AF74" s="72" t="n"/>
      <c r="AG74" s="72" t="n"/>
    </row>
    <row r="75">
      <c r="A75" s="189" t="n"/>
      <c r="B75" s="698" t="n"/>
      <c r="C75" s="137" t="n">
        <v>22</v>
      </c>
      <c r="D75" s="134" t="inlineStr">
        <is>
          <t>Guigamaoua Sofoua</t>
        </is>
      </c>
      <c r="E75" s="189" t="inlineStr">
        <is>
          <t>Tibiri</t>
        </is>
      </c>
      <c r="F75" s="189" t="inlineStr">
        <is>
          <t>Control</t>
        </is>
      </c>
      <c r="G75" s="135" t="n">
        <v>2019</v>
      </c>
      <c r="H75" s="152" t="n">
        <v>2020</v>
      </c>
      <c r="I75" s="133" t="n">
        <v>0</v>
      </c>
      <c r="J75" s="152" t="n">
        <v>0</v>
      </c>
      <c r="K75" s="152" t="n">
        <v>21</v>
      </c>
      <c r="L75" s="138" t="n">
        <v>0</v>
      </c>
      <c r="M75" s="59" t="n"/>
      <c r="N75" s="701" t="inlineStr">
        <is>
          <t>NR</t>
        </is>
      </c>
      <c r="O75" s="80" t="n">
        <v>0.33</v>
      </c>
      <c r="P75" s="80" t="n">
        <v>0.33</v>
      </c>
      <c r="Q75" s="190" t="n">
        <v>6.4</v>
      </c>
      <c r="R75" s="190" t="n">
        <v>8.4</v>
      </c>
      <c r="S75" s="190" t="n">
        <v>7.5</v>
      </c>
      <c r="T75" s="190" t="n">
        <v>9.5</v>
      </c>
      <c r="U75" s="35" t="inlineStr">
        <is>
          <t>N/A</t>
        </is>
      </c>
      <c r="V75" s="81" t="n"/>
      <c r="W75" s="81" t="n"/>
      <c r="X75" s="81" t="n"/>
      <c r="Y75" s="81" t="n"/>
      <c r="Z75" s="81" t="n"/>
      <c r="AA75" s="81" t="n"/>
      <c r="AB75" s="81" t="n"/>
      <c r="AC75" s="81" t="n"/>
      <c r="AD75" s="81" t="n"/>
      <c r="AE75" s="81" t="n"/>
      <c r="AF75" s="81" t="n"/>
      <c r="AG75" s="81" t="n"/>
    </row>
    <row r="76">
      <c r="A76" s="186" t="n"/>
      <c r="B76" s="702" t="n">
        <v>11</v>
      </c>
      <c r="C76" s="149" t="n">
        <v>23</v>
      </c>
      <c r="D76" s="147" t="inlineStr">
        <is>
          <t xml:space="preserve">Guidan Adjia 1 </t>
        </is>
      </c>
      <c r="E76" s="54" t="inlineStr">
        <is>
          <t>Tibiri</t>
        </is>
      </c>
      <c r="F76" s="186" t="inlineStr">
        <is>
          <t>Intervention</t>
        </is>
      </c>
      <c r="G76" s="187" t="n">
        <v>2019</v>
      </c>
      <c r="H76" s="187" t="n">
        <v>2020</v>
      </c>
      <c r="I76" s="90" t="n">
        <v>1</v>
      </c>
      <c r="J76" s="187" t="n">
        <v>2</v>
      </c>
      <c r="K76" s="187" t="n">
        <v>35</v>
      </c>
      <c r="L76" s="159" t="n">
        <v>1</v>
      </c>
      <c r="M76" s="537" t="n"/>
      <c r="N76" s="89" t="n">
        <v>0</v>
      </c>
      <c r="O76" s="89" t="n">
        <v>0.4</v>
      </c>
      <c r="P76" s="89" t="n">
        <v>0.4</v>
      </c>
      <c r="Q76" s="192" t="n">
        <v>6.7</v>
      </c>
      <c r="R76" s="192" t="n">
        <v>10.3</v>
      </c>
      <c r="S76" s="192" t="n">
        <v>6.6</v>
      </c>
      <c r="T76" s="192" t="n">
        <v>10.1</v>
      </c>
      <c r="U76" s="35" t="inlineStr">
        <is>
          <t>N/A</t>
        </is>
      </c>
      <c r="V76" s="91" t="n"/>
      <c r="W76" s="91" t="n"/>
      <c r="X76" s="91" t="n"/>
      <c r="Y76" s="91" t="n"/>
      <c r="Z76" s="91" t="n"/>
      <c r="AA76" s="91" t="n"/>
      <c r="AB76" s="91" t="n"/>
      <c r="AC76" s="91" t="n"/>
      <c r="AD76" s="91" t="n"/>
      <c r="AE76" s="91" t="n"/>
      <c r="AF76" s="91" t="n"/>
      <c r="AG76" s="91" t="n"/>
    </row>
    <row r="77">
      <c r="A77" s="189" t="n"/>
      <c r="B77" s="698" t="n"/>
      <c r="C77" s="137" t="n">
        <v>24</v>
      </c>
      <c r="D77" s="134" t="inlineStr">
        <is>
          <t>Dan Adoua</t>
        </is>
      </c>
      <c r="E77" s="189" t="inlineStr">
        <is>
          <t>Tibiri</t>
        </is>
      </c>
      <c r="F77" s="189" t="inlineStr">
        <is>
          <t>Control</t>
        </is>
      </c>
      <c r="G77" s="135" t="n">
        <v>2019</v>
      </c>
      <c r="H77" s="152" t="n">
        <v>2020</v>
      </c>
      <c r="I77" s="133" t="n">
        <v>0</v>
      </c>
      <c r="J77" s="152" t="n">
        <v>0</v>
      </c>
      <c r="K77" s="152" t="n">
        <v>28</v>
      </c>
      <c r="L77" s="138" t="n">
        <v>0</v>
      </c>
      <c r="M77" s="59" t="n"/>
      <c r="N77" s="701" t="inlineStr">
        <is>
          <t>NR</t>
        </is>
      </c>
      <c r="O77" s="80" t="n">
        <v>0.54</v>
      </c>
      <c r="P77" s="80" t="n">
        <v>0.54</v>
      </c>
      <c r="Q77" s="184" t="n">
        <v>7</v>
      </c>
      <c r="R77" s="184" t="n">
        <v>9.699999999999999</v>
      </c>
      <c r="S77" s="184" t="n">
        <v>13</v>
      </c>
      <c r="T77" s="184" t="n">
        <v>11.3</v>
      </c>
      <c r="U77" s="35" t="inlineStr">
        <is>
          <t>N/A</t>
        </is>
      </c>
      <c r="V77" s="62" t="n"/>
      <c r="W77" s="62" t="n"/>
      <c r="X77" s="62" t="n"/>
      <c r="Y77" s="62" t="n"/>
      <c r="Z77" s="62" t="n"/>
      <c r="AA77" s="62" t="n"/>
      <c r="AB77" s="62" t="n"/>
      <c r="AC77" s="62" t="n"/>
      <c r="AD77" s="62" t="n"/>
      <c r="AE77" s="62" t="n"/>
      <c r="AF77" s="62" t="n"/>
      <c r="AG77" s="62" t="n"/>
    </row>
    <row r="78">
      <c r="A78" s="186" t="n"/>
      <c r="B78" s="702" t="n">
        <v>12</v>
      </c>
      <c r="C78" s="149" t="n">
        <v>25</v>
      </c>
      <c r="D78" s="147" t="inlineStr">
        <is>
          <t>Soura Magagi Rogo</t>
        </is>
      </c>
      <c r="E78" s="186" t="inlineStr">
        <is>
          <t>Tibiri</t>
        </is>
      </c>
      <c r="F78" s="186" t="inlineStr">
        <is>
          <t>Intervention</t>
        </is>
      </c>
      <c r="G78" s="187" t="n">
        <v>2019</v>
      </c>
      <c r="H78" s="187" t="n">
        <v>2020</v>
      </c>
      <c r="I78" s="90" t="n">
        <v>1</v>
      </c>
      <c r="J78" s="187" t="n">
        <v>1</v>
      </c>
      <c r="K78" s="187" t="n">
        <v>22</v>
      </c>
      <c r="L78" s="159" t="n">
        <v>1</v>
      </c>
      <c r="M78" s="537" t="n"/>
      <c r="N78" s="89">
        <f>1/22</f>
        <v/>
      </c>
      <c r="O78" s="89" t="n">
        <v>1</v>
      </c>
      <c r="P78" s="89" t="n">
        <v>1</v>
      </c>
      <c r="Q78" s="188" t="n">
        <v>13</v>
      </c>
      <c r="R78" s="188" t="n">
        <v>15.2</v>
      </c>
      <c r="S78" s="188" t="n">
        <v>16.3</v>
      </c>
      <c r="T78" s="188" t="n">
        <v>17.4</v>
      </c>
      <c r="U78" s="35" t="inlineStr">
        <is>
          <t>N/A</t>
        </is>
      </c>
      <c r="V78" s="72" t="n"/>
      <c r="W78" s="72" t="n"/>
      <c r="X78" s="72" t="n"/>
      <c r="Y78" s="72" t="n"/>
      <c r="Z78" s="72" t="n"/>
      <c r="AA78" s="72" t="n"/>
      <c r="AB78" s="72" t="n"/>
      <c r="AC78" s="72" t="n"/>
      <c r="AD78" s="72" t="n"/>
      <c r="AE78" s="72" t="n"/>
      <c r="AF78" s="72" t="n"/>
      <c r="AG78" s="72" t="n"/>
    </row>
    <row r="79" ht="15.75" customHeight="1" s="695">
      <c r="A79" s="189" t="n"/>
      <c r="B79" s="698" t="n"/>
      <c r="C79" s="137" t="n">
        <v>26</v>
      </c>
      <c r="D79" s="134" t="inlineStr">
        <is>
          <t>Maisso</t>
        </is>
      </c>
      <c r="E79" s="189" t="inlineStr">
        <is>
          <t>Tibiri</t>
        </is>
      </c>
      <c r="F79" s="189" t="inlineStr">
        <is>
          <t>Control</t>
        </is>
      </c>
      <c r="G79" s="135" t="n">
        <v>2019</v>
      </c>
      <c r="H79" s="152" t="n">
        <v>2020</v>
      </c>
      <c r="I79" s="133" t="n">
        <v>0</v>
      </c>
      <c r="J79" s="152" t="n">
        <v>0</v>
      </c>
      <c r="K79" s="152" t="n">
        <v>14</v>
      </c>
      <c r="L79" s="138" t="n">
        <v>0</v>
      </c>
      <c r="M79" s="59" t="n"/>
      <c r="N79" s="80" t="n">
        <v>0</v>
      </c>
      <c r="O79" s="80" t="n">
        <v>0.5</v>
      </c>
      <c r="P79" s="80" t="n">
        <v>0.5</v>
      </c>
      <c r="Q79" s="190" t="n">
        <v>7.3</v>
      </c>
      <c r="R79" s="190" t="n">
        <v>8.4</v>
      </c>
      <c r="S79" s="190" t="n">
        <v>12.6</v>
      </c>
      <c r="T79" s="190" t="n">
        <v>13.1</v>
      </c>
      <c r="U79" s="35" t="inlineStr">
        <is>
          <t>N/A</t>
        </is>
      </c>
      <c r="V79" s="81" t="n"/>
      <c r="W79" s="81" t="n"/>
      <c r="X79" s="81" t="n"/>
      <c r="Y79" s="81" t="n"/>
      <c r="Z79" s="81" t="n"/>
      <c r="AA79" s="81" t="n"/>
      <c r="AB79" s="81" t="n"/>
      <c r="AC79" s="81" t="n"/>
      <c r="AD79" s="81" t="n"/>
      <c r="AE79" s="81" t="n"/>
      <c r="AF79" s="81" t="n"/>
      <c r="AG79" s="81" t="n"/>
    </row>
    <row r="80">
      <c r="A80" s="186" t="n"/>
      <c r="B80" s="705" t="n">
        <v>13</v>
      </c>
      <c r="C80" s="149" t="n">
        <v>27</v>
      </c>
      <c r="D80" s="147" t="inlineStr">
        <is>
          <t>Kalgon Waraou</t>
        </is>
      </c>
      <c r="E80" s="186" t="inlineStr">
        <is>
          <t>Tibiri</t>
        </is>
      </c>
      <c r="F80" s="186" t="inlineStr">
        <is>
          <t>Intervention</t>
        </is>
      </c>
      <c r="G80" s="187" t="n">
        <v>2019</v>
      </c>
      <c r="H80" s="187" t="n">
        <v>2020</v>
      </c>
      <c r="I80" s="90" t="n">
        <v>1</v>
      </c>
      <c r="J80" s="187" t="n">
        <v>1</v>
      </c>
      <c r="K80" s="187" t="n">
        <v>12</v>
      </c>
      <c r="L80" s="159" t="n">
        <v>1</v>
      </c>
      <c r="M80" s="537" t="n"/>
      <c r="N80" s="89" t="n">
        <v>0</v>
      </c>
      <c r="O80" s="89" t="n">
        <v>0.5</v>
      </c>
      <c r="P80" s="89" t="n">
        <v>0.5</v>
      </c>
      <c r="Q80" s="192" t="n">
        <v>5.5</v>
      </c>
      <c r="R80" s="192" t="n">
        <v>8.699999999999999</v>
      </c>
      <c r="S80" s="192" t="n">
        <v>9.6</v>
      </c>
      <c r="T80" s="192" t="n">
        <v>13.6</v>
      </c>
      <c r="U80" s="35" t="inlineStr">
        <is>
          <t>N/A</t>
        </is>
      </c>
      <c r="V80" s="91" t="n"/>
      <c r="W80" s="91" t="n"/>
      <c r="X80" s="91" t="n"/>
      <c r="Y80" s="91" t="n"/>
      <c r="Z80" s="91" t="n"/>
      <c r="AA80" s="91" t="n"/>
      <c r="AB80" s="91" t="n"/>
      <c r="AC80" s="91" t="n"/>
      <c r="AD80" s="91" t="n"/>
      <c r="AE80" s="91" t="n"/>
      <c r="AF80" s="91" t="n"/>
      <c r="AG80" s="91" t="n"/>
    </row>
    <row r="81">
      <c r="A81" s="189" t="n"/>
      <c r="B81" s="706" t="n"/>
      <c r="C81" s="308" t="n">
        <v>28</v>
      </c>
      <c r="D81" s="195" t="inlineStr">
        <is>
          <t xml:space="preserve">Garin Malan Hamza </t>
        </is>
      </c>
      <c r="E81" s="196" t="inlineStr">
        <is>
          <t>Tibiri</t>
        </is>
      </c>
      <c r="F81" s="189" t="inlineStr">
        <is>
          <t>Control</t>
        </is>
      </c>
      <c r="G81" s="135" t="n">
        <v>2019</v>
      </c>
      <c r="H81" s="152" t="n">
        <v>2020</v>
      </c>
      <c r="I81" s="133" t="n">
        <v>0</v>
      </c>
      <c r="J81" s="152" t="n">
        <v>0</v>
      </c>
      <c r="K81" s="152" t="n">
        <v>19</v>
      </c>
      <c r="L81" s="138" t="n">
        <v>0</v>
      </c>
      <c r="M81" s="59" t="n"/>
      <c r="N81" s="80" t="n">
        <v>0</v>
      </c>
      <c r="O81" s="80" t="n">
        <v>0.53</v>
      </c>
      <c r="P81" s="80" t="n">
        <v>0.53</v>
      </c>
      <c r="Q81" s="184" t="n">
        <v>6.6</v>
      </c>
      <c r="R81" s="184" t="n">
        <v>9.4</v>
      </c>
      <c r="S81" s="184" t="n">
        <v>6.2</v>
      </c>
      <c r="T81" s="184" t="n">
        <v>9.699999999999999</v>
      </c>
      <c r="U81" s="35" t="inlineStr">
        <is>
          <t>N/A</t>
        </is>
      </c>
      <c r="V81" s="62" t="n"/>
      <c r="W81" s="62" t="n"/>
      <c r="X81" s="62" t="n"/>
      <c r="Y81" s="62" t="n"/>
      <c r="Z81" s="62" t="n"/>
      <c r="AA81" s="62" t="n"/>
      <c r="AB81" s="62" t="n"/>
      <c r="AC81" s="62" t="n"/>
      <c r="AD81" s="62" t="n"/>
      <c r="AE81" s="62" t="n"/>
      <c r="AF81" s="62" t="n"/>
      <c r="AG81" s="62" t="n"/>
    </row>
    <row r="82">
      <c r="A82" s="198" t="n"/>
      <c r="B82" s="703" t="n">
        <v>14</v>
      </c>
      <c r="C82" s="149" t="n">
        <v>29</v>
      </c>
      <c r="D82" s="198" t="inlineStr">
        <is>
          <t xml:space="preserve">Laouali Dango </t>
        </is>
      </c>
      <c r="E82" s="199" t="inlineStr">
        <is>
          <t>Tibiri</t>
        </is>
      </c>
      <c r="F82" s="198" t="inlineStr">
        <is>
          <t>Intervention</t>
        </is>
      </c>
      <c r="G82" s="198" t="n">
        <v>2019</v>
      </c>
      <c r="H82" s="198" t="n">
        <v>2020</v>
      </c>
      <c r="I82" s="200" t="n">
        <v>1</v>
      </c>
      <c r="J82" s="155" t="n">
        <v>4</v>
      </c>
      <c r="K82" s="155" t="n">
        <v>54</v>
      </c>
      <c r="L82" s="149" t="n">
        <v>1</v>
      </c>
      <c r="M82" s="201" t="n"/>
      <c r="N82" s="202" t="n">
        <v>0</v>
      </c>
      <c r="O82" s="202" t="n">
        <v>0.76</v>
      </c>
      <c r="P82" s="202" t="n">
        <v>0.76</v>
      </c>
      <c r="Q82" s="203" t="inlineStr">
        <is>
          <t>NR</t>
        </is>
      </c>
      <c r="R82" s="203" t="inlineStr">
        <is>
          <t>NR</t>
        </is>
      </c>
      <c r="S82" s="203" t="inlineStr">
        <is>
          <t>NR</t>
        </is>
      </c>
      <c r="T82" s="203" t="inlineStr">
        <is>
          <t>NR</t>
        </is>
      </c>
      <c r="U82" s="35" t="inlineStr">
        <is>
          <t>N/A</t>
        </is>
      </c>
      <c r="V82" s="547" t="n"/>
      <c r="W82" s="547" t="n"/>
      <c r="X82" s="547" t="n"/>
      <c r="Y82" s="547" t="n"/>
      <c r="Z82" s="547" t="n"/>
      <c r="AA82" s="547" t="n"/>
      <c r="AB82" s="547" t="n"/>
      <c r="AC82" s="547" t="n"/>
      <c r="AD82" s="547" t="n"/>
      <c r="AE82" s="547" t="n"/>
      <c r="AF82" s="547" t="n"/>
      <c r="AG82" s="547" t="n"/>
    </row>
    <row r="83">
      <c r="A83" s="134" t="n"/>
      <c r="B83" s="698" t="n"/>
      <c r="C83" s="137" t="n">
        <v>30</v>
      </c>
      <c r="D83" s="134" t="inlineStr">
        <is>
          <t>Garin Barmo</t>
        </is>
      </c>
      <c r="E83" s="196" t="inlineStr">
        <is>
          <t>Tibiri</t>
        </is>
      </c>
      <c r="F83" s="134" t="inlineStr">
        <is>
          <t>Control</t>
        </is>
      </c>
      <c r="G83" s="135" t="n">
        <v>2019</v>
      </c>
      <c r="H83" s="134" t="n">
        <v>2020</v>
      </c>
      <c r="I83" s="136" t="n">
        <v>0</v>
      </c>
      <c r="J83" s="137" t="n">
        <v>0</v>
      </c>
      <c r="K83" s="152" t="n">
        <v>20</v>
      </c>
      <c r="L83" s="168" t="n">
        <v>0</v>
      </c>
      <c r="M83" s="139" t="n"/>
      <c r="N83" s="141" t="n">
        <v>0</v>
      </c>
      <c r="O83" s="141" t="n">
        <v>0.47</v>
      </c>
      <c r="P83" s="141" t="n">
        <v>0.5</v>
      </c>
      <c r="Q83" s="153" t="n">
        <v>10.7</v>
      </c>
      <c r="R83" s="153" t="n">
        <v>11.8</v>
      </c>
      <c r="S83" s="153" t="n">
        <v>7.5</v>
      </c>
      <c r="T83" s="153" t="n">
        <v>9</v>
      </c>
      <c r="U83" s="35" t="inlineStr">
        <is>
          <t>N/A</t>
        </is>
      </c>
      <c r="V83" s="550" t="n"/>
      <c r="W83" s="550" t="n"/>
      <c r="X83" s="550" t="n"/>
      <c r="Y83" s="550" t="n"/>
      <c r="Z83" s="550" t="n"/>
      <c r="AA83" s="550" t="n"/>
      <c r="AB83" s="550" t="n"/>
      <c r="AC83" s="550" t="n"/>
      <c r="AD83" s="550" t="n"/>
      <c r="AE83" s="550" t="n"/>
      <c r="AF83" s="550" t="n"/>
      <c r="AG83" s="550" t="n"/>
    </row>
    <row r="84">
      <c r="A84" s="207" t="inlineStr">
        <is>
          <t>COHORTE 3 CM2 2020-2021</t>
        </is>
      </c>
      <c r="B84" s="204" t="n"/>
      <c r="C84" s="205" t="n"/>
      <c r="D84" s="204" t="n"/>
      <c r="E84" s="204" t="n"/>
      <c r="F84" s="204" t="n"/>
      <c r="G84" s="204" t="n"/>
      <c r="H84" s="204" t="n"/>
      <c r="I84" s="204" t="n"/>
      <c r="J84" s="204" t="n"/>
      <c r="K84" s="204" t="n"/>
      <c r="L84" s="206" t="n"/>
      <c r="M84" s="207" t="n"/>
      <c r="N84" s="208" t="n"/>
      <c r="O84" s="208" t="n"/>
      <c r="P84" s="208" t="n"/>
      <c r="Q84" s="207" t="n"/>
      <c r="R84" s="207" t="n"/>
      <c r="S84" s="207" t="n"/>
      <c r="T84" s="207" t="n"/>
      <c r="U84" s="207" t="n"/>
      <c r="V84" s="207" t="n"/>
      <c r="W84" s="207" t="n"/>
      <c r="X84" s="207" t="n"/>
      <c r="Y84" s="207" t="n"/>
      <c r="Z84" s="207" t="n"/>
      <c r="AA84" s="207" t="n"/>
      <c r="AB84" s="207" t="n"/>
      <c r="AC84" s="207" t="n"/>
      <c r="AD84" s="207" t="n"/>
      <c r="AE84" s="207" t="n"/>
      <c r="AF84" s="207" t="n"/>
      <c r="AG84" s="207" t="n"/>
    </row>
    <row r="85">
      <c r="A85" s="100" t="n"/>
      <c r="B85" s="95" t="n"/>
      <c r="C85" s="98" t="n"/>
      <c r="D85" s="95" t="n"/>
      <c r="E85" s="95" t="n"/>
      <c r="F85" s="95" t="n"/>
      <c r="G85" s="95" t="n"/>
      <c r="H85" s="95" t="n"/>
      <c r="I85" s="95" t="n"/>
      <c r="J85" s="95" t="n"/>
      <c r="K85" s="95" t="n"/>
      <c r="L85" s="99" t="n"/>
      <c r="M85" s="100" t="n"/>
      <c r="N85" s="36" t="n"/>
      <c r="O85" s="36" t="n"/>
      <c r="P85" s="36" t="n"/>
      <c r="Q85" s="100" t="n"/>
      <c r="R85" s="100" t="n"/>
      <c r="S85" s="100" t="n"/>
      <c r="T85" s="100" t="n"/>
      <c r="U85" s="100" t="n"/>
      <c r="V85" s="100" t="n"/>
      <c r="W85" s="100" t="n"/>
      <c r="X85" s="100" t="n"/>
      <c r="Y85" s="100" t="n"/>
      <c r="Z85" s="100" t="n"/>
      <c r="AA85" s="100" t="n"/>
      <c r="AB85" s="100" t="n"/>
      <c r="AC85" s="100" t="n"/>
      <c r="AD85" s="100" t="n"/>
      <c r="AE85" s="100" t="n"/>
      <c r="AF85" s="100" t="n"/>
      <c r="AG85" s="100" t="n"/>
    </row>
    <row r="86">
      <c r="A86" s="212" t="n"/>
      <c r="B86" s="210" t="n">
        <v>11</v>
      </c>
      <c r="C86" s="211" t="n">
        <v>62</v>
      </c>
      <c r="D86" s="200" t="inlineStr">
        <is>
          <t>Houdel</t>
        </is>
      </c>
      <c r="E86" s="212" t="inlineStr">
        <is>
          <t>Djirataoua</t>
        </is>
      </c>
      <c r="F86" s="212" t="inlineStr">
        <is>
          <t>Intervention</t>
        </is>
      </c>
      <c r="G86" s="213" t="n">
        <v>2019</v>
      </c>
      <c r="H86" s="213" t="n">
        <v>2020</v>
      </c>
      <c r="I86" s="200" t="n">
        <v>0</v>
      </c>
      <c r="J86" s="104" t="n">
        <v>0</v>
      </c>
      <c r="K86" s="214" t="inlineStr">
        <is>
          <t>NA</t>
        </is>
      </c>
      <c r="L86" s="215" t="inlineStr">
        <is>
          <t>NA</t>
        </is>
      </c>
      <c r="M86" s="216" t="inlineStr">
        <is>
          <t>NA</t>
        </is>
      </c>
      <c r="N86" s="216" t="inlineStr">
        <is>
          <t>NA</t>
        </is>
      </c>
      <c r="O86" s="216" t="inlineStr">
        <is>
          <t>NA</t>
        </is>
      </c>
      <c r="P86" s="216" t="inlineStr">
        <is>
          <t>NA</t>
        </is>
      </c>
      <c r="Q86" s="216" t="inlineStr">
        <is>
          <t>NA</t>
        </is>
      </c>
      <c r="R86" s="216" t="inlineStr">
        <is>
          <t>NA</t>
        </is>
      </c>
      <c r="S86" s="216" t="inlineStr">
        <is>
          <t>NA</t>
        </is>
      </c>
      <c r="T86" s="216" t="inlineStr">
        <is>
          <t>NA</t>
        </is>
      </c>
      <c r="U86" s="216" t="inlineStr">
        <is>
          <t>NA</t>
        </is>
      </c>
      <c r="V86" s="35" t="inlineStr">
        <is>
          <t>2019-2020</t>
        </is>
      </c>
      <c r="W86" s="35" t="n"/>
      <c r="X86" s="35" t="n"/>
      <c r="Y86" s="35" t="n"/>
      <c r="Z86" s="35" t="n"/>
      <c r="AA86" s="35" t="n"/>
      <c r="AB86" s="35" t="n"/>
      <c r="AC86" s="35" t="n"/>
      <c r="AD86" s="35" t="n"/>
      <c r="AE86" s="35" t="n"/>
      <c r="AF86" s="35" t="n"/>
      <c r="AG86" s="35" t="n"/>
    </row>
    <row r="87">
      <c r="A87" s="221" t="n"/>
      <c r="C87" s="219" t="n">
        <v>63</v>
      </c>
      <c r="D87" s="220" t="inlineStr">
        <is>
          <t>Dallia</t>
        </is>
      </c>
      <c r="E87" s="221" t="inlineStr">
        <is>
          <t>Djirataoua</t>
        </is>
      </c>
      <c r="F87" s="221" t="inlineStr">
        <is>
          <t>Control</t>
        </is>
      </c>
      <c r="G87" s="222" t="n">
        <v>2019</v>
      </c>
      <c r="H87" s="222" t="n">
        <v>2020</v>
      </c>
      <c r="I87" s="220" t="n">
        <v>0</v>
      </c>
      <c r="J87" s="104" t="n">
        <v>0</v>
      </c>
      <c r="K87" s="223" t="inlineStr">
        <is>
          <t>NA</t>
        </is>
      </c>
      <c r="L87" s="104" t="n">
        <v>0</v>
      </c>
      <c r="M87" s="12" t="n"/>
      <c r="N87" s="699" t="inlineStr">
        <is>
          <t>NR</t>
        </is>
      </c>
      <c r="O87" s="699" t="inlineStr">
        <is>
          <t>NR</t>
        </is>
      </c>
      <c r="P87" s="699" t="inlineStr">
        <is>
          <t>NR</t>
        </is>
      </c>
      <c r="Q87" s="216" t="inlineStr">
        <is>
          <t>NA</t>
        </is>
      </c>
      <c r="R87" s="216" t="inlineStr">
        <is>
          <t>NA</t>
        </is>
      </c>
      <c r="S87" s="216" t="inlineStr">
        <is>
          <t>NA</t>
        </is>
      </c>
      <c r="T87" s="216" t="inlineStr">
        <is>
          <t>NA</t>
        </is>
      </c>
      <c r="U87" s="216" t="inlineStr">
        <is>
          <t>NA</t>
        </is>
      </c>
      <c r="V87" s="35" t="inlineStr">
        <is>
          <t>2019-2020</t>
        </is>
      </c>
      <c r="W87" s="35" t="n"/>
      <c r="X87" s="35" t="n"/>
      <c r="Y87" s="35" t="n"/>
      <c r="Z87" s="35" t="n"/>
      <c r="AA87" s="35" t="n"/>
      <c r="AB87" s="35" t="n"/>
      <c r="AC87" s="35" t="n"/>
      <c r="AD87" s="35" t="n"/>
      <c r="AE87" s="35" t="n"/>
      <c r="AF87" s="35" t="n"/>
      <c r="AG87" s="35" t="n"/>
    </row>
    <row r="88">
      <c r="A88" s="212" t="n"/>
      <c r="B88" s="210" t="n">
        <v>12</v>
      </c>
      <c r="C88" s="211" t="n">
        <v>34</v>
      </c>
      <c r="D88" s="200" t="inlineStr">
        <is>
          <t>Koderaoua</t>
        </is>
      </c>
      <c r="E88" s="212" t="inlineStr">
        <is>
          <t>Djirataoua</t>
        </is>
      </c>
      <c r="F88" s="212" t="inlineStr">
        <is>
          <t>Intervention</t>
        </is>
      </c>
      <c r="G88" s="213" t="n">
        <v>2019</v>
      </c>
      <c r="H88" s="213" t="n">
        <v>2020</v>
      </c>
      <c r="I88" s="200" t="n">
        <v>0</v>
      </c>
      <c r="J88" s="104" t="n">
        <v>0</v>
      </c>
      <c r="K88" s="214" t="inlineStr">
        <is>
          <t>NA</t>
        </is>
      </c>
      <c r="L88" s="104" t="n">
        <v>0</v>
      </c>
      <c r="M88" s="106" t="inlineStr">
        <is>
          <t>NR</t>
        </is>
      </c>
      <c r="N88" s="699" t="inlineStr">
        <is>
          <t>NR</t>
        </is>
      </c>
      <c r="O88" s="699" t="inlineStr">
        <is>
          <t>NR</t>
        </is>
      </c>
      <c r="P88" s="699" t="inlineStr">
        <is>
          <t>NR</t>
        </is>
      </c>
      <c r="Q88" s="216" t="inlineStr">
        <is>
          <t>NA</t>
        </is>
      </c>
      <c r="R88" s="216" t="inlineStr">
        <is>
          <t>NA</t>
        </is>
      </c>
      <c r="S88" s="216" t="inlineStr">
        <is>
          <t>NA</t>
        </is>
      </c>
      <c r="T88" s="216" t="inlineStr">
        <is>
          <t>NA</t>
        </is>
      </c>
      <c r="U88" s="216" t="inlineStr">
        <is>
          <t>NA</t>
        </is>
      </c>
      <c r="V88" s="35" t="inlineStr">
        <is>
          <t>2019-2020</t>
        </is>
      </c>
      <c r="W88" s="35" t="n"/>
      <c r="X88" s="35" t="n"/>
      <c r="Y88" s="35" t="n"/>
      <c r="Z88" s="35" t="n"/>
      <c r="AA88" s="35" t="n"/>
      <c r="AB88" s="35" t="n"/>
      <c r="AC88" s="35" t="n"/>
      <c r="AD88" s="35" t="n"/>
      <c r="AE88" s="35" t="n"/>
      <c r="AF88" s="35" t="n"/>
      <c r="AG88" s="35" t="n"/>
    </row>
    <row r="89">
      <c r="A89" s="221" t="n"/>
      <c r="C89" s="219" t="n">
        <v>64</v>
      </c>
      <c r="D89" s="220" t="inlineStr">
        <is>
          <t>Oumarou lawali gago</t>
        </is>
      </c>
      <c r="E89" s="221" t="inlineStr">
        <is>
          <t>Djirataoua</t>
        </is>
      </c>
      <c r="F89" s="221" t="inlineStr">
        <is>
          <t>Control</t>
        </is>
      </c>
      <c r="G89" s="222" t="n">
        <v>2019</v>
      </c>
      <c r="H89" s="222" t="n">
        <v>2020</v>
      </c>
      <c r="I89" s="220" t="n">
        <v>0</v>
      </c>
      <c r="J89" s="104" t="n">
        <v>0</v>
      </c>
      <c r="K89" s="223" t="inlineStr">
        <is>
          <t>NA</t>
        </is>
      </c>
      <c r="L89" s="104" t="n">
        <v>0</v>
      </c>
      <c r="M89" s="12" t="n"/>
      <c r="N89" s="699" t="inlineStr">
        <is>
          <t>NR</t>
        </is>
      </c>
      <c r="O89" s="699" t="inlineStr">
        <is>
          <t>NR</t>
        </is>
      </c>
      <c r="P89" s="699" t="inlineStr">
        <is>
          <t>NR</t>
        </is>
      </c>
      <c r="Q89" s="216" t="inlineStr">
        <is>
          <t>NA</t>
        </is>
      </c>
      <c r="R89" s="216" t="inlineStr">
        <is>
          <t>NA</t>
        </is>
      </c>
      <c r="S89" s="216" t="inlineStr">
        <is>
          <t>NA</t>
        </is>
      </c>
      <c r="T89" s="216" t="inlineStr">
        <is>
          <t>NA</t>
        </is>
      </c>
      <c r="U89" s="216" t="inlineStr">
        <is>
          <t>NA</t>
        </is>
      </c>
      <c r="V89" s="35" t="inlineStr">
        <is>
          <t>2019-2020</t>
        </is>
      </c>
      <c r="W89" s="35" t="n"/>
      <c r="X89" s="35" t="n"/>
      <c r="Y89" s="35" t="n"/>
      <c r="Z89" s="35" t="n"/>
      <c r="AA89" s="35" t="n"/>
      <c r="AB89" s="35" t="n"/>
      <c r="AC89" s="35" t="n"/>
      <c r="AD89" s="35" t="n"/>
      <c r="AE89" s="35" t="n"/>
      <c r="AF89" s="35" t="n"/>
      <c r="AG89" s="35" t="n"/>
    </row>
    <row r="90">
      <c r="A90" s="212" t="n"/>
      <c r="B90" s="210" t="n">
        <v>13</v>
      </c>
      <c r="C90" s="211" t="n">
        <v>49</v>
      </c>
      <c r="D90" s="200" t="inlineStr">
        <is>
          <t>Takalmaoua 1 (not2)</t>
        </is>
      </c>
      <c r="E90" s="212" t="inlineStr">
        <is>
          <t>Djirataoua</t>
        </is>
      </c>
      <c r="F90" s="212" t="inlineStr">
        <is>
          <t>Intervention</t>
        </is>
      </c>
      <c r="G90" s="213" t="n">
        <v>2019</v>
      </c>
      <c r="H90" s="213" t="n">
        <v>2020</v>
      </c>
      <c r="I90" s="200" t="n">
        <v>0</v>
      </c>
      <c r="J90" s="104" t="n">
        <v>0</v>
      </c>
      <c r="K90" s="214" t="inlineStr">
        <is>
          <t>NA</t>
        </is>
      </c>
      <c r="L90" s="104" t="n">
        <v>0</v>
      </c>
      <c r="M90" s="106" t="inlineStr">
        <is>
          <t>NR</t>
        </is>
      </c>
      <c r="N90" s="699" t="inlineStr">
        <is>
          <t>NR</t>
        </is>
      </c>
      <c r="O90" s="699" t="inlineStr">
        <is>
          <t>NR</t>
        </is>
      </c>
      <c r="P90" s="699" t="inlineStr">
        <is>
          <t>NR</t>
        </is>
      </c>
      <c r="Q90" s="216" t="inlineStr">
        <is>
          <t>NA</t>
        </is>
      </c>
      <c r="R90" s="216" t="inlineStr">
        <is>
          <t>NA</t>
        </is>
      </c>
      <c r="S90" s="216" t="inlineStr">
        <is>
          <t>NA</t>
        </is>
      </c>
      <c r="T90" s="216" t="inlineStr">
        <is>
          <t>NA</t>
        </is>
      </c>
      <c r="U90" s="216" t="inlineStr">
        <is>
          <t>NA</t>
        </is>
      </c>
      <c r="V90" s="35" t="inlineStr">
        <is>
          <t>2019-2020</t>
        </is>
      </c>
      <c r="W90" s="35" t="n"/>
      <c r="X90" s="35" t="n"/>
      <c r="Y90" s="35" t="n"/>
      <c r="Z90" s="35" t="n"/>
      <c r="AA90" s="35" t="n"/>
      <c r="AB90" s="35" t="n"/>
      <c r="AC90" s="35" t="n"/>
      <c r="AD90" s="35" t="n"/>
      <c r="AE90" s="35" t="n"/>
      <c r="AF90" s="35" t="n"/>
      <c r="AG90" s="35" t="n"/>
    </row>
    <row r="91">
      <c r="A91" s="221" t="n"/>
      <c r="C91" s="219" t="n">
        <v>65</v>
      </c>
      <c r="D91" s="220" t="inlineStr">
        <is>
          <t>Tajae Djiratawa</t>
        </is>
      </c>
      <c r="E91" s="221" t="inlineStr">
        <is>
          <t>Djirataoua</t>
        </is>
      </c>
      <c r="F91" s="221" t="inlineStr">
        <is>
          <t>Control</t>
        </is>
      </c>
      <c r="G91" s="222" t="n">
        <v>2019</v>
      </c>
      <c r="H91" s="222" t="n">
        <v>2020</v>
      </c>
      <c r="I91" s="220" t="n">
        <v>0</v>
      </c>
      <c r="J91" s="104" t="n">
        <v>0</v>
      </c>
      <c r="K91" s="223" t="inlineStr">
        <is>
          <t>NA</t>
        </is>
      </c>
      <c r="L91" s="104" t="n">
        <v>0</v>
      </c>
      <c r="M91" s="12" t="n"/>
      <c r="N91" s="699" t="inlineStr">
        <is>
          <t>NR</t>
        </is>
      </c>
      <c r="O91" s="699" t="inlineStr">
        <is>
          <t>NR</t>
        </is>
      </c>
      <c r="P91" s="699" t="inlineStr">
        <is>
          <t>NR</t>
        </is>
      </c>
      <c r="Q91" s="216" t="inlineStr">
        <is>
          <t>NA</t>
        </is>
      </c>
      <c r="R91" s="216" t="inlineStr">
        <is>
          <t>NA</t>
        </is>
      </c>
      <c r="S91" s="216" t="inlineStr">
        <is>
          <t>NA</t>
        </is>
      </c>
      <c r="T91" s="216" t="inlineStr">
        <is>
          <t>NA</t>
        </is>
      </c>
      <c r="U91" s="216" t="inlineStr">
        <is>
          <t>NA</t>
        </is>
      </c>
      <c r="V91" s="35" t="inlineStr">
        <is>
          <t>2019-2020</t>
        </is>
      </c>
      <c r="W91" s="35" t="n"/>
      <c r="X91" s="35" t="n"/>
      <c r="Y91" s="35" t="n"/>
      <c r="Z91" s="35" t="n"/>
      <c r="AA91" s="35" t="n"/>
      <c r="AB91" s="35" t="n"/>
      <c r="AC91" s="35" t="n"/>
      <c r="AD91" s="35" t="n"/>
      <c r="AE91" s="35" t="n"/>
      <c r="AF91" s="35" t="n"/>
      <c r="AG91" s="35" t="n"/>
    </row>
    <row r="92">
      <c r="A92" s="212" t="n"/>
      <c r="B92" s="210" t="n">
        <v>14</v>
      </c>
      <c r="C92" s="211" t="n">
        <v>38</v>
      </c>
      <c r="D92" s="200" t="inlineStr">
        <is>
          <t>Danja 2</t>
        </is>
      </c>
      <c r="E92" s="212" t="inlineStr">
        <is>
          <t>Djirataoua</t>
        </is>
      </c>
      <c r="F92" s="212" t="inlineStr">
        <is>
          <t>Intervention</t>
        </is>
      </c>
      <c r="G92" s="213" t="n">
        <v>2019</v>
      </c>
      <c r="H92" s="213" t="n">
        <v>2020</v>
      </c>
      <c r="I92" s="200" t="n">
        <v>0</v>
      </c>
      <c r="J92" s="104" t="n">
        <v>0</v>
      </c>
      <c r="K92" s="214" t="inlineStr">
        <is>
          <t>NA</t>
        </is>
      </c>
      <c r="L92" s="104" t="n">
        <v>0</v>
      </c>
      <c r="M92" s="106" t="inlineStr">
        <is>
          <t>NR</t>
        </is>
      </c>
      <c r="N92" s="699" t="inlineStr">
        <is>
          <t>NR</t>
        </is>
      </c>
      <c r="O92" s="699" t="inlineStr">
        <is>
          <t>NR</t>
        </is>
      </c>
      <c r="P92" s="699" t="inlineStr">
        <is>
          <t>NR</t>
        </is>
      </c>
      <c r="Q92" s="216" t="inlineStr">
        <is>
          <t>NA</t>
        </is>
      </c>
      <c r="R92" s="216" t="inlineStr">
        <is>
          <t>NA</t>
        </is>
      </c>
      <c r="S92" s="216" t="inlineStr">
        <is>
          <t>NA</t>
        </is>
      </c>
      <c r="T92" s="216" t="inlineStr">
        <is>
          <t>NA</t>
        </is>
      </c>
      <c r="U92" s="216" t="inlineStr">
        <is>
          <t>NA</t>
        </is>
      </c>
      <c r="V92" s="35" t="inlineStr">
        <is>
          <t>2019-2020</t>
        </is>
      </c>
      <c r="W92" s="35" t="n"/>
      <c r="X92" s="35" t="n"/>
      <c r="Y92" s="35" t="n"/>
      <c r="Z92" s="35" t="n"/>
      <c r="AA92" s="35" t="n"/>
      <c r="AB92" s="35" t="n"/>
      <c r="AC92" s="35" t="n"/>
      <c r="AD92" s="35" t="n"/>
      <c r="AE92" s="35" t="n"/>
      <c r="AF92" s="35" t="n"/>
      <c r="AG92" s="35" t="n"/>
    </row>
    <row r="93">
      <c r="A93" s="221" t="n"/>
      <c r="C93" s="219" t="n">
        <v>66</v>
      </c>
      <c r="D93" s="220" t="inlineStr">
        <is>
          <t>Kontagora Soufoua</t>
        </is>
      </c>
      <c r="E93" s="221" t="inlineStr">
        <is>
          <t>Djirataoua</t>
        </is>
      </c>
      <c r="F93" s="221" t="inlineStr">
        <is>
          <t>Control</t>
        </is>
      </c>
      <c r="G93" s="222" t="n">
        <v>2019</v>
      </c>
      <c r="H93" s="222" t="n">
        <v>2020</v>
      </c>
      <c r="I93" s="220" t="n">
        <v>0</v>
      </c>
      <c r="J93" s="104" t="n">
        <v>0</v>
      </c>
      <c r="K93" s="223" t="inlineStr">
        <is>
          <t>NA</t>
        </is>
      </c>
      <c r="L93" s="104" t="n">
        <v>0</v>
      </c>
      <c r="M93" s="12" t="n"/>
      <c r="N93" s="699" t="inlineStr">
        <is>
          <t>NR</t>
        </is>
      </c>
      <c r="O93" s="699" t="inlineStr">
        <is>
          <t>NR</t>
        </is>
      </c>
      <c r="P93" s="699" t="inlineStr">
        <is>
          <t>NR</t>
        </is>
      </c>
      <c r="Q93" s="216" t="inlineStr">
        <is>
          <t>NA</t>
        </is>
      </c>
      <c r="R93" s="216" t="inlineStr">
        <is>
          <t>NA</t>
        </is>
      </c>
      <c r="S93" s="216" t="inlineStr">
        <is>
          <t>NA</t>
        </is>
      </c>
      <c r="T93" s="216" t="inlineStr">
        <is>
          <t>NA</t>
        </is>
      </c>
      <c r="U93" s="216" t="inlineStr">
        <is>
          <t>NA</t>
        </is>
      </c>
      <c r="V93" s="35" t="inlineStr">
        <is>
          <t>2019-2020</t>
        </is>
      </c>
      <c r="W93" s="35" t="n"/>
      <c r="X93" s="35" t="n"/>
      <c r="Y93" s="35" t="n"/>
      <c r="Z93" s="35" t="n"/>
      <c r="AA93" s="35" t="n"/>
      <c r="AB93" s="35" t="n"/>
      <c r="AC93" s="35" t="n"/>
      <c r="AD93" s="35" t="n"/>
      <c r="AE93" s="35" t="n"/>
      <c r="AF93" s="35" t="n"/>
      <c r="AG93" s="35" t="n"/>
    </row>
    <row r="94">
      <c r="A94" s="212" t="n"/>
      <c r="B94" s="210" t="n">
        <v>15</v>
      </c>
      <c r="C94" s="211" t="n">
        <v>40</v>
      </c>
      <c r="D94" s="200" t="inlineStr">
        <is>
          <t>El Kokia</t>
        </is>
      </c>
      <c r="E94" s="212" t="inlineStr">
        <is>
          <t>Djirataoua</t>
        </is>
      </c>
      <c r="F94" s="212" t="inlineStr">
        <is>
          <t>Intervention</t>
        </is>
      </c>
      <c r="G94" s="213" t="n">
        <v>2019</v>
      </c>
      <c r="H94" s="213" t="n">
        <v>2020</v>
      </c>
      <c r="I94" s="200" t="n">
        <v>0</v>
      </c>
      <c r="J94" s="104" t="n">
        <v>0</v>
      </c>
      <c r="K94" s="214" t="inlineStr">
        <is>
          <t>NA</t>
        </is>
      </c>
      <c r="L94" s="104" t="n">
        <v>0</v>
      </c>
      <c r="M94" s="106" t="inlineStr">
        <is>
          <t>NR</t>
        </is>
      </c>
      <c r="N94" s="699" t="inlineStr">
        <is>
          <t>NR</t>
        </is>
      </c>
      <c r="O94" s="699" t="inlineStr">
        <is>
          <t>NR</t>
        </is>
      </c>
      <c r="P94" s="699" t="inlineStr">
        <is>
          <t>NR</t>
        </is>
      </c>
      <c r="Q94" s="216" t="inlineStr">
        <is>
          <t>NA</t>
        </is>
      </c>
      <c r="R94" s="216" t="inlineStr">
        <is>
          <t>NA</t>
        </is>
      </c>
      <c r="S94" s="216" t="inlineStr">
        <is>
          <t>NA</t>
        </is>
      </c>
      <c r="T94" s="216" t="inlineStr">
        <is>
          <t>NA</t>
        </is>
      </c>
      <c r="U94" s="216" t="inlineStr">
        <is>
          <t>NA</t>
        </is>
      </c>
      <c r="V94" s="35" t="inlineStr">
        <is>
          <t>2019-2020</t>
        </is>
      </c>
      <c r="W94" s="35" t="n"/>
      <c r="X94" s="35" t="n"/>
      <c r="Y94" s="35" t="n"/>
      <c r="Z94" s="35" t="n"/>
      <c r="AA94" s="35" t="n"/>
      <c r="AB94" s="35" t="n"/>
      <c r="AC94" s="35" t="n"/>
      <c r="AD94" s="35" t="n"/>
      <c r="AE94" s="35" t="n"/>
      <c r="AF94" s="35" t="n"/>
      <c r="AG94" s="35" t="n"/>
    </row>
    <row r="95">
      <c r="A95" s="221" t="n"/>
      <c r="C95" s="219" t="n">
        <v>67</v>
      </c>
      <c r="D95" s="220" t="inlineStr">
        <is>
          <t>Dan Kari Trad</t>
        </is>
      </c>
      <c r="E95" s="221" t="inlineStr">
        <is>
          <t>Djirataoua</t>
        </is>
      </c>
      <c r="F95" s="221" t="inlineStr">
        <is>
          <t>Control</t>
        </is>
      </c>
      <c r="G95" s="222" t="n">
        <v>2019</v>
      </c>
      <c r="H95" s="222" t="n">
        <v>2020</v>
      </c>
      <c r="I95" s="220" t="n">
        <v>0</v>
      </c>
      <c r="J95" s="104" t="n">
        <v>0</v>
      </c>
      <c r="K95" s="223" t="inlineStr">
        <is>
          <t>NA</t>
        </is>
      </c>
      <c r="L95" s="104" t="n">
        <v>0</v>
      </c>
      <c r="M95" s="12" t="n"/>
      <c r="N95" s="699" t="inlineStr">
        <is>
          <t>NR</t>
        </is>
      </c>
      <c r="O95" s="699" t="inlineStr">
        <is>
          <t>NR</t>
        </is>
      </c>
      <c r="P95" s="699" t="inlineStr">
        <is>
          <t>NR</t>
        </is>
      </c>
      <c r="Q95" s="216" t="inlineStr">
        <is>
          <t>NA</t>
        </is>
      </c>
      <c r="R95" s="216" t="inlineStr">
        <is>
          <t>NA</t>
        </is>
      </c>
      <c r="S95" s="216" t="inlineStr">
        <is>
          <t>NA</t>
        </is>
      </c>
      <c r="T95" s="216" t="inlineStr">
        <is>
          <t>NA</t>
        </is>
      </c>
      <c r="U95" s="216" t="inlineStr">
        <is>
          <t>NA</t>
        </is>
      </c>
      <c r="V95" s="35" t="inlineStr">
        <is>
          <t>2019-2020</t>
        </is>
      </c>
      <c r="W95" s="35" t="n"/>
      <c r="X95" s="35" t="n"/>
      <c r="Y95" s="35" t="n"/>
      <c r="Z95" s="35" t="n"/>
      <c r="AA95" s="35" t="n"/>
      <c r="AB95" s="35" t="n"/>
      <c r="AC95" s="35" t="n"/>
      <c r="AD95" s="35" t="n"/>
      <c r="AE95" s="35" t="n"/>
      <c r="AF95" s="35" t="n"/>
      <c r="AG95" s="35" t="n"/>
    </row>
    <row r="96">
      <c r="A96" s="212" t="n"/>
      <c r="B96" s="210" t="n">
        <v>16</v>
      </c>
      <c r="C96" s="211" t="n">
        <v>68</v>
      </c>
      <c r="D96" s="200" t="inlineStr">
        <is>
          <t>Rigial Sarki</t>
        </is>
      </c>
      <c r="E96" s="212" t="inlineStr">
        <is>
          <t>Djirataoua</t>
        </is>
      </c>
      <c r="F96" s="212" t="inlineStr">
        <is>
          <t>Intervention</t>
        </is>
      </c>
      <c r="G96" s="213" t="n">
        <v>2019</v>
      </c>
      <c r="H96" s="213" t="n">
        <v>2020</v>
      </c>
      <c r="I96" s="200" t="n">
        <v>0</v>
      </c>
      <c r="J96" s="104" t="n">
        <v>0</v>
      </c>
      <c r="K96" s="214" t="inlineStr">
        <is>
          <t>NA</t>
        </is>
      </c>
      <c r="L96" s="104" t="n">
        <v>0</v>
      </c>
      <c r="M96" s="106" t="inlineStr">
        <is>
          <t>NR</t>
        </is>
      </c>
      <c r="N96" s="699" t="inlineStr">
        <is>
          <t>NR</t>
        </is>
      </c>
      <c r="O96" s="699" t="inlineStr">
        <is>
          <t>NR</t>
        </is>
      </c>
      <c r="P96" s="699" t="inlineStr">
        <is>
          <t>NR</t>
        </is>
      </c>
      <c r="Q96" s="216" t="inlineStr">
        <is>
          <t>NA</t>
        </is>
      </c>
      <c r="R96" s="216" t="inlineStr">
        <is>
          <t>NA</t>
        </is>
      </c>
      <c r="S96" s="216" t="inlineStr">
        <is>
          <t>NA</t>
        </is>
      </c>
      <c r="T96" s="216" t="inlineStr">
        <is>
          <t>NA</t>
        </is>
      </c>
      <c r="U96" s="216" t="inlineStr">
        <is>
          <t>NA</t>
        </is>
      </c>
      <c r="V96" s="35" t="inlineStr">
        <is>
          <t>2019-2020</t>
        </is>
      </c>
      <c r="W96" s="35" t="n"/>
      <c r="X96" s="35" t="n"/>
      <c r="Y96" s="35" t="n"/>
      <c r="Z96" s="35" t="n"/>
      <c r="AA96" s="35" t="n"/>
      <c r="AB96" s="35" t="n"/>
      <c r="AC96" s="35" t="n"/>
      <c r="AD96" s="35" t="n"/>
      <c r="AE96" s="35" t="n"/>
      <c r="AF96" s="35" t="n"/>
      <c r="AG96" s="35" t="n"/>
    </row>
    <row r="97">
      <c r="A97" s="221" t="n"/>
      <c r="C97" s="219" t="n">
        <v>69</v>
      </c>
      <c r="D97" s="220" t="inlineStr">
        <is>
          <t>Garin Dogo</t>
        </is>
      </c>
      <c r="E97" s="221" t="inlineStr">
        <is>
          <t>Djirataoua</t>
        </is>
      </c>
      <c r="F97" s="221" t="inlineStr">
        <is>
          <t>Control</t>
        </is>
      </c>
      <c r="G97" s="222" t="n">
        <v>2019</v>
      </c>
      <c r="H97" s="222" t="n">
        <v>2020</v>
      </c>
      <c r="I97" s="220" t="n">
        <v>0</v>
      </c>
      <c r="J97" s="104" t="n">
        <v>0</v>
      </c>
      <c r="K97" s="223" t="inlineStr">
        <is>
          <t>NA</t>
        </is>
      </c>
      <c r="L97" s="104" t="n">
        <v>0</v>
      </c>
      <c r="M97" s="12" t="n"/>
      <c r="N97" s="699" t="inlineStr">
        <is>
          <t>NR</t>
        </is>
      </c>
      <c r="O97" s="699" t="inlineStr">
        <is>
          <t>NR</t>
        </is>
      </c>
      <c r="P97" s="699" t="inlineStr">
        <is>
          <t>NR</t>
        </is>
      </c>
      <c r="Q97" s="216" t="inlineStr">
        <is>
          <t>NA</t>
        </is>
      </c>
      <c r="R97" s="216" t="inlineStr">
        <is>
          <t>NA</t>
        </is>
      </c>
      <c r="S97" s="216" t="inlineStr">
        <is>
          <t>NA</t>
        </is>
      </c>
      <c r="T97" s="216" t="inlineStr">
        <is>
          <t>NA</t>
        </is>
      </c>
      <c r="U97" s="216" t="inlineStr">
        <is>
          <t>NA</t>
        </is>
      </c>
      <c r="V97" s="35" t="inlineStr">
        <is>
          <t>2019-2020</t>
        </is>
      </c>
      <c r="W97" s="35" t="n"/>
      <c r="X97" s="35" t="n"/>
      <c r="Y97" s="35" t="n"/>
      <c r="Z97" s="35" t="n"/>
      <c r="AA97" s="35" t="n"/>
      <c r="AB97" s="35" t="n"/>
      <c r="AC97" s="35" t="n"/>
      <c r="AD97" s="35" t="n"/>
      <c r="AE97" s="35" t="n"/>
      <c r="AF97" s="35" t="n"/>
      <c r="AG97" s="35" t="n"/>
    </row>
    <row r="98">
      <c r="A98" s="212" t="n"/>
      <c r="B98" s="210" t="n">
        <v>17</v>
      </c>
      <c r="C98" s="211" t="n">
        <v>44</v>
      </c>
      <c r="D98" s="200" t="inlineStr">
        <is>
          <t>Sabon Gari Kolta</t>
        </is>
      </c>
      <c r="E98" s="212" t="inlineStr">
        <is>
          <t>Djirataoua</t>
        </is>
      </c>
      <c r="F98" s="212" t="inlineStr">
        <is>
          <t>Intervention</t>
        </is>
      </c>
      <c r="G98" s="213" t="n">
        <v>2019</v>
      </c>
      <c r="H98" s="213" t="n">
        <v>2020</v>
      </c>
      <c r="I98" s="200" t="n">
        <v>0</v>
      </c>
      <c r="J98" s="104" t="n">
        <v>0</v>
      </c>
      <c r="K98" s="214" t="inlineStr">
        <is>
          <t>NA</t>
        </is>
      </c>
      <c r="L98" s="104" t="n">
        <v>0</v>
      </c>
      <c r="M98" s="106" t="inlineStr">
        <is>
          <t>NR</t>
        </is>
      </c>
      <c r="N98" s="699" t="inlineStr">
        <is>
          <t>NR</t>
        </is>
      </c>
      <c r="O98" s="699" t="inlineStr">
        <is>
          <t>NR</t>
        </is>
      </c>
      <c r="P98" s="699" t="inlineStr">
        <is>
          <t>NR</t>
        </is>
      </c>
      <c r="Q98" s="216" t="inlineStr">
        <is>
          <t>NA</t>
        </is>
      </c>
      <c r="R98" s="216" t="inlineStr">
        <is>
          <t>NA</t>
        </is>
      </c>
      <c r="S98" s="216" t="inlineStr">
        <is>
          <t>NA</t>
        </is>
      </c>
      <c r="T98" s="216" t="inlineStr">
        <is>
          <t>NA</t>
        </is>
      </c>
      <c r="U98" s="216" t="inlineStr">
        <is>
          <t>NA</t>
        </is>
      </c>
      <c r="V98" s="35" t="inlineStr">
        <is>
          <t>2019-2020</t>
        </is>
      </c>
      <c r="W98" s="35" t="n"/>
      <c r="X98" s="35" t="n"/>
      <c r="Y98" s="35" t="n"/>
      <c r="Z98" s="35" t="n"/>
      <c r="AA98" s="35" t="n"/>
      <c r="AB98" s="35" t="n"/>
      <c r="AC98" s="35" t="n"/>
      <c r="AD98" s="35" t="n"/>
      <c r="AE98" s="35" t="n"/>
      <c r="AF98" s="35" t="n"/>
      <c r="AG98" s="35" t="n"/>
    </row>
    <row r="99">
      <c r="A99" s="221" t="n"/>
      <c r="C99" s="219" t="n">
        <v>70</v>
      </c>
      <c r="D99" s="220" t="inlineStr">
        <is>
          <t>Djiratawa Bilingue</t>
        </is>
      </c>
      <c r="E99" s="221" t="inlineStr">
        <is>
          <t>Djirataoua</t>
        </is>
      </c>
      <c r="F99" s="221" t="inlineStr">
        <is>
          <t>Control</t>
        </is>
      </c>
      <c r="G99" s="222" t="n">
        <v>2019</v>
      </c>
      <c r="H99" s="222" t="n">
        <v>2020</v>
      </c>
      <c r="I99" s="220" t="n">
        <v>0</v>
      </c>
      <c r="J99" s="104" t="n">
        <v>0</v>
      </c>
      <c r="K99" s="223" t="inlineStr">
        <is>
          <t>NA</t>
        </is>
      </c>
      <c r="L99" s="104" t="n">
        <v>0</v>
      </c>
      <c r="M99" s="12" t="n"/>
      <c r="N99" s="699" t="inlineStr">
        <is>
          <t>NR</t>
        </is>
      </c>
      <c r="O99" s="699" t="inlineStr">
        <is>
          <t>NR</t>
        </is>
      </c>
      <c r="P99" s="699" t="inlineStr">
        <is>
          <t>NR</t>
        </is>
      </c>
      <c r="Q99" s="216" t="inlineStr">
        <is>
          <t>NA</t>
        </is>
      </c>
      <c r="R99" s="216" t="inlineStr">
        <is>
          <t>NA</t>
        </is>
      </c>
      <c r="S99" s="216" t="inlineStr">
        <is>
          <t>NA</t>
        </is>
      </c>
      <c r="T99" s="216" t="inlineStr">
        <is>
          <t>NA</t>
        </is>
      </c>
      <c r="U99" s="216" t="inlineStr">
        <is>
          <t>NA</t>
        </is>
      </c>
      <c r="V99" s="35" t="inlineStr">
        <is>
          <t>2019-2020</t>
        </is>
      </c>
      <c r="W99" s="35" t="n"/>
      <c r="X99" s="35" t="n"/>
      <c r="Y99" s="35" t="n"/>
      <c r="Z99" s="35" t="n"/>
      <c r="AA99" s="35" t="n"/>
      <c r="AB99" s="35" t="n"/>
      <c r="AC99" s="35" t="n"/>
      <c r="AD99" s="35" t="n"/>
      <c r="AE99" s="35" t="n"/>
      <c r="AF99" s="35" t="n"/>
      <c r="AG99" s="35" t="n"/>
    </row>
    <row r="100">
      <c r="A100" s="212" t="n"/>
      <c r="B100" s="210" t="n"/>
      <c r="C100" s="211" t="n"/>
      <c r="D100" s="200" t="n"/>
      <c r="E100" s="212" t="n"/>
      <c r="F100" s="212" t="n"/>
      <c r="G100" s="213" t="n"/>
      <c r="H100" s="213" t="n"/>
      <c r="I100" s="200" t="n"/>
      <c r="J100" s="224" t="n"/>
      <c r="K100" s="212" t="n"/>
      <c r="L100" s="211" t="n"/>
      <c r="M100" s="12" t="n"/>
      <c r="N100" s="37" t="n"/>
      <c r="O100" s="37" t="n"/>
      <c r="P100" s="36" t="n"/>
      <c r="Q100" s="14" t="n"/>
      <c r="R100" s="14" t="n"/>
      <c r="S100" s="14" t="n"/>
      <c r="T100" s="14" t="n"/>
      <c r="U100" s="35" t="n"/>
      <c r="V100" s="35" t="n"/>
      <c r="W100" s="35" t="n"/>
      <c r="X100" s="35" t="n"/>
      <c r="Y100" s="35" t="n"/>
      <c r="Z100" s="35" t="n"/>
      <c r="AA100" s="35" t="n"/>
      <c r="AB100" s="35" t="n"/>
      <c r="AC100" s="35" t="n"/>
      <c r="AD100" s="35" t="n"/>
      <c r="AE100" s="35" t="n"/>
      <c r="AF100" s="35" t="n"/>
      <c r="AG100" s="35" t="n"/>
    </row>
    <row r="101">
      <c r="A101" s="249" t="n"/>
      <c r="B101" s="707" t="n">
        <v>1</v>
      </c>
      <c r="C101" s="227" t="n">
        <v>1</v>
      </c>
      <c r="D101" s="228" t="inlineStr">
        <is>
          <t>Katare Guidan Ousmane 1</t>
        </is>
      </c>
      <c r="E101" s="229" t="inlineStr">
        <is>
          <t>Tibiri</t>
        </is>
      </c>
      <c r="F101" s="229" t="inlineStr">
        <is>
          <t>Intervention</t>
        </is>
      </c>
      <c r="G101" s="305" t="n">
        <v>2020</v>
      </c>
      <c r="H101" s="305" t="n">
        <v>2021</v>
      </c>
      <c r="I101" s="231" t="n">
        <v>3</v>
      </c>
      <c r="J101" s="308" t="n">
        <v>2</v>
      </c>
      <c r="K101" s="229" t="n">
        <v>35</v>
      </c>
      <c r="L101" s="232" t="n">
        <v>1</v>
      </c>
      <c r="M101" s="537" t="n"/>
      <c r="N101" s="89" t="n">
        <v>0</v>
      </c>
      <c r="O101" s="89" t="n">
        <v>0.6</v>
      </c>
      <c r="P101" s="708" t="inlineStr">
        <is>
          <t>NR</t>
        </is>
      </c>
      <c r="Q101" s="159" t="n">
        <v>8.4</v>
      </c>
      <c r="R101" s="159" t="n">
        <v>10.69</v>
      </c>
      <c r="S101" s="159" t="n">
        <v>7.75</v>
      </c>
      <c r="T101" s="159" t="n">
        <v>9.49</v>
      </c>
      <c r="U101" s="91" t="inlineStr">
        <is>
          <t>N/A</t>
        </is>
      </c>
      <c r="V101" s="91" t="n"/>
      <c r="W101" s="91" t="n"/>
      <c r="X101" s="91" t="n"/>
      <c r="Y101" s="91" t="n"/>
      <c r="Z101" s="91" t="n"/>
      <c r="AA101" s="91" t="n"/>
      <c r="AB101" s="91" t="n"/>
      <c r="AC101" s="91" t="n"/>
      <c r="AD101" s="91" t="n"/>
      <c r="AE101" s="91" t="n"/>
      <c r="AF101" s="91" t="n"/>
      <c r="AG101" s="160" t="n"/>
    </row>
    <row r="102">
      <c r="A102" s="272" t="n"/>
      <c r="B102" s="698" t="n"/>
      <c r="C102" s="236" t="n">
        <v>2</v>
      </c>
      <c r="D102" s="237" t="inlineStr">
        <is>
          <t xml:space="preserve">Soura 3 </t>
        </is>
      </c>
      <c r="E102" s="238" t="inlineStr">
        <is>
          <t>Tibiri</t>
        </is>
      </c>
      <c r="F102" s="238" t="inlineStr">
        <is>
          <t>Control</t>
        </is>
      </c>
      <c r="G102" s="239" t="n">
        <v>2020</v>
      </c>
      <c r="H102" s="320" t="n">
        <v>2021</v>
      </c>
      <c r="I102" s="237" t="n">
        <v>0</v>
      </c>
      <c r="J102" s="57" t="n">
        <v>0</v>
      </c>
      <c r="K102" s="241" t="n">
        <v>21</v>
      </c>
      <c r="L102" s="405" t="n">
        <v>0</v>
      </c>
      <c r="M102" s="59" t="n"/>
      <c r="N102" s="701" t="inlineStr">
        <is>
          <t>NR</t>
        </is>
      </c>
      <c r="O102" s="80" t="n">
        <v>0.67</v>
      </c>
      <c r="P102" s="708" t="inlineStr">
        <is>
          <t>NR</t>
        </is>
      </c>
      <c r="Q102" s="242" t="n">
        <v>11</v>
      </c>
      <c r="R102" s="242" t="n">
        <v>9.199999999999999</v>
      </c>
      <c r="S102" s="242" t="n">
        <v>11</v>
      </c>
      <c r="T102" s="242" t="n">
        <v>9.800000000000001</v>
      </c>
      <c r="U102" s="91" t="inlineStr">
        <is>
          <t>N/A</t>
        </is>
      </c>
      <c r="V102" s="62" t="n"/>
      <c r="W102" s="62" t="n"/>
      <c r="X102" s="62" t="n"/>
      <c r="Y102" s="62" t="n"/>
      <c r="Z102" s="62" t="n"/>
      <c r="AA102" s="62" t="n"/>
      <c r="AB102" s="62" t="n"/>
      <c r="AC102" s="62" t="n"/>
      <c r="AD102" s="62" t="n"/>
      <c r="AE102" s="62" t="n"/>
      <c r="AF102" s="62" t="n"/>
      <c r="AG102" s="162" t="n"/>
    </row>
    <row r="103">
      <c r="A103" s="249" t="n"/>
      <c r="B103" s="707" t="n">
        <v>2</v>
      </c>
      <c r="C103" s="227" t="n">
        <v>3</v>
      </c>
      <c r="D103" s="231" t="inlineStr">
        <is>
          <t>Katare Guidan Ousmane 2</t>
        </is>
      </c>
      <c r="E103" s="229" t="inlineStr">
        <is>
          <t>Tibiri</t>
        </is>
      </c>
      <c r="F103" s="229" t="inlineStr">
        <is>
          <t>Intervention</t>
        </is>
      </c>
      <c r="G103" s="305" t="n">
        <v>2020</v>
      </c>
      <c r="H103" s="305" t="n">
        <v>2021</v>
      </c>
      <c r="I103" s="231" t="n">
        <v>3</v>
      </c>
      <c r="J103" s="308" t="n">
        <v>1</v>
      </c>
      <c r="K103" s="229" t="n">
        <v>16</v>
      </c>
      <c r="L103" s="232" t="n">
        <v>1</v>
      </c>
      <c r="M103" s="537" t="n"/>
      <c r="N103" s="89" t="n">
        <v>0</v>
      </c>
      <c r="O103" s="89" t="n">
        <v>0.44</v>
      </c>
      <c r="P103" s="708" t="inlineStr">
        <is>
          <t>NR</t>
        </is>
      </c>
      <c r="Q103" s="411" t="n">
        <v>8.76</v>
      </c>
      <c r="R103" s="411" t="n">
        <v>12.16</v>
      </c>
      <c r="S103" s="411" t="n">
        <v>8.16</v>
      </c>
      <c r="T103" s="411" t="n">
        <v>10.21</v>
      </c>
      <c r="U103" s="91" t="inlineStr">
        <is>
          <t>N/A</t>
        </is>
      </c>
      <c r="V103" s="72" t="n"/>
      <c r="W103" s="72" t="n"/>
      <c r="X103" s="72" t="n"/>
      <c r="Y103" s="72" t="n"/>
      <c r="Z103" s="72" t="n"/>
      <c r="AA103" s="72" t="n"/>
      <c r="AB103" s="72" t="n"/>
      <c r="AC103" s="72" t="n"/>
      <c r="AD103" s="72" t="n"/>
      <c r="AE103" s="72" t="n"/>
      <c r="AF103" s="72" t="n"/>
      <c r="AG103" s="163" t="n"/>
    </row>
    <row r="104">
      <c r="A104" s="272" t="n"/>
      <c r="B104" s="698" t="n"/>
      <c r="C104" s="236" t="n">
        <v>4</v>
      </c>
      <c r="D104" s="237" t="inlineStr">
        <is>
          <t>Kara Kara 3</t>
        </is>
      </c>
      <c r="E104" s="238" t="inlineStr">
        <is>
          <t>Tibiri</t>
        </is>
      </c>
      <c r="F104" s="238" t="inlineStr">
        <is>
          <t>Control</t>
        </is>
      </c>
      <c r="G104" s="239" t="n">
        <v>2020</v>
      </c>
      <c r="H104" s="320" t="n">
        <v>2021</v>
      </c>
      <c r="I104" s="237" t="n">
        <v>0</v>
      </c>
      <c r="J104" s="57" t="n">
        <v>0</v>
      </c>
      <c r="K104" s="241" t="n">
        <v>28</v>
      </c>
      <c r="L104" s="405" t="n">
        <v>0</v>
      </c>
      <c r="M104" s="59" t="n"/>
      <c r="N104" s="80" t="n">
        <v>0</v>
      </c>
      <c r="O104" s="80" t="n">
        <v>0.54</v>
      </c>
      <c r="P104" s="708" t="inlineStr">
        <is>
          <t>NR</t>
        </is>
      </c>
      <c r="Q104" s="243" t="n">
        <v>9.6</v>
      </c>
      <c r="R104" s="243" t="n">
        <v>11.3</v>
      </c>
      <c r="S104" s="243" t="n">
        <v>9.199999999999999</v>
      </c>
      <c r="T104" s="243" t="n">
        <v>9.4</v>
      </c>
      <c r="U104" s="91" t="inlineStr">
        <is>
          <t>N/A</t>
        </is>
      </c>
      <c r="V104" s="81" t="n"/>
      <c r="W104" s="81" t="n"/>
      <c r="X104" s="81" t="n"/>
      <c r="Y104" s="81" t="n"/>
      <c r="Z104" s="81" t="n"/>
      <c r="AA104" s="81" t="n"/>
      <c r="AB104" s="81" t="n"/>
      <c r="AC104" s="81" t="n"/>
      <c r="AD104" s="81" t="n"/>
      <c r="AE104" s="81" t="n"/>
      <c r="AF104" s="81" t="n"/>
      <c r="AG104" s="244" t="n"/>
    </row>
    <row r="105">
      <c r="A105" s="249" t="n"/>
      <c r="B105" s="707" t="n">
        <v>3</v>
      </c>
      <c r="C105" s="245" t="n">
        <v>5</v>
      </c>
      <c r="D105" s="305" t="inlineStr">
        <is>
          <t>Tibiri Nord 3</t>
        </is>
      </c>
      <c r="E105" s="229" t="inlineStr">
        <is>
          <t>Tibiri</t>
        </is>
      </c>
      <c r="F105" s="229" t="inlineStr">
        <is>
          <t>Intervention</t>
        </is>
      </c>
      <c r="G105" s="305" t="n">
        <v>2020</v>
      </c>
      <c r="H105" s="305" t="n">
        <v>2021</v>
      </c>
      <c r="I105" s="231" t="n">
        <v>3</v>
      </c>
      <c r="J105" s="229" t="n">
        <v>2</v>
      </c>
      <c r="K105" s="229" t="n">
        <v>26</v>
      </c>
      <c r="L105" s="232" t="n">
        <v>1</v>
      </c>
      <c r="M105" s="537" t="n"/>
      <c r="N105" s="89" t="n">
        <v>0</v>
      </c>
      <c r="O105" s="89" t="n">
        <v>0.92</v>
      </c>
      <c r="P105" s="708" t="inlineStr">
        <is>
          <t>NR</t>
        </is>
      </c>
      <c r="Q105" s="246" t="n">
        <v>11.1</v>
      </c>
      <c r="R105" s="246" t="n">
        <v>15.7</v>
      </c>
      <c r="S105" s="246" t="n">
        <v>9.5</v>
      </c>
      <c r="T105" s="246" t="n">
        <v>12.6</v>
      </c>
      <c r="U105" s="91" t="inlineStr">
        <is>
          <t>N/A</t>
        </is>
      </c>
      <c r="V105" s="91" t="n"/>
      <c r="W105" s="91" t="n"/>
      <c r="X105" s="91" t="n"/>
      <c r="Y105" s="91" t="n"/>
      <c r="Z105" s="91" t="n"/>
      <c r="AA105" s="91" t="n"/>
      <c r="AB105" s="91" t="n"/>
      <c r="AC105" s="91" t="n"/>
      <c r="AD105" s="91" t="n"/>
      <c r="AE105" s="91" t="n"/>
      <c r="AF105" s="91" t="n"/>
      <c r="AG105" s="160" t="n"/>
    </row>
    <row r="106">
      <c r="A106" s="272" t="n"/>
      <c r="B106" s="698" t="n"/>
      <c r="C106" s="247" t="n">
        <v>6</v>
      </c>
      <c r="D106" s="320" t="inlineStr">
        <is>
          <t>Garin Daoure 1</t>
        </is>
      </c>
      <c r="E106" s="238" t="inlineStr">
        <is>
          <t>Tibiri</t>
        </is>
      </c>
      <c r="F106" s="238" t="inlineStr">
        <is>
          <t>Control</t>
        </is>
      </c>
      <c r="G106" s="239" t="n">
        <v>2020</v>
      </c>
      <c r="H106" s="320" t="n">
        <v>2021</v>
      </c>
      <c r="I106" s="237" t="n">
        <v>0</v>
      </c>
      <c r="J106" s="57" t="n">
        <v>0</v>
      </c>
      <c r="K106" s="241" t="n">
        <v>14</v>
      </c>
      <c r="L106" s="405" t="n">
        <v>0</v>
      </c>
      <c r="M106" s="59" t="n"/>
      <c r="N106" s="80" t="n">
        <v>0</v>
      </c>
      <c r="O106" s="80" t="n">
        <v>0.79</v>
      </c>
      <c r="P106" s="708" t="inlineStr">
        <is>
          <t>NR</t>
        </is>
      </c>
      <c r="Q106" s="248" t="n">
        <v>13.8</v>
      </c>
      <c r="R106" s="248" t="n">
        <v>8.300000000000001</v>
      </c>
      <c r="S106" s="248" t="n">
        <v>14.6</v>
      </c>
      <c r="T106" s="248" t="n">
        <v>8.800000000000001</v>
      </c>
      <c r="U106" s="91" t="inlineStr">
        <is>
          <t>N/A</t>
        </is>
      </c>
      <c r="V106" s="62" t="n"/>
      <c r="W106" s="62" t="n"/>
      <c r="X106" s="62" t="n"/>
      <c r="Y106" s="62" t="n"/>
      <c r="Z106" s="62" t="n"/>
      <c r="AA106" s="62" t="n"/>
      <c r="AB106" s="62" t="n"/>
      <c r="AC106" s="62" t="n"/>
      <c r="AD106" s="62" t="n"/>
      <c r="AE106" s="62" t="n"/>
      <c r="AF106" s="62" t="n"/>
      <c r="AG106" s="162" t="n"/>
    </row>
    <row r="107">
      <c r="A107" s="249" t="inlineStr">
        <is>
          <t>Soura Aboubacar 3</t>
        </is>
      </c>
      <c r="B107" s="707" t="n">
        <v>4</v>
      </c>
      <c r="C107" s="250" t="n">
        <v>8</v>
      </c>
      <c r="D107" s="251" t="inlineStr">
        <is>
          <t>Tibiri Dan Fillo 3</t>
        </is>
      </c>
      <c r="E107" s="229" t="inlineStr">
        <is>
          <t>Tibiri</t>
        </is>
      </c>
      <c r="F107" s="229" t="inlineStr">
        <is>
          <t>Intervention</t>
        </is>
      </c>
      <c r="G107" s="252" t="n">
        <v>2020</v>
      </c>
      <c r="H107" s="252" t="n">
        <v>2021</v>
      </c>
      <c r="I107" s="231" t="n">
        <v>2</v>
      </c>
      <c r="J107" s="252" t="n">
        <v>3</v>
      </c>
      <c r="K107" s="229" t="n">
        <v>47</v>
      </c>
      <c r="L107" s="232" t="n">
        <v>1</v>
      </c>
      <c r="M107" s="537" t="n"/>
      <c r="N107" s="89" t="n">
        <v>0</v>
      </c>
      <c r="O107" s="89" t="n">
        <v>0.72</v>
      </c>
      <c r="P107" s="708" t="inlineStr">
        <is>
          <t>NR</t>
        </is>
      </c>
      <c r="Q107" s="159" t="n">
        <v>12.29</v>
      </c>
      <c r="R107" s="159" t="n">
        <v>14.52</v>
      </c>
      <c r="S107" s="159" t="n">
        <v>10</v>
      </c>
      <c r="T107" s="159" t="n">
        <v>13.43</v>
      </c>
      <c r="U107" s="91" t="inlineStr">
        <is>
          <t>N/A</t>
        </is>
      </c>
      <c r="V107" s="91" t="n"/>
      <c r="W107" s="91" t="n"/>
      <c r="X107" s="91" t="n"/>
      <c r="Y107" s="91" t="n"/>
      <c r="Z107" s="91" t="n"/>
      <c r="AA107" s="91" t="n"/>
      <c r="AB107" s="91" t="n"/>
      <c r="AC107" s="91" t="n"/>
      <c r="AD107" s="91" t="n"/>
      <c r="AE107" s="91" t="n"/>
      <c r="AF107" s="91" t="n"/>
      <c r="AG107" s="160" t="n"/>
    </row>
    <row r="108">
      <c r="A108" s="272" t="n"/>
      <c r="B108" s="698" t="n"/>
      <c r="C108" s="247" t="n">
        <v>10</v>
      </c>
      <c r="D108" s="257" t="inlineStr">
        <is>
          <t>Imbelbelou 3</t>
        </is>
      </c>
      <c r="E108" s="238" t="inlineStr">
        <is>
          <t>Tibiri</t>
        </is>
      </c>
      <c r="F108" s="238" t="inlineStr">
        <is>
          <t>Control</t>
        </is>
      </c>
      <c r="G108" s="239" t="n">
        <v>2020</v>
      </c>
      <c r="H108" s="57" t="n">
        <v>2021</v>
      </c>
      <c r="I108" s="237" t="n">
        <v>0</v>
      </c>
      <c r="J108" s="57" t="n">
        <v>0</v>
      </c>
      <c r="K108" s="241" t="n">
        <v>46</v>
      </c>
      <c r="L108" s="405" t="n">
        <v>0</v>
      </c>
      <c r="M108" s="59" t="n"/>
      <c r="N108" s="80" t="n">
        <v>0</v>
      </c>
      <c r="O108" s="80" t="n">
        <v>0.78</v>
      </c>
      <c r="P108" s="708" t="inlineStr">
        <is>
          <t>NR</t>
        </is>
      </c>
      <c r="Q108" s="242" t="n">
        <v>12.8</v>
      </c>
      <c r="R108" s="242" t="n">
        <v>13.1</v>
      </c>
      <c r="S108" s="242" t="n">
        <v>13.3</v>
      </c>
      <c r="T108" s="242" t="n">
        <v>15.1</v>
      </c>
      <c r="U108" s="91" t="inlineStr">
        <is>
          <t>N/A</t>
        </is>
      </c>
      <c r="V108" s="62" t="n"/>
      <c r="W108" s="62" t="n"/>
      <c r="X108" s="62" t="n"/>
      <c r="Y108" s="62" t="n"/>
      <c r="Z108" s="62" t="n"/>
      <c r="AA108" s="62" t="n"/>
      <c r="AB108" s="62" t="n"/>
      <c r="AC108" s="62" t="n"/>
      <c r="AD108" s="62" t="n"/>
      <c r="AE108" s="62" t="n"/>
      <c r="AF108" s="62" t="n"/>
      <c r="AG108" s="162" t="n"/>
    </row>
    <row r="109">
      <c r="A109" s="249" t="n"/>
      <c r="B109" s="707" t="n">
        <v>5</v>
      </c>
      <c r="C109" s="245" t="n">
        <v>11</v>
      </c>
      <c r="D109" s="256" t="inlineStr">
        <is>
          <t>Soura Aboubacar 4</t>
        </is>
      </c>
      <c r="E109" s="229" t="inlineStr">
        <is>
          <t>Tibiri</t>
        </is>
      </c>
      <c r="F109" s="229" t="inlineStr">
        <is>
          <t>Intervention</t>
        </is>
      </c>
      <c r="G109" s="305" t="n">
        <v>2020</v>
      </c>
      <c r="H109" s="305" t="n">
        <v>2021</v>
      </c>
      <c r="I109" s="231" t="n">
        <v>3</v>
      </c>
      <c r="J109" s="308" t="n">
        <v>5</v>
      </c>
      <c r="K109" s="229" t="n">
        <v>64</v>
      </c>
      <c r="L109" s="232" t="n">
        <v>1</v>
      </c>
      <c r="M109" s="537" t="n"/>
      <c r="N109" s="89" t="n">
        <v>0</v>
      </c>
      <c r="O109" s="89" t="n">
        <v>0.61</v>
      </c>
      <c r="P109" s="708" t="inlineStr">
        <is>
          <t>NR</t>
        </is>
      </c>
      <c r="Q109" s="255" t="n">
        <v>8.699999999999999</v>
      </c>
      <c r="R109" s="255" t="n">
        <v>12.9</v>
      </c>
      <c r="S109" s="255" t="n">
        <v>9.199999999999999</v>
      </c>
      <c r="T109" s="255" t="n">
        <v>13.9</v>
      </c>
      <c r="U109" s="91" t="inlineStr">
        <is>
          <t>N/A</t>
        </is>
      </c>
      <c r="V109" s="72" t="n"/>
      <c r="W109" s="72" t="n"/>
      <c r="X109" s="72" t="n"/>
      <c r="Y109" s="72" t="n"/>
      <c r="Z109" s="72" t="n"/>
      <c r="AA109" s="72" t="n"/>
      <c r="AB109" s="72" t="n"/>
      <c r="AC109" s="72" t="n"/>
      <c r="AD109" s="72" t="n"/>
      <c r="AE109" s="72" t="n"/>
      <c r="AF109" s="72" t="n"/>
      <c r="AG109" s="163" t="n"/>
    </row>
    <row r="110">
      <c r="A110" s="272" t="n"/>
      <c r="B110" s="698" t="n"/>
      <c r="C110" s="247" t="n">
        <v>12</v>
      </c>
      <c r="D110" s="257" t="inlineStr">
        <is>
          <t>Soura 2</t>
        </is>
      </c>
      <c r="E110" s="238" t="inlineStr">
        <is>
          <t>Tibiri</t>
        </is>
      </c>
      <c r="F110" s="238" t="inlineStr">
        <is>
          <t>Control</t>
        </is>
      </c>
      <c r="G110" s="239" t="n">
        <v>2020</v>
      </c>
      <c r="H110" s="320" t="n">
        <v>2021</v>
      </c>
      <c r="I110" s="237" t="n">
        <v>0</v>
      </c>
      <c r="J110" s="57" t="n">
        <v>0</v>
      </c>
      <c r="K110" s="241" t="n">
        <v>21</v>
      </c>
      <c r="L110" s="405" t="n">
        <v>0</v>
      </c>
      <c r="M110" s="59" t="n"/>
      <c r="N110" s="701" t="inlineStr">
        <is>
          <t>NR</t>
        </is>
      </c>
      <c r="O110" s="80" t="n">
        <v>0.57</v>
      </c>
      <c r="P110" s="708" t="inlineStr">
        <is>
          <t>NR</t>
        </is>
      </c>
      <c r="Q110" s="243" t="n">
        <v>10.2</v>
      </c>
      <c r="R110" s="243" t="n">
        <v>11.2</v>
      </c>
      <c r="S110" s="243" t="n">
        <v>13.2</v>
      </c>
      <c r="T110" s="243" t="n">
        <v>11.2</v>
      </c>
      <c r="U110" s="91" t="inlineStr">
        <is>
          <t>N/A</t>
        </is>
      </c>
      <c r="V110" s="81" t="n"/>
      <c r="W110" s="81" t="n"/>
      <c r="X110" s="81" t="n"/>
      <c r="Y110" s="81" t="n"/>
      <c r="Z110" s="81" t="n"/>
      <c r="AA110" s="81" t="n"/>
      <c r="AB110" s="81" t="n"/>
      <c r="AC110" s="81" t="n"/>
      <c r="AD110" s="81" t="n"/>
      <c r="AE110" s="81" t="n"/>
      <c r="AF110" s="81" t="n"/>
      <c r="AG110" s="244" t="n"/>
    </row>
    <row r="111">
      <c r="A111" s="249" t="n"/>
      <c r="B111" s="707" t="n">
        <v>6</v>
      </c>
      <c r="C111" s="245" t="n">
        <v>13</v>
      </c>
      <c r="D111" s="256" t="inlineStr">
        <is>
          <t>Garin Yari Idi</t>
        </is>
      </c>
      <c r="E111" s="229" t="inlineStr">
        <is>
          <t>Tibiri</t>
        </is>
      </c>
      <c r="F111" s="229" t="inlineStr">
        <is>
          <t>Intervention</t>
        </is>
      </c>
      <c r="G111" s="305" t="n">
        <v>2020</v>
      </c>
      <c r="H111" s="305" t="n">
        <v>2021</v>
      </c>
      <c r="I111" s="231" t="n">
        <v>3</v>
      </c>
      <c r="J111" s="229" t="n">
        <v>2</v>
      </c>
      <c r="K111" s="229" t="n">
        <v>27</v>
      </c>
      <c r="L111" s="232" t="n">
        <v>1</v>
      </c>
      <c r="M111" s="537" t="n"/>
      <c r="N111" s="89" t="n">
        <v>0</v>
      </c>
      <c r="O111" s="89" t="n">
        <v>0.59</v>
      </c>
      <c r="P111" s="708" t="inlineStr">
        <is>
          <t>NR</t>
        </is>
      </c>
      <c r="Q111" s="246" t="n">
        <v>12.4</v>
      </c>
      <c r="R111" s="246" t="n">
        <v>12.4</v>
      </c>
      <c r="S111" s="246" t="n">
        <v>11.6</v>
      </c>
      <c r="T111" s="246" t="n">
        <v>12.8</v>
      </c>
      <c r="U111" s="91" t="inlineStr">
        <is>
          <t>N/A</t>
        </is>
      </c>
      <c r="V111" s="91" t="n"/>
      <c r="W111" s="91" t="n"/>
      <c r="X111" s="91" t="n"/>
      <c r="Y111" s="91" t="n"/>
      <c r="Z111" s="91" t="n"/>
      <c r="AA111" s="91" t="n"/>
      <c r="AB111" s="91" t="n"/>
      <c r="AC111" s="91" t="n"/>
      <c r="AD111" s="91" t="n"/>
      <c r="AE111" s="91" t="n"/>
      <c r="AF111" s="91" t="n"/>
      <c r="AG111" s="160" t="n"/>
    </row>
    <row r="112">
      <c r="A112" s="272" t="n"/>
      <c r="B112" s="698" t="n"/>
      <c r="C112" s="247" t="n">
        <v>31</v>
      </c>
      <c r="D112" s="257" t="inlineStr">
        <is>
          <t>Soura Sarkin Galma 1</t>
        </is>
      </c>
      <c r="E112" s="238" t="inlineStr">
        <is>
          <t>Tibiri</t>
        </is>
      </c>
      <c r="F112" s="238" t="inlineStr">
        <is>
          <t>Control</t>
        </is>
      </c>
      <c r="G112" s="239" t="n">
        <v>2020</v>
      </c>
      <c r="H112" s="320" t="n">
        <v>2021</v>
      </c>
      <c r="I112" s="237" t="n">
        <v>0</v>
      </c>
      <c r="J112" s="57" t="n">
        <v>0</v>
      </c>
      <c r="K112" s="241" t="n">
        <v>25</v>
      </c>
      <c r="L112" s="405" t="n">
        <v>0</v>
      </c>
      <c r="M112" s="59" t="n"/>
      <c r="N112" s="80" t="n">
        <v>0</v>
      </c>
      <c r="O112" s="80" t="n">
        <v>0.76</v>
      </c>
      <c r="P112" s="708" t="inlineStr">
        <is>
          <t>NR</t>
        </is>
      </c>
      <c r="Q112" s="242" t="n">
        <v>9.800000000000001</v>
      </c>
      <c r="R112" s="242" t="n">
        <v>11.3</v>
      </c>
      <c r="S112" s="242" t="n">
        <v>12.8</v>
      </c>
      <c r="T112" s="242" t="n">
        <v>12.3</v>
      </c>
      <c r="U112" s="91" t="inlineStr">
        <is>
          <t>N/A</t>
        </is>
      </c>
      <c r="V112" s="62" t="n"/>
      <c r="W112" s="62" t="n"/>
      <c r="X112" s="62" t="n"/>
      <c r="Y112" s="62" t="n"/>
      <c r="Z112" s="62" t="n"/>
      <c r="AA112" s="62" t="n"/>
      <c r="AB112" s="62" t="n"/>
      <c r="AC112" s="62" t="n"/>
      <c r="AD112" s="62" t="n"/>
      <c r="AE112" s="62" t="n"/>
      <c r="AF112" s="62" t="n"/>
      <c r="AG112" s="162" t="n"/>
    </row>
    <row r="113">
      <c r="A113" s="249" t="n"/>
      <c r="B113" s="707" t="n">
        <v>7</v>
      </c>
      <c r="C113" s="245" t="n">
        <v>15</v>
      </c>
      <c r="D113" s="256" t="inlineStr">
        <is>
          <t>Waraou</t>
        </is>
      </c>
      <c r="E113" s="229" t="inlineStr">
        <is>
          <t>Tibiri</t>
        </is>
      </c>
      <c r="F113" s="229" t="inlineStr">
        <is>
          <t>Intervention</t>
        </is>
      </c>
      <c r="G113" s="305" t="n">
        <v>2020</v>
      </c>
      <c r="H113" s="305" t="n">
        <v>2021</v>
      </c>
      <c r="I113" s="231" t="n">
        <v>2</v>
      </c>
      <c r="J113" s="308" t="n">
        <v>3</v>
      </c>
      <c r="K113" s="229" t="n">
        <v>46</v>
      </c>
      <c r="L113" s="232" t="n">
        <v>1</v>
      </c>
      <c r="M113" s="537" t="n"/>
      <c r="N113" s="89" t="n">
        <v>0</v>
      </c>
      <c r="O113" s="89" t="n">
        <v>0.65</v>
      </c>
      <c r="P113" s="708" t="inlineStr">
        <is>
          <t>NR</t>
        </is>
      </c>
      <c r="Q113" s="255" t="n">
        <v>9.5</v>
      </c>
      <c r="R113" s="255" t="n">
        <v>15.5</v>
      </c>
      <c r="S113" s="255" t="n">
        <v>10.1</v>
      </c>
      <c r="T113" s="255" t="n">
        <v>14.3</v>
      </c>
      <c r="U113" s="91" t="inlineStr">
        <is>
          <t>N/A</t>
        </is>
      </c>
      <c r="V113" s="72" t="n"/>
      <c r="W113" s="72" t="n"/>
      <c r="X113" s="72" t="n"/>
      <c r="Y113" s="72" t="n"/>
      <c r="Z113" s="72" t="n"/>
      <c r="AA113" s="72" t="n"/>
      <c r="AB113" s="72" t="n"/>
      <c r="AC113" s="72" t="n"/>
      <c r="AD113" s="72" t="n"/>
      <c r="AE113" s="72" t="n"/>
      <c r="AF113" s="72" t="n"/>
      <c r="AG113" s="163" t="n"/>
    </row>
    <row r="114">
      <c r="A114" s="272" t="n"/>
      <c r="B114" s="698" t="n"/>
      <c r="C114" s="247" t="n">
        <v>16</v>
      </c>
      <c r="D114" s="320" t="inlineStr">
        <is>
          <t>Soura Sarkin Galma  2</t>
        </is>
      </c>
      <c r="E114" s="238" t="inlineStr">
        <is>
          <t>Tibiri</t>
        </is>
      </c>
      <c r="F114" s="238" t="inlineStr">
        <is>
          <t>Control</t>
        </is>
      </c>
      <c r="G114" s="239" t="n">
        <v>2020</v>
      </c>
      <c r="H114" s="320" t="n">
        <v>2021</v>
      </c>
      <c r="I114" s="237" t="n">
        <v>0</v>
      </c>
      <c r="J114" s="57" t="n">
        <v>0</v>
      </c>
      <c r="K114" s="241" t="n">
        <v>25</v>
      </c>
      <c r="L114" s="405" t="n">
        <v>0</v>
      </c>
      <c r="M114" s="59" t="n"/>
      <c r="N114" s="80" t="n">
        <v>0</v>
      </c>
      <c r="O114" s="80" t="n">
        <v>0.5600000000000001</v>
      </c>
      <c r="P114" s="708" t="inlineStr">
        <is>
          <t>NR</t>
        </is>
      </c>
      <c r="Q114" s="243" t="n">
        <v>9</v>
      </c>
      <c r="R114" s="243" t="n">
        <v>8.800000000000001</v>
      </c>
      <c r="S114" s="243" t="n">
        <v>6.9</v>
      </c>
      <c r="T114" s="243" t="n">
        <v>7.8</v>
      </c>
      <c r="U114" s="91" t="inlineStr">
        <is>
          <t>N/A</t>
        </is>
      </c>
      <c r="V114" s="81" t="n"/>
      <c r="W114" s="81" t="n"/>
      <c r="X114" s="81" t="n"/>
      <c r="Y114" s="81" t="n"/>
      <c r="Z114" s="81" t="n"/>
      <c r="AA114" s="81" t="n"/>
      <c r="AB114" s="81" t="n"/>
      <c r="AC114" s="81" t="n"/>
      <c r="AD114" s="81" t="n"/>
      <c r="AE114" s="81" t="n"/>
      <c r="AF114" s="81" t="n"/>
      <c r="AG114" s="244" t="n"/>
    </row>
    <row r="115">
      <c r="A115" s="249" t="n"/>
      <c r="B115" s="707" t="n">
        <v>8</v>
      </c>
      <c r="C115" s="245" t="n">
        <v>17</v>
      </c>
      <c r="D115" s="256" t="inlineStr">
        <is>
          <t>Madara</t>
        </is>
      </c>
      <c r="E115" s="258" t="inlineStr">
        <is>
          <t>Tibiri</t>
        </is>
      </c>
      <c r="F115" s="229" t="inlineStr">
        <is>
          <t>Intervention</t>
        </is>
      </c>
      <c r="G115" s="305" t="n">
        <v>2020</v>
      </c>
      <c r="H115" s="305" t="n">
        <v>2021</v>
      </c>
      <c r="I115" s="231" t="n">
        <v>2</v>
      </c>
      <c r="J115" s="308" t="n">
        <v>1</v>
      </c>
      <c r="K115" s="229" t="n">
        <v>18</v>
      </c>
      <c r="L115" s="232" t="n">
        <v>1</v>
      </c>
      <c r="M115" s="537" t="n"/>
      <c r="N115" s="89" t="n">
        <v>0</v>
      </c>
      <c r="O115" s="89" t="n">
        <v>0.72</v>
      </c>
      <c r="P115" s="708" t="inlineStr">
        <is>
          <t>NR</t>
        </is>
      </c>
      <c r="Q115" s="246" t="n">
        <v>5.6</v>
      </c>
      <c r="R115" s="246" t="n">
        <v>11.6</v>
      </c>
      <c r="S115" s="246" t="n">
        <v>6.2</v>
      </c>
      <c r="T115" s="246" t="n">
        <v>8.199999999999999</v>
      </c>
      <c r="U115" s="91" t="inlineStr">
        <is>
          <t>N/A</t>
        </is>
      </c>
      <c r="V115" s="91" t="n"/>
      <c r="W115" s="91" t="n"/>
      <c r="X115" s="91" t="n"/>
      <c r="Y115" s="91" t="n"/>
      <c r="Z115" s="91" t="n"/>
      <c r="AA115" s="91" t="n"/>
      <c r="AB115" s="91" t="n"/>
      <c r="AC115" s="91" t="n"/>
      <c r="AD115" s="91" t="n"/>
      <c r="AE115" s="91" t="n"/>
      <c r="AF115" s="91" t="n"/>
      <c r="AG115" s="160" t="n"/>
    </row>
    <row r="116">
      <c r="A116" s="272" t="n"/>
      <c r="B116" s="698" t="n"/>
      <c r="C116" s="247" t="n">
        <v>18</v>
      </c>
      <c r="D116" s="257" t="inlineStr">
        <is>
          <t>Yan Zango</t>
        </is>
      </c>
      <c r="E116" s="238" t="inlineStr">
        <is>
          <t>Tibiri</t>
        </is>
      </c>
      <c r="F116" s="238" t="inlineStr">
        <is>
          <t>Control</t>
        </is>
      </c>
      <c r="G116" s="239" t="n">
        <v>2020</v>
      </c>
      <c r="H116" s="320" t="n">
        <v>2021</v>
      </c>
      <c r="I116" s="237" t="n">
        <v>0</v>
      </c>
      <c r="J116" s="57" t="n">
        <v>0</v>
      </c>
      <c r="K116" s="241" t="n">
        <v>14</v>
      </c>
      <c r="L116" s="405" t="n">
        <v>0</v>
      </c>
      <c r="M116" s="59" t="n"/>
      <c r="N116" s="701" t="inlineStr">
        <is>
          <t>NR</t>
        </is>
      </c>
      <c r="O116" s="80" t="n">
        <v>0.64</v>
      </c>
      <c r="P116" s="708" t="inlineStr">
        <is>
          <t>NR</t>
        </is>
      </c>
      <c r="Q116" s="242" t="n">
        <v>7.2</v>
      </c>
      <c r="R116" s="242" t="n">
        <v>8.699999999999999</v>
      </c>
      <c r="S116" s="242" t="n">
        <v>7.3</v>
      </c>
      <c r="T116" s="242" t="n">
        <v>12.4</v>
      </c>
      <c r="U116" s="91" t="inlineStr">
        <is>
          <t>N/A</t>
        </is>
      </c>
      <c r="V116" s="62" t="n"/>
      <c r="W116" s="62" t="n"/>
      <c r="X116" s="62" t="n"/>
      <c r="Y116" s="62" t="n"/>
      <c r="Z116" s="62" t="n"/>
      <c r="AA116" s="62" t="n"/>
      <c r="AB116" s="62" t="n"/>
      <c r="AC116" s="62" t="n"/>
      <c r="AD116" s="62" t="n"/>
      <c r="AE116" s="62" t="n"/>
      <c r="AF116" s="62" t="n"/>
      <c r="AG116" s="162" t="n"/>
    </row>
    <row r="117">
      <c r="A117" s="249" t="n"/>
      <c r="B117" s="707" t="n">
        <v>9</v>
      </c>
      <c r="C117" s="245" t="n">
        <v>21</v>
      </c>
      <c r="D117" s="256" t="inlineStr">
        <is>
          <t>Moundourkoussa</t>
        </is>
      </c>
      <c r="E117" s="258" t="inlineStr">
        <is>
          <t>Tibiri</t>
        </is>
      </c>
      <c r="F117" s="229" t="inlineStr">
        <is>
          <t>Intervention</t>
        </is>
      </c>
      <c r="G117" s="305" t="n">
        <v>2020</v>
      </c>
      <c r="H117" s="305" t="n">
        <v>2021</v>
      </c>
      <c r="I117" s="231" t="n">
        <v>2</v>
      </c>
      <c r="J117" s="308" t="n">
        <v>1</v>
      </c>
      <c r="K117" s="229" t="n">
        <v>13</v>
      </c>
      <c r="L117" s="232" t="n">
        <v>1</v>
      </c>
      <c r="M117" s="537" t="n"/>
      <c r="N117" s="89" t="n">
        <v>0</v>
      </c>
      <c r="O117" s="89" t="n">
        <v>0.46</v>
      </c>
      <c r="P117" s="708" t="inlineStr">
        <is>
          <t>NR</t>
        </is>
      </c>
      <c r="Q117" s="255" t="n">
        <v>8.5</v>
      </c>
      <c r="R117" s="255" t="n">
        <v>12.4</v>
      </c>
      <c r="S117" s="255" t="n">
        <v>6.8</v>
      </c>
      <c r="T117" s="255" t="n">
        <v>14</v>
      </c>
      <c r="U117" s="91" t="inlineStr">
        <is>
          <t>N/A</t>
        </is>
      </c>
      <c r="V117" s="72" t="n"/>
      <c r="W117" s="72" t="n"/>
      <c r="X117" s="72" t="n"/>
      <c r="Y117" s="72" t="n"/>
      <c r="Z117" s="72" t="n"/>
      <c r="AA117" s="72" t="n"/>
      <c r="AB117" s="72" t="n"/>
      <c r="AC117" s="72" t="n"/>
      <c r="AD117" s="72" t="n"/>
      <c r="AE117" s="72" t="n"/>
      <c r="AF117" s="72" t="n"/>
      <c r="AG117" s="163" t="n"/>
    </row>
    <row r="118">
      <c r="A118" s="272" t="n"/>
      <c r="B118" s="698" t="n"/>
      <c r="C118" s="247" t="n">
        <v>22</v>
      </c>
      <c r="D118" s="257" t="inlineStr">
        <is>
          <t>Guigamaoua Sofoua</t>
        </is>
      </c>
      <c r="E118" s="238" t="inlineStr">
        <is>
          <t>Tibiri</t>
        </is>
      </c>
      <c r="F118" s="238" t="inlineStr">
        <is>
          <t>Control</t>
        </is>
      </c>
      <c r="G118" s="239" t="n">
        <v>2020</v>
      </c>
      <c r="H118" s="320" t="n">
        <v>2021</v>
      </c>
      <c r="I118" s="237" t="n">
        <v>0</v>
      </c>
      <c r="J118" s="57" t="n">
        <v>0</v>
      </c>
      <c r="K118" s="241" t="n">
        <v>8</v>
      </c>
      <c r="L118" s="405" t="n">
        <v>0</v>
      </c>
      <c r="M118" s="59" t="n"/>
      <c r="N118" s="80" t="n">
        <v>0</v>
      </c>
      <c r="O118" s="80" t="n">
        <v>0.88</v>
      </c>
      <c r="P118" s="708" t="inlineStr">
        <is>
          <t>NR</t>
        </is>
      </c>
      <c r="Q118" s="243" t="n">
        <v>10.8</v>
      </c>
      <c r="R118" s="243" t="n">
        <v>12.1</v>
      </c>
      <c r="S118" s="243" t="n">
        <v>6.8</v>
      </c>
      <c r="T118" s="243" t="n">
        <v>9.199999999999999</v>
      </c>
      <c r="U118" s="91" t="inlineStr">
        <is>
          <t>N/A</t>
        </is>
      </c>
      <c r="V118" s="81" t="n"/>
      <c r="W118" s="81" t="n"/>
      <c r="X118" s="81" t="n"/>
      <c r="Y118" s="81" t="n"/>
      <c r="Z118" s="81" t="n"/>
      <c r="AA118" s="81" t="n"/>
      <c r="AB118" s="81" t="n"/>
      <c r="AC118" s="81" t="n"/>
      <c r="AD118" s="81" t="n"/>
      <c r="AE118" s="81" t="n"/>
      <c r="AF118" s="81" t="n"/>
      <c r="AG118" s="244" t="n"/>
    </row>
    <row r="119">
      <c r="A119" s="249" t="n"/>
      <c r="B119" s="707" t="n">
        <v>10</v>
      </c>
      <c r="C119" s="245" t="n">
        <v>27</v>
      </c>
      <c r="D119" s="256" t="inlineStr">
        <is>
          <t>Kalgon Waraou</t>
        </is>
      </c>
      <c r="E119" s="229" t="inlineStr">
        <is>
          <t>Tibiri</t>
        </is>
      </c>
      <c r="F119" s="229" t="inlineStr">
        <is>
          <t>Intervention</t>
        </is>
      </c>
      <c r="G119" s="305" t="n">
        <v>2020</v>
      </c>
      <c r="H119" s="305" t="n">
        <v>2021</v>
      </c>
      <c r="I119" s="231" t="n">
        <v>2</v>
      </c>
      <c r="J119" s="308" t="n">
        <v>1</v>
      </c>
      <c r="K119" s="229" t="n">
        <v>16</v>
      </c>
      <c r="L119" s="232" t="n">
        <v>1</v>
      </c>
      <c r="M119" s="537" t="n"/>
      <c r="N119" s="89" t="n">
        <v>0</v>
      </c>
      <c r="O119" s="89" t="n">
        <v>1</v>
      </c>
      <c r="P119" s="708" t="inlineStr">
        <is>
          <t>NR</t>
        </is>
      </c>
      <c r="Q119" s="246" t="n">
        <v>11.7</v>
      </c>
      <c r="R119" s="246" t="n">
        <v>17.6</v>
      </c>
      <c r="S119" s="246" t="n">
        <v>11.9</v>
      </c>
      <c r="T119" s="246" t="n">
        <v>16.6</v>
      </c>
      <c r="U119" s="91" t="inlineStr">
        <is>
          <t>N/A</t>
        </is>
      </c>
      <c r="V119" s="91" t="n"/>
      <c r="W119" s="91" t="n"/>
      <c r="X119" s="91" t="n"/>
      <c r="Y119" s="91" t="n"/>
      <c r="Z119" s="91" t="n"/>
      <c r="AA119" s="91" t="n"/>
      <c r="AB119" s="91" t="n"/>
      <c r="AC119" s="91" t="n"/>
      <c r="AD119" s="91" t="n"/>
      <c r="AE119" s="91" t="n"/>
      <c r="AF119" s="91" t="n"/>
      <c r="AG119" s="160" t="n"/>
    </row>
    <row r="120">
      <c r="A120" s="272" t="n"/>
      <c r="B120" s="698" t="n"/>
      <c r="C120" s="247" t="n">
        <v>28</v>
      </c>
      <c r="D120" s="257" t="inlineStr">
        <is>
          <t>Garin Malan Hamza</t>
        </is>
      </c>
      <c r="E120" s="238" t="inlineStr">
        <is>
          <t>Tibiri</t>
        </is>
      </c>
      <c r="F120" s="238" t="inlineStr">
        <is>
          <t>Control</t>
        </is>
      </c>
      <c r="G120" s="239" t="n">
        <v>2020</v>
      </c>
      <c r="H120" s="320" t="n">
        <v>2021</v>
      </c>
      <c r="I120" s="237" t="n">
        <v>0</v>
      </c>
      <c r="J120" s="57" t="n">
        <v>0</v>
      </c>
      <c r="K120" s="241" t="n">
        <v>9</v>
      </c>
      <c r="L120" s="405" t="n">
        <v>0</v>
      </c>
      <c r="M120" s="59" t="n"/>
      <c r="N120" s="80" t="n">
        <v>0</v>
      </c>
      <c r="O120" s="80" t="n">
        <v>0.89</v>
      </c>
      <c r="P120" s="708" t="inlineStr">
        <is>
          <t>NR</t>
        </is>
      </c>
      <c r="Q120" s="242" t="n">
        <v>10.2</v>
      </c>
      <c r="R120" s="242" t="n">
        <v>11</v>
      </c>
      <c r="S120" s="242" t="n">
        <v>7</v>
      </c>
      <c r="T120" s="242" t="n">
        <v>10</v>
      </c>
      <c r="U120" s="91" t="inlineStr">
        <is>
          <t>N/A</t>
        </is>
      </c>
      <c r="V120" s="62" t="n"/>
      <c r="W120" s="62" t="n"/>
      <c r="X120" s="62" t="n"/>
      <c r="Y120" s="62" t="n"/>
      <c r="Z120" s="62" t="n"/>
      <c r="AA120" s="62" t="n"/>
      <c r="AB120" s="62" t="n"/>
      <c r="AC120" s="62" t="n"/>
      <c r="AD120" s="62" t="n"/>
      <c r="AE120" s="62" t="n"/>
      <c r="AF120" s="62" t="n"/>
      <c r="AG120" s="162" t="n"/>
    </row>
    <row r="121" ht="16.5" customHeight="1" s="695">
      <c r="A121" s="259" t="n"/>
      <c r="B121" s="709" t="n">
        <v>11</v>
      </c>
      <c r="C121" s="261" t="n">
        <v>62</v>
      </c>
      <c r="D121" s="262" t="inlineStr">
        <is>
          <t xml:space="preserve">Houdel </t>
        </is>
      </c>
      <c r="E121" s="263" t="inlineStr">
        <is>
          <t>Djirataoua</t>
        </is>
      </c>
      <c r="F121" s="263" t="inlineStr">
        <is>
          <t>Intervention</t>
        </is>
      </c>
      <c r="G121" s="264" t="n">
        <v>2020</v>
      </c>
      <c r="H121" s="264" t="n">
        <v>2021</v>
      </c>
      <c r="I121" s="228" t="n">
        <v>1</v>
      </c>
      <c r="J121" s="264" t="n">
        <v>2</v>
      </c>
      <c r="K121" s="263" t="n">
        <v>24</v>
      </c>
      <c r="L121" s="232" t="n">
        <v>1</v>
      </c>
      <c r="M121" s="534" t="n"/>
      <c r="N121" s="47" t="n">
        <v>0</v>
      </c>
      <c r="O121" s="47" t="n">
        <v>0.25</v>
      </c>
      <c r="P121" s="265" t="n">
        <v>0.27</v>
      </c>
      <c r="Q121" s="266" t="n">
        <v>6.1</v>
      </c>
      <c r="R121" s="266" t="n">
        <v>10.7</v>
      </c>
      <c r="S121" s="266" t="n">
        <v>7.2</v>
      </c>
      <c r="T121" s="266" t="n">
        <v>7</v>
      </c>
      <c r="U121" s="91" t="inlineStr">
        <is>
          <t>N/A</t>
        </is>
      </c>
      <c r="V121" s="300" t="n"/>
      <c r="W121" s="300" t="n"/>
      <c r="X121" s="300" t="n"/>
      <c r="Y121" s="300" t="n"/>
      <c r="Z121" s="300" t="n"/>
      <c r="AA121" s="300" t="n"/>
      <c r="AB121" s="300" t="n"/>
      <c r="AC121" s="300" t="n"/>
      <c r="AD121" s="300" t="n"/>
      <c r="AE121" s="300" t="n"/>
      <c r="AF121" s="300" t="n"/>
      <c r="AG121" s="268" t="n"/>
    </row>
    <row r="122">
      <c r="A122" s="272" t="n"/>
      <c r="B122" s="698" t="n"/>
      <c r="C122" s="269" t="n">
        <v>63</v>
      </c>
      <c r="D122" s="320" t="inlineStr">
        <is>
          <t>Dallia</t>
        </is>
      </c>
      <c r="E122" s="270" t="inlineStr">
        <is>
          <t>Djirataoua</t>
        </is>
      </c>
      <c r="F122" s="238" t="inlineStr">
        <is>
          <t>Control</t>
        </is>
      </c>
      <c r="G122" s="239" t="n">
        <v>2020</v>
      </c>
      <c r="H122" s="57" t="n">
        <v>2021</v>
      </c>
      <c r="I122" s="237" t="n">
        <v>0</v>
      </c>
      <c r="J122" s="57" t="n">
        <v>0</v>
      </c>
      <c r="K122" s="241" t="n">
        <v>20</v>
      </c>
      <c r="L122" s="405" t="n">
        <v>0</v>
      </c>
      <c r="M122" s="59" t="n"/>
      <c r="N122" s="80" t="n">
        <v>0</v>
      </c>
      <c r="O122" s="80" t="n">
        <v>0.2</v>
      </c>
      <c r="P122" s="265" t="n">
        <v>0.18</v>
      </c>
      <c r="Q122" s="243" t="n">
        <v>6.2</v>
      </c>
      <c r="R122" s="243" t="n">
        <v>5.2</v>
      </c>
      <c r="S122" s="243" t="n">
        <v>6.4</v>
      </c>
      <c r="T122" s="243" t="n">
        <v>6.8</v>
      </c>
      <c r="U122" s="91" t="inlineStr">
        <is>
          <t>N/A</t>
        </is>
      </c>
      <c r="V122" s="81" t="n"/>
      <c r="W122" s="81" t="n"/>
      <c r="X122" s="81" t="n"/>
      <c r="Y122" s="81" t="n"/>
      <c r="Z122" s="81" t="n"/>
      <c r="AA122" s="81" t="n"/>
      <c r="AB122" s="81" t="n"/>
      <c r="AC122" s="81" t="n"/>
      <c r="AD122" s="81" t="n"/>
      <c r="AE122" s="81" t="n"/>
      <c r="AF122" s="81" t="n"/>
      <c r="AG122" s="244" t="n"/>
    </row>
    <row r="123">
      <c r="A123" s="259" t="n"/>
      <c r="B123" s="709" t="n">
        <v>12</v>
      </c>
      <c r="C123" s="261" t="n">
        <v>34</v>
      </c>
      <c r="D123" s="262" t="inlineStr">
        <is>
          <t>Koderaoua</t>
        </is>
      </c>
      <c r="E123" s="263" t="inlineStr">
        <is>
          <t>Djirataoua</t>
        </is>
      </c>
      <c r="F123" s="263" t="inlineStr">
        <is>
          <t>Intervention</t>
        </is>
      </c>
      <c r="G123" s="264" t="n">
        <v>2020</v>
      </c>
      <c r="H123" s="264" t="n">
        <v>2021</v>
      </c>
      <c r="I123" s="228" t="n">
        <v>1</v>
      </c>
      <c r="J123" s="264" t="n">
        <v>2</v>
      </c>
      <c r="K123" s="263" t="n">
        <v>31</v>
      </c>
      <c r="L123" s="232" t="n">
        <v>1</v>
      </c>
      <c r="M123" s="534" t="n"/>
      <c r="N123" s="47" t="n">
        <v>0</v>
      </c>
      <c r="O123" s="47" t="n">
        <v>0.42</v>
      </c>
      <c r="P123" s="265" t="n">
        <v>0.58</v>
      </c>
      <c r="Q123" s="271" t="n">
        <v>7.8</v>
      </c>
      <c r="R123" s="271" t="n">
        <v>7.8</v>
      </c>
      <c r="S123" s="271" t="n">
        <v>5</v>
      </c>
      <c r="T123" s="271" t="n">
        <v>5</v>
      </c>
      <c r="U123" s="91" t="inlineStr">
        <is>
          <t>N/A</t>
        </is>
      </c>
      <c r="V123" s="49" t="n"/>
      <c r="W123" s="49" t="n"/>
      <c r="X123" s="49" t="n"/>
      <c r="Y123" s="49" t="n"/>
      <c r="Z123" s="49" t="n"/>
      <c r="AA123" s="49" t="n"/>
      <c r="AB123" s="49" t="n"/>
      <c r="AC123" s="49" t="n"/>
      <c r="AD123" s="49" t="n"/>
      <c r="AE123" s="49" t="n"/>
      <c r="AF123" s="49" t="n"/>
      <c r="AG123" s="181" t="n"/>
    </row>
    <row r="124">
      <c r="A124" s="272" t="n"/>
      <c r="B124" s="698" t="n"/>
      <c r="C124" s="269" t="n">
        <v>64</v>
      </c>
      <c r="D124" s="320" t="inlineStr">
        <is>
          <t>Oumarou lawali gago</t>
        </is>
      </c>
      <c r="E124" s="238" t="inlineStr">
        <is>
          <t>Djirataoua</t>
        </is>
      </c>
      <c r="F124" s="238" t="inlineStr">
        <is>
          <t>Control</t>
        </is>
      </c>
      <c r="G124" s="239" t="n">
        <v>2020</v>
      </c>
      <c r="H124" s="57" t="n">
        <v>2021</v>
      </c>
      <c r="I124" s="237" t="n">
        <v>0</v>
      </c>
      <c r="J124" s="57" t="n">
        <v>0</v>
      </c>
      <c r="K124" s="241" t="n">
        <v>43</v>
      </c>
      <c r="L124" s="405" t="n">
        <v>0</v>
      </c>
      <c r="M124" s="59" t="n"/>
      <c r="N124" s="80" t="n">
        <v>0</v>
      </c>
      <c r="O124" s="80" t="n">
        <v>0.63</v>
      </c>
      <c r="P124" s="708" t="inlineStr">
        <is>
          <t>NR</t>
        </is>
      </c>
      <c r="Q124" s="242" t="n">
        <v>13.7</v>
      </c>
      <c r="R124" s="242" t="n">
        <v>12.2</v>
      </c>
      <c r="S124" s="242" t="n">
        <v>11</v>
      </c>
      <c r="T124" s="242" t="n">
        <v>13.1</v>
      </c>
      <c r="U124" s="91" t="inlineStr">
        <is>
          <t>N/A</t>
        </is>
      </c>
      <c r="V124" s="62" t="n"/>
      <c r="W124" s="62" t="n"/>
      <c r="X124" s="62" t="n"/>
      <c r="Y124" s="62" t="n"/>
      <c r="Z124" s="62" t="n"/>
      <c r="AA124" s="62" t="n"/>
      <c r="AB124" s="62" t="n"/>
      <c r="AC124" s="62" t="n"/>
      <c r="AD124" s="62" t="n"/>
      <c r="AE124" s="62" t="n"/>
      <c r="AF124" s="62" t="n"/>
      <c r="AG124" s="162" t="n"/>
    </row>
    <row r="125">
      <c r="A125" s="249" t="n"/>
      <c r="B125" s="707" t="n">
        <v>13</v>
      </c>
      <c r="C125" s="261" t="n">
        <v>49</v>
      </c>
      <c r="D125" s="305" t="inlineStr">
        <is>
          <t>Takalmaoua 1 (not2)</t>
        </is>
      </c>
      <c r="E125" s="229" t="inlineStr">
        <is>
          <t>Djirataoua</t>
        </is>
      </c>
      <c r="F125" s="229" t="inlineStr">
        <is>
          <t>Intervention</t>
        </is>
      </c>
      <c r="G125" s="252" t="n">
        <v>2020</v>
      </c>
      <c r="H125" s="252" t="n">
        <v>2021</v>
      </c>
      <c r="I125" s="231" t="n">
        <v>1</v>
      </c>
      <c r="J125" s="252" t="n">
        <v>2</v>
      </c>
      <c r="K125" s="229" t="n">
        <v>32</v>
      </c>
      <c r="L125" s="232" t="n">
        <v>1</v>
      </c>
      <c r="M125" s="537" t="n"/>
      <c r="N125" s="89">
        <f>1/K125</f>
        <v/>
      </c>
      <c r="O125" s="89" t="n">
        <v>0.63</v>
      </c>
      <c r="P125" s="265" t="n">
        <v>0.8</v>
      </c>
      <c r="Q125" s="255" t="n">
        <v>6.2</v>
      </c>
      <c r="R125" s="255" t="n">
        <v>13</v>
      </c>
      <c r="S125" s="255" t="n">
        <v>7.1</v>
      </c>
      <c r="T125" s="255" t="n">
        <v>11.5</v>
      </c>
      <c r="U125" s="91" t="inlineStr">
        <is>
          <t>N/A</t>
        </is>
      </c>
      <c r="V125" s="72" t="n"/>
      <c r="W125" s="72" t="n"/>
      <c r="X125" s="72" t="n"/>
      <c r="Y125" s="72" t="n"/>
      <c r="Z125" s="72" t="n"/>
      <c r="AA125" s="72" t="n"/>
      <c r="AB125" s="72" t="n"/>
      <c r="AC125" s="72" t="n"/>
      <c r="AD125" s="72" t="n"/>
      <c r="AE125" s="72" t="n"/>
      <c r="AF125" s="72" t="n"/>
      <c r="AG125" s="163" t="n"/>
    </row>
    <row r="126">
      <c r="A126" s="272" t="n"/>
      <c r="B126" s="698" t="n"/>
      <c r="C126" s="269" t="n">
        <v>65</v>
      </c>
      <c r="D126" s="320" t="inlineStr">
        <is>
          <t>Tajae Djiratawa</t>
        </is>
      </c>
      <c r="E126" s="238" t="inlineStr">
        <is>
          <t>Djirataoua</t>
        </is>
      </c>
      <c r="F126" s="238" t="inlineStr">
        <is>
          <t>Control</t>
        </is>
      </c>
      <c r="G126" s="239" t="n">
        <v>2020</v>
      </c>
      <c r="H126" s="57" t="n">
        <v>2021</v>
      </c>
      <c r="I126" s="237" t="n">
        <v>0</v>
      </c>
      <c r="J126" s="57" t="n">
        <v>0</v>
      </c>
      <c r="K126" s="241" t="n">
        <v>32</v>
      </c>
      <c r="L126" s="405" t="n">
        <v>0</v>
      </c>
      <c r="M126" s="59" t="n"/>
      <c r="N126" s="80" t="n">
        <v>0</v>
      </c>
      <c r="O126" s="80" t="n">
        <v>0.63</v>
      </c>
      <c r="P126" s="265" t="n">
        <v>0.55</v>
      </c>
      <c r="Q126" s="243" t="n">
        <v>5.2</v>
      </c>
      <c r="R126" s="243" t="n">
        <v>9.199999999999999</v>
      </c>
      <c r="S126" s="243" t="n">
        <v>5.7</v>
      </c>
      <c r="T126" s="243" t="n">
        <v>8.699999999999999</v>
      </c>
      <c r="U126" s="91" t="inlineStr">
        <is>
          <t>N/A</t>
        </is>
      </c>
      <c r="V126" s="81" t="n"/>
      <c r="W126" s="81" t="n"/>
      <c r="X126" s="81" t="n"/>
      <c r="Y126" s="81" t="n"/>
      <c r="Z126" s="81" t="n"/>
      <c r="AA126" s="81" t="n"/>
      <c r="AB126" s="81" t="n"/>
      <c r="AC126" s="81" t="n"/>
      <c r="AD126" s="81" t="n"/>
      <c r="AE126" s="81" t="n"/>
      <c r="AF126" s="81" t="n"/>
      <c r="AG126" s="244" t="n"/>
    </row>
    <row r="127">
      <c r="A127" s="249" t="n"/>
      <c r="B127" s="707" t="n">
        <v>14</v>
      </c>
      <c r="C127" s="261" t="n">
        <v>38</v>
      </c>
      <c r="D127" s="305" t="inlineStr">
        <is>
          <t>Danja 2</t>
        </is>
      </c>
      <c r="E127" s="229" t="inlineStr">
        <is>
          <t>Djirataoua</t>
        </is>
      </c>
      <c r="F127" s="229" t="inlineStr">
        <is>
          <t>Intervention</t>
        </is>
      </c>
      <c r="G127" s="252" t="n">
        <v>2020</v>
      </c>
      <c r="H127" s="252" t="n">
        <v>2021</v>
      </c>
      <c r="I127" s="231" t="n">
        <v>1</v>
      </c>
      <c r="J127" s="252" t="n">
        <v>1</v>
      </c>
      <c r="K127" s="229" t="n">
        <v>23</v>
      </c>
      <c r="L127" s="232" t="n">
        <v>1</v>
      </c>
      <c r="M127" s="537" t="n"/>
      <c r="N127" s="89" t="n">
        <v>0</v>
      </c>
      <c r="O127" s="89" t="n">
        <v>0.48</v>
      </c>
      <c r="P127" s="265" t="n">
        <v>0</v>
      </c>
      <c r="Q127" s="246" t="n">
        <v>9</v>
      </c>
      <c r="R127" s="246" t="n">
        <v>11.7</v>
      </c>
      <c r="S127" s="246" t="n">
        <v>8.4</v>
      </c>
      <c r="T127" s="246" t="n">
        <v>11.3</v>
      </c>
      <c r="U127" s="91" t="inlineStr">
        <is>
          <t>N/A</t>
        </is>
      </c>
      <c r="V127" s="91" t="n"/>
      <c r="W127" s="91" t="n"/>
      <c r="X127" s="91" t="n"/>
      <c r="Y127" s="91" t="n"/>
      <c r="Z127" s="91" t="n"/>
      <c r="AA127" s="91" t="n"/>
      <c r="AB127" s="91" t="n"/>
      <c r="AC127" s="91" t="n"/>
      <c r="AD127" s="91" t="n"/>
      <c r="AE127" s="91" t="n"/>
      <c r="AF127" s="91" t="n"/>
      <c r="AG127" s="160" t="n"/>
    </row>
    <row r="128">
      <c r="A128" s="272" t="n"/>
      <c r="B128" s="698" t="n"/>
      <c r="C128" s="269" t="n">
        <v>66</v>
      </c>
      <c r="D128" s="320" t="inlineStr">
        <is>
          <t>Kontagora Soufoua</t>
        </is>
      </c>
      <c r="E128" s="238" t="inlineStr">
        <is>
          <t>Djirataoua</t>
        </is>
      </c>
      <c r="F128" s="238" t="inlineStr">
        <is>
          <t>Control</t>
        </is>
      </c>
      <c r="G128" s="239" t="n">
        <v>2020</v>
      </c>
      <c r="H128" s="57" t="n">
        <v>2021</v>
      </c>
      <c r="I128" s="237" t="n">
        <v>0</v>
      </c>
      <c r="J128" s="57" t="n">
        <v>0</v>
      </c>
      <c r="K128" s="241" t="n">
        <v>29</v>
      </c>
      <c r="L128" s="405" t="n">
        <v>0</v>
      </c>
      <c r="M128" s="59" t="n"/>
      <c r="N128" s="80" t="n">
        <v>0</v>
      </c>
      <c r="O128" s="80" t="n">
        <v>0.38</v>
      </c>
      <c r="P128" s="265" t="n">
        <v>0</v>
      </c>
      <c r="Q128" s="242" t="n">
        <v>9.6</v>
      </c>
      <c r="R128" s="242" t="n">
        <v>12.1</v>
      </c>
      <c r="S128" s="242" t="n">
        <v>8.699999999999999</v>
      </c>
      <c r="T128" s="242" t="n">
        <v>12.6</v>
      </c>
      <c r="U128" s="91" t="inlineStr">
        <is>
          <t>N/A</t>
        </is>
      </c>
      <c r="V128" s="62" t="n"/>
      <c r="W128" s="62" t="n"/>
      <c r="X128" s="62" t="n"/>
      <c r="Y128" s="62" t="n"/>
      <c r="Z128" s="62" t="n"/>
      <c r="AA128" s="62" t="n"/>
      <c r="AB128" s="62" t="n"/>
      <c r="AC128" s="62" t="n"/>
      <c r="AD128" s="62" t="n"/>
      <c r="AE128" s="62" t="n"/>
      <c r="AF128" s="62" t="n"/>
      <c r="AG128" s="162" t="n"/>
    </row>
    <row r="129">
      <c r="A129" s="249" t="n"/>
      <c r="B129" s="707" t="n">
        <v>15</v>
      </c>
      <c r="C129" s="261" t="n">
        <v>40</v>
      </c>
      <c r="D129" s="305" t="inlineStr">
        <is>
          <t>El Kokia</t>
        </is>
      </c>
      <c r="E129" s="258" t="inlineStr">
        <is>
          <t>Djirataoua</t>
        </is>
      </c>
      <c r="F129" s="229" t="inlineStr">
        <is>
          <t>Intervention</t>
        </is>
      </c>
      <c r="G129" s="252" t="n">
        <v>2020</v>
      </c>
      <c r="H129" s="252" t="n">
        <v>2021</v>
      </c>
      <c r="I129" s="231" t="n">
        <v>1</v>
      </c>
      <c r="J129" s="252" t="n">
        <v>4</v>
      </c>
      <c r="K129" s="229" t="n">
        <v>59</v>
      </c>
      <c r="L129" s="232" t="n">
        <v>1</v>
      </c>
      <c r="M129" s="537" t="n"/>
      <c r="N129" s="89">
        <f>1/K129</f>
        <v/>
      </c>
      <c r="O129" s="89" t="n">
        <v>0.5600000000000001</v>
      </c>
      <c r="P129" s="265" t="n">
        <v>0.47</v>
      </c>
      <c r="Q129" s="255" t="n">
        <v>7</v>
      </c>
      <c r="R129" s="255" t="n">
        <v>12.8</v>
      </c>
      <c r="S129" s="255" t="n">
        <v>7</v>
      </c>
      <c r="T129" s="255" t="n">
        <v>13.9</v>
      </c>
      <c r="U129" s="91" t="inlineStr">
        <is>
          <t>N/A</t>
        </is>
      </c>
      <c r="V129" s="72" t="n"/>
      <c r="W129" s="72" t="n"/>
      <c r="X129" s="72" t="n"/>
      <c r="Y129" s="72" t="n"/>
      <c r="Z129" s="72" t="n"/>
      <c r="AA129" s="72" t="n"/>
      <c r="AB129" s="72" t="n"/>
      <c r="AC129" s="72" t="n"/>
      <c r="AD129" s="72" t="n"/>
      <c r="AE129" s="72" t="n"/>
      <c r="AF129" s="72" t="n"/>
      <c r="AG129" s="163" t="n"/>
    </row>
    <row r="130">
      <c r="A130" s="272" t="n"/>
      <c r="B130" s="698" t="n"/>
      <c r="C130" s="269" t="n">
        <v>67</v>
      </c>
      <c r="D130" s="320" t="inlineStr">
        <is>
          <t>Dan Kari Trad</t>
        </is>
      </c>
      <c r="E130" s="238" t="inlineStr">
        <is>
          <t>Djirataoua</t>
        </is>
      </c>
      <c r="F130" s="238" t="inlineStr">
        <is>
          <t>Control</t>
        </is>
      </c>
      <c r="G130" s="239" t="n">
        <v>2020</v>
      </c>
      <c r="H130" s="57" t="n">
        <v>2021</v>
      </c>
      <c r="I130" s="237" t="n">
        <v>0</v>
      </c>
      <c r="J130" s="57" t="n">
        <v>0</v>
      </c>
      <c r="K130" s="241" t="n">
        <v>15</v>
      </c>
      <c r="L130" s="405" t="n">
        <v>0</v>
      </c>
      <c r="M130" s="59" t="n"/>
      <c r="N130" s="80" t="n">
        <v>0</v>
      </c>
      <c r="O130" s="80" t="n">
        <v>0.27</v>
      </c>
      <c r="P130" s="265" t="n">
        <v>0.35</v>
      </c>
      <c r="Q130" s="243" t="n">
        <v>7.1</v>
      </c>
      <c r="R130" s="243" t="n">
        <v>10</v>
      </c>
      <c r="S130" s="243" t="n">
        <v>8.300000000000001</v>
      </c>
      <c r="T130" s="243" t="n">
        <v>9.1</v>
      </c>
      <c r="U130" s="91" t="inlineStr">
        <is>
          <t>N/A</t>
        </is>
      </c>
      <c r="V130" s="81" t="n"/>
      <c r="W130" s="81" t="n"/>
      <c r="X130" s="81" t="n"/>
      <c r="Y130" s="81" t="n"/>
      <c r="Z130" s="81" t="n"/>
      <c r="AA130" s="81" t="n"/>
      <c r="AB130" s="81" t="n"/>
      <c r="AC130" s="81" t="n"/>
      <c r="AD130" s="81" t="n"/>
      <c r="AE130" s="81" t="n"/>
      <c r="AF130" s="81" t="n"/>
      <c r="AG130" s="244" t="n"/>
    </row>
    <row r="131">
      <c r="A131" s="249" t="n"/>
      <c r="B131" s="707" t="n">
        <v>16</v>
      </c>
      <c r="C131" s="261" t="n">
        <v>68</v>
      </c>
      <c r="D131" s="305" t="inlineStr">
        <is>
          <t>Rigial Sarki</t>
        </is>
      </c>
      <c r="E131" s="258" t="inlineStr">
        <is>
          <t>Djirataoua</t>
        </is>
      </c>
      <c r="F131" s="229" t="inlineStr">
        <is>
          <t>Intervention</t>
        </is>
      </c>
      <c r="G131" s="252" t="n">
        <v>2020</v>
      </c>
      <c r="H131" s="252" t="n">
        <v>2021</v>
      </c>
      <c r="I131" s="231" t="n">
        <v>1</v>
      </c>
      <c r="J131" s="252" t="n">
        <v>2</v>
      </c>
      <c r="K131" s="229" t="n">
        <v>24</v>
      </c>
      <c r="L131" s="232" t="n">
        <v>1</v>
      </c>
      <c r="M131" s="537" t="n"/>
      <c r="N131" s="89" t="n">
        <v>0</v>
      </c>
      <c r="O131" s="89" t="n">
        <v>0.42</v>
      </c>
      <c r="P131" s="265" t="n">
        <v>0.43</v>
      </c>
      <c r="Q131" s="246" t="n">
        <v>8.9</v>
      </c>
      <c r="R131" s="246" t="n">
        <v>10.5</v>
      </c>
      <c r="S131" s="246" t="n">
        <v>6.4</v>
      </c>
      <c r="T131" s="246" t="n">
        <v>9.800000000000001</v>
      </c>
      <c r="U131" s="91" t="inlineStr">
        <is>
          <t>N/A</t>
        </is>
      </c>
      <c r="V131" s="91" t="n"/>
      <c r="W131" s="91" t="n"/>
      <c r="X131" s="91" t="n"/>
      <c r="Y131" s="91" t="n"/>
      <c r="Z131" s="91" t="n"/>
      <c r="AA131" s="91" t="n"/>
      <c r="AB131" s="91" t="n"/>
      <c r="AC131" s="91" t="n"/>
      <c r="AD131" s="91" t="n"/>
      <c r="AE131" s="91" t="n"/>
      <c r="AF131" s="91" t="n"/>
      <c r="AG131" s="160" t="n"/>
    </row>
    <row r="132">
      <c r="A132" s="272" t="n"/>
      <c r="B132" s="698" t="n"/>
      <c r="C132" s="269" t="n">
        <v>69</v>
      </c>
      <c r="D132" s="320" t="inlineStr">
        <is>
          <t>Garin Dogo</t>
        </is>
      </c>
      <c r="E132" s="238" t="inlineStr">
        <is>
          <t>Djirataoua</t>
        </is>
      </c>
      <c r="F132" s="238" t="inlineStr">
        <is>
          <t>Control</t>
        </is>
      </c>
      <c r="G132" s="239" t="n">
        <v>2020</v>
      </c>
      <c r="H132" s="57" t="n">
        <v>2021</v>
      </c>
      <c r="I132" s="237" t="n">
        <v>0</v>
      </c>
      <c r="J132" s="57" t="n">
        <v>0</v>
      </c>
      <c r="K132" s="241" t="n">
        <v>20</v>
      </c>
      <c r="L132" s="405" t="n">
        <v>0</v>
      </c>
      <c r="M132" s="59" t="n"/>
      <c r="N132" s="80" t="n">
        <v>0</v>
      </c>
      <c r="O132" s="80" t="n">
        <v>0.45</v>
      </c>
      <c r="P132" s="265" t="n">
        <v>0.63</v>
      </c>
      <c r="Q132" s="242" t="n">
        <v>8.1</v>
      </c>
      <c r="R132" s="242" t="n">
        <v>9.800000000000001</v>
      </c>
      <c r="S132" s="242" t="n">
        <v>4</v>
      </c>
      <c r="T132" s="242" t="n">
        <v>2.6</v>
      </c>
      <c r="U132" s="91" t="inlineStr">
        <is>
          <t>N/A</t>
        </is>
      </c>
      <c r="V132" s="62" t="n"/>
      <c r="W132" s="62" t="n"/>
      <c r="X132" s="62" t="n"/>
      <c r="Y132" s="62" t="n"/>
      <c r="Z132" s="62" t="n"/>
      <c r="AA132" s="62" t="n"/>
      <c r="AB132" s="62" t="n"/>
      <c r="AC132" s="62" t="n"/>
      <c r="AD132" s="62" t="n"/>
      <c r="AE132" s="62" t="n"/>
      <c r="AF132" s="62" t="n"/>
      <c r="AG132" s="162" t="n"/>
    </row>
    <row r="133">
      <c r="A133" s="249" t="n"/>
      <c r="B133" s="707" t="n">
        <v>17</v>
      </c>
      <c r="C133" s="261" t="n">
        <v>44</v>
      </c>
      <c r="D133" s="256" t="inlineStr">
        <is>
          <t>Sabon Gari Kolta</t>
        </is>
      </c>
      <c r="E133" s="258" t="inlineStr">
        <is>
          <t>Djirataoua</t>
        </is>
      </c>
      <c r="F133" s="229" t="inlineStr">
        <is>
          <t>Intervention</t>
        </is>
      </c>
      <c r="G133" s="305" t="n">
        <v>2020</v>
      </c>
      <c r="H133" s="305" t="n">
        <v>2021</v>
      </c>
      <c r="I133" s="231" t="n">
        <v>1</v>
      </c>
      <c r="J133" s="273" t="n">
        <v>3</v>
      </c>
      <c r="K133" s="229" t="n">
        <v>43</v>
      </c>
      <c r="L133" s="232" t="n">
        <v>1</v>
      </c>
      <c r="M133" s="537" t="n"/>
      <c r="N133" s="89" t="n">
        <v>0</v>
      </c>
      <c r="O133" s="89" t="n">
        <v>0.63</v>
      </c>
      <c r="P133" s="265" t="n">
        <v>0.51</v>
      </c>
      <c r="Q133" s="255" t="n">
        <v>12.8</v>
      </c>
      <c r="R133" s="255" t="n">
        <v>16.7</v>
      </c>
      <c r="S133" s="255" t="n">
        <v>9.5</v>
      </c>
      <c r="T133" s="255" t="n">
        <v>14.8</v>
      </c>
      <c r="U133" s="91" t="inlineStr">
        <is>
          <t>N/A</t>
        </is>
      </c>
      <c r="V133" s="72" t="n"/>
      <c r="W133" s="72" t="n"/>
      <c r="X133" s="72" t="n"/>
      <c r="Y133" s="72" t="n"/>
      <c r="Z133" s="72" t="n"/>
      <c r="AA133" s="72" t="n"/>
      <c r="AB133" s="72" t="n"/>
      <c r="AC133" s="72" t="n"/>
      <c r="AD133" s="72" t="n"/>
      <c r="AE133" s="72" t="n"/>
      <c r="AF133" s="72" t="n"/>
      <c r="AG133" s="163" t="n"/>
    </row>
    <row r="134">
      <c r="A134" s="272" t="n"/>
      <c r="B134" s="698" t="n"/>
      <c r="C134" s="269" t="n">
        <v>70</v>
      </c>
      <c r="D134" s="257" t="inlineStr">
        <is>
          <t>Djiratawa Bilingue</t>
        </is>
      </c>
      <c r="E134" s="238" t="inlineStr">
        <is>
          <t>Djirataoua</t>
        </is>
      </c>
      <c r="F134" s="238" t="inlineStr">
        <is>
          <t>Control</t>
        </is>
      </c>
      <c r="G134" s="239" t="n">
        <v>2020</v>
      </c>
      <c r="H134" s="320" t="n">
        <v>2021</v>
      </c>
      <c r="I134" s="237" t="n">
        <v>0</v>
      </c>
      <c r="J134" s="57" t="n">
        <v>0</v>
      </c>
      <c r="K134" s="241" t="n">
        <v>31</v>
      </c>
      <c r="L134" s="405" t="n">
        <v>0</v>
      </c>
      <c r="M134" s="59" t="n"/>
      <c r="N134" s="80" t="n">
        <v>0</v>
      </c>
      <c r="O134" s="80" t="n">
        <v>0.23</v>
      </c>
      <c r="P134" s="708" t="inlineStr">
        <is>
          <t>NR</t>
        </is>
      </c>
      <c r="Q134" s="243" t="n">
        <v>12</v>
      </c>
      <c r="R134" s="243" t="n">
        <v>11.7</v>
      </c>
      <c r="S134" s="243" t="n">
        <v>8.9</v>
      </c>
      <c r="T134" s="243" t="n">
        <v>10.1</v>
      </c>
      <c r="U134" s="91" t="inlineStr">
        <is>
          <t>N/A</t>
        </is>
      </c>
      <c r="V134" s="81" t="n"/>
      <c r="W134" s="81" t="n"/>
      <c r="X134" s="81" t="n"/>
      <c r="Y134" s="81" t="n"/>
      <c r="Z134" s="81" t="n"/>
      <c r="AA134" s="81" t="n"/>
      <c r="AB134" s="81" t="n"/>
      <c r="AC134" s="81" t="n"/>
      <c r="AD134" s="81" t="n"/>
      <c r="AE134" s="81" t="n"/>
      <c r="AF134" s="81" t="n"/>
      <c r="AG134" s="244" t="n"/>
    </row>
    <row r="135">
      <c r="A135" s="100" t="n"/>
      <c r="B135" s="100" t="n"/>
      <c r="C135" s="99" t="n"/>
      <c r="D135" s="100" t="n"/>
      <c r="E135" s="100" t="n"/>
      <c r="F135" s="100" t="n"/>
      <c r="G135" s="100" t="n"/>
      <c r="H135" s="100" t="n"/>
      <c r="I135" s="100" t="n"/>
      <c r="J135" s="100" t="n"/>
      <c r="K135" s="100" t="n"/>
      <c r="L135" s="99" t="n"/>
      <c r="M135" s="100" t="n"/>
      <c r="N135" s="36" t="n"/>
      <c r="O135" s="36" t="n"/>
      <c r="P135" s="36" t="n"/>
      <c r="Q135" s="100" t="n"/>
      <c r="R135" s="100" t="n"/>
      <c r="S135" s="100" t="n"/>
      <c r="T135" s="100" t="n"/>
      <c r="U135" s="100" t="n"/>
      <c r="V135" s="100" t="n"/>
      <c r="W135" s="100" t="n"/>
      <c r="X135" s="100" t="n"/>
      <c r="Y135" s="100" t="n"/>
      <c r="Z135" s="100" t="n"/>
      <c r="AA135" s="100" t="n"/>
      <c r="AB135" s="100" t="n"/>
      <c r="AC135" s="100" t="n"/>
      <c r="AD135" s="100" t="n"/>
      <c r="AE135" s="100" t="n"/>
      <c r="AF135" s="100" t="n"/>
      <c r="AG135" s="100" t="n"/>
    </row>
    <row r="136">
      <c r="A136" s="207" t="inlineStr">
        <is>
          <t>COHORTE 4 CM2 2021-2022</t>
        </is>
      </c>
      <c r="B136" s="95" t="n"/>
      <c r="C136" s="98" t="n"/>
      <c r="D136" s="95" t="n"/>
      <c r="E136" s="95" t="n"/>
      <c r="F136" s="95" t="n"/>
      <c r="G136" s="95" t="n"/>
      <c r="H136" s="95" t="n"/>
      <c r="I136" s="95" t="n"/>
      <c r="J136" s="95" t="n"/>
      <c r="K136" s="95" t="n"/>
      <c r="L136" s="99" t="n"/>
      <c r="M136" s="100" t="n"/>
      <c r="N136" s="36" t="n"/>
      <c r="O136" s="36" t="n"/>
      <c r="P136" s="36" t="n"/>
      <c r="Q136" s="100" t="n"/>
      <c r="R136" s="100" t="n"/>
      <c r="S136" s="100" t="n"/>
      <c r="T136" s="100" t="n"/>
      <c r="U136" s="207" t="inlineStr">
        <is>
          <t>Hasken Mata cohorte 1</t>
        </is>
      </c>
      <c r="V136" s="100" t="n"/>
      <c r="W136" s="100" t="n"/>
      <c r="X136" s="100" t="n"/>
      <c r="Y136" s="100" t="n"/>
      <c r="Z136" s="100" t="n"/>
      <c r="AA136" s="100" t="n"/>
      <c r="AB136" s="100" t="n"/>
      <c r="AC136" s="100" t="n"/>
      <c r="AD136" s="100" t="n"/>
      <c r="AE136" s="100" t="n"/>
      <c r="AF136" s="100" t="n"/>
      <c r="AG136" s="100" t="n"/>
    </row>
    <row r="137">
      <c r="A137" s="221" t="n"/>
      <c r="B137" s="274" t="n"/>
      <c r="C137" s="275" t="n"/>
      <c r="D137" s="276" t="inlineStr">
        <is>
          <t>Garin Madji</t>
        </is>
      </c>
      <c r="E137" s="221" t="inlineStr">
        <is>
          <t>Tibiri</t>
        </is>
      </c>
      <c r="F137" s="221" t="inlineStr">
        <is>
          <t>Control</t>
        </is>
      </c>
      <c r="G137" s="222" t="n">
        <v>2020</v>
      </c>
      <c r="H137" s="222" t="n">
        <v>2021</v>
      </c>
      <c r="I137" s="220" t="n">
        <v>0</v>
      </c>
      <c r="J137" s="220" t="n">
        <v>0</v>
      </c>
      <c r="K137" s="277" t="inlineStr">
        <is>
          <t>NA</t>
        </is>
      </c>
      <c r="L137" s="104" t="n">
        <v>0</v>
      </c>
      <c r="M137" s="106" t="inlineStr">
        <is>
          <t>NR</t>
        </is>
      </c>
      <c r="N137" s="699" t="inlineStr">
        <is>
          <t>NR</t>
        </is>
      </c>
      <c r="O137" s="699" t="inlineStr">
        <is>
          <t>NR</t>
        </is>
      </c>
      <c r="P137" s="699" t="inlineStr">
        <is>
          <t>NR</t>
        </is>
      </c>
      <c r="Q137" s="216" t="inlineStr">
        <is>
          <t>NA</t>
        </is>
      </c>
      <c r="R137" s="216" t="inlineStr">
        <is>
          <t>NA</t>
        </is>
      </c>
      <c r="S137" s="216" t="inlineStr">
        <is>
          <t>NA</t>
        </is>
      </c>
      <c r="T137" s="216" t="inlineStr">
        <is>
          <t>NA</t>
        </is>
      </c>
      <c r="U137" s="216" t="inlineStr">
        <is>
          <t>NA</t>
        </is>
      </c>
      <c r="V137" s="35" t="inlineStr">
        <is>
          <t>2020-2021</t>
        </is>
      </c>
      <c r="W137" s="34" t="inlineStr">
        <is>
          <t>Incomplete_Tableau pour la selection des sites_Canevas HM 2021-2022_ 2021-10-14</t>
        </is>
      </c>
      <c r="X137" s="35" t="n"/>
      <c r="Y137" s="35" t="n"/>
      <c r="Z137" s="35" t="n"/>
      <c r="AA137" s="35" t="n"/>
      <c r="AB137" s="35" t="n"/>
      <c r="AC137" s="35" t="n"/>
      <c r="AD137" s="35" t="n"/>
      <c r="AE137" s="35" t="n"/>
      <c r="AF137" s="35" t="n"/>
      <c r="AG137" s="35" t="n"/>
    </row>
    <row r="138">
      <c r="A138" s="212" t="n"/>
      <c r="B138" s="274" t="n"/>
      <c r="C138" s="275" t="n"/>
      <c r="D138" s="278" t="inlineStr">
        <is>
          <t>Sarkin Aski</t>
        </is>
      </c>
      <c r="E138" s="212" t="inlineStr">
        <is>
          <t>Tibiri</t>
        </is>
      </c>
      <c r="F138" s="212" t="inlineStr">
        <is>
          <t>Control</t>
        </is>
      </c>
      <c r="G138" s="213" t="n">
        <v>2020</v>
      </c>
      <c r="H138" s="213" t="n">
        <v>2021</v>
      </c>
      <c r="I138" s="200" t="n">
        <v>0</v>
      </c>
      <c r="J138" s="200" t="n">
        <v>0</v>
      </c>
      <c r="K138" s="215" t="inlineStr">
        <is>
          <t>NA</t>
        </is>
      </c>
      <c r="L138" s="104" t="n">
        <v>0</v>
      </c>
      <c r="M138" s="36" t="n"/>
      <c r="N138" s="699" t="inlineStr">
        <is>
          <t>NR</t>
        </is>
      </c>
      <c r="O138" s="699" t="inlineStr">
        <is>
          <t>NR</t>
        </is>
      </c>
      <c r="P138" s="699" t="inlineStr">
        <is>
          <t>NR</t>
        </is>
      </c>
      <c r="Q138" s="216" t="inlineStr">
        <is>
          <t>NA</t>
        </is>
      </c>
      <c r="R138" s="216" t="inlineStr">
        <is>
          <t>NA</t>
        </is>
      </c>
      <c r="S138" s="216" t="inlineStr">
        <is>
          <t>NA</t>
        </is>
      </c>
      <c r="T138" s="216" t="inlineStr">
        <is>
          <t>NA</t>
        </is>
      </c>
      <c r="U138" s="216" t="inlineStr">
        <is>
          <t>NA</t>
        </is>
      </c>
      <c r="V138" s="35" t="inlineStr">
        <is>
          <t>2020-2021</t>
        </is>
      </c>
      <c r="W138" s="35" t="n"/>
      <c r="X138" s="35" t="n"/>
      <c r="Y138" s="35" t="n"/>
      <c r="Z138" s="35" t="n"/>
      <c r="AA138" s="35" t="n"/>
      <c r="AB138" s="35" t="n"/>
      <c r="AC138" s="35" t="n"/>
      <c r="AD138" s="35" t="n"/>
      <c r="AE138" s="35" t="n"/>
      <c r="AF138" s="35" t="n"/>
      <c r="AG138" s="35" t="n"/>
    </row>
    <row r="139">
      <c r="A139" s="221" t="n"/>
      <c r="B139" s="274" t="n"/>
      <c r="C139" s="275" t="n"/>
      <c r="D139" s="276" t="inlineStr">
        <is>
          <t>Garin Daoure 2</t>
        </is>
      </c>
      <c r="E139" s="221" t="inlineStr">
        <is>
          <t>Tibiri</t>
        </is>
      </c>
      <c r="F139" s="221" t="inlineStr">
        <is>
          <t>Control</t>
        </is>
      </c>
      <c r="G139" s="222" t="n">
        <v>2020</v>
      </c>
      <c r="H139" s="222" t="n">
        <v>2021</v>
      </c>
      <c r="I139" s="220" t="n">
        <v>0</v>
      </c>
      <c r="J139" s="220" t="n">
        <v>0</v>
      </c>
      <c r="K139" s="277" t="inlineStr">
        <is>
          <t>NA</t>
        </is>
      </c>
      <c r="L139" s="104" t="n">
        <v>0</v>
      </c>
      <c r="M139" s="36" t="n"/>
      <c r="N139" s="699" t="inlineStr">
        <is>
          <t>NR</t>
        </is>
      </c>
      <c r="O139" s="699" t="inlineStr">
        <is>
          <t>NR</t>
        </is>
      </c>
      <c r="P139" s="699" t="inlineStr">
        <is>
          <t>NR</t>
        </is>
      </c>
      <c r="Q139" s="216" t="inlineStr">
        <is>
          <t>NA</t>
        </is>
      </c>
      <c r="R139" s="216" t="inlineStr">
        <is>
          <t>NA</t>
        </is>
      </c>
      <c r="S139" s="216" t="inlineStr">
        <is>
          <t>NA</t>
        </is>
      </c>
      <c r="T139" s="216" t="inlineStr">
        <is>
          <t>NA</t>
        </is>
      </c>
      <c r="U139" s="216" t="inlineStr">
        <is>
          <t>NA</t>
        </is>
      </c>
      <c r="V139" s="35" t="inlineStr">
        <is>
          <t>2020-2021</t>
        </is>
      </c>
      <c r="W139" s="35" t="n"/>
      <c r="X139" s="35" t="n"/>
      <c r="Y139" s="35" t="n"/>
      <c r="Z139" s="35" t="n"/>
      <c r="AA139" s="35" t="n"/>
      <c r="AB139" s="35" t="n"/>
      <c r="AC139" s="35" t="n"/>
      <c r="AD139" s="35" t="n"/>
      <c r="AE139" s="35" t="n"/>
      <c r="AF139" s="35" t="n"/>
      <c r="AG139" s="35" t="n"/>
    </row>
    <row r="140">
      <c r="A140" s="212" t="n"/>
      <c r="B140" s="274" t="n"/>
      <c r="C140" s="275" t="n"/>
      <c r="D140" s="278" t="inlineStr">
        <is>
          <t>Maza Tsaye II</t>
        </is>
      </c>
      <c r="E140" s="212" t="inlineStr">
        <is>
          <t>Tibiri</t>
        </is>
      </c>
      <c r="F140" s="212" t="inlineStr">
        <is>
          <t>Control</t>
        </is>
      </c>
      <c r="G140" s="213" t="n">
        <v>2020</v>
      </c>
      <c r="H140" s="213" t="n">
        <v>2021</v>
      </c>
      <c r="I140" s="200" t="n">
        <v>0</v>
      </c>
      <c r="J140" s="200" t="n">
        <v>0</v>
      </c>
      <c r="K140" s="215" t="inlineStr">
        <is>
          <t>NA</t>
        </is>
      </c>
      <c r="L140" s="104" t="n">
        <v>0</v>
      </c>
      <c r="M140" s="36" t="n"/>
      <c r="N140" s="699" t="inlineStr">
        <is>
          <t>NR</t>
        </is>
      </c>
      <c r="O140" s="699" t="inlineStr">
        <is>
          <t>NR</t>
        </is>
      </c>
      <c r="P140" s="699" t="inlineStr">
        <is>
          <t>NR</t>
        </is>
      </c>
      <c r="Q140" s="216" t="inlineStr">
        <is>
          <t>NA</t>
        </is>
      </c>
      <c r="R140" s="216" t="inlineStr">
        <is>
          <t>NA</t>
        </is>
      </c>
      <c r="S140" s="216" t="inlineStr">
        <is>
          <t>NA</t>
        </is>
      </c>
      <c r="T140" s="216" t="inlineStr">
        <is>
          <t>NA</t>
        </is>
      </c>
      <c r="U140" s="216" t="inlineStr">
        <is>
          <t>NA</t>
        </is>
      </c>
      <c r="V140" s="35" t="inlineStr">
        <is>
          <t>2020-2021</t>
        </is>
      </c>
      <c r="W140" s="35" t="n"/>
      <c r="X140" s="35" t="n"/>
      <c r="Y140" s="35" t="n"/>
      <c r="Z140" s="35" t="n"/>
      <c r="AA140" s="35" t="n"/>
      <c r="AB140" s="35" t="n"/>
      <c r="AC140" s="35" t="n"/>
      <c r="AD140" s="35" t="n"/>
      <c r="AE140" s="35" t="n"/>
      <c r="AF140" s="35" t="n"/>
      <c r="AG140" s="35" t="n"/>
    </row>
    <row r="141">
      <c r="A141" s="221" t="n"/>
      <c r="B141" s="274" t="n"/>
      <c r="C141" s="275" t="n"/>
      <c r="D141" s="276" t="inlineStr">
        <is>
          <t>Basaraoua</t>
        </is>
      </c>
      <c r="E141" s="221" t="inlineStr">
        <is>
          <t>Djirataoua</t>
        </is>
      </c>
      <c r="F141" s="221" t="inlineStr">
        <is>
          <t>Control</t>
        </is>
      </c>
      <c r="G141" s="222" t="n">
        <v>2020</v>
      </c>
      <c r="H141" s="222" t="n">
        <v>2021</v>
      </c>
      <c r="I141" s="220" t="n">
        <v>0</v>
      </c>
      <c r="J141" s="220" t="n">
        <v>0</v>
      </c>
      <c r="K141" s="277" t="inlineStr">
        <is>
          <t>NA</t>
        </is>
      </c>
      <c r="L141" s="104" t="n">
        <v>0</v>
      </c>
      <c r="M141" s="36" t="n"/>
      <c r="N141" s="699" t="inlineStr">
        <is>
          <t>NR</t>
        </is>
      </c>
      <c r="O141" s="699" t="inlineStr">
        <is>
          <t>NR</t>
        </is>
      </c>
      <c r="P141" s="699" t="inlineStr">
        <is>
          <t>NR</t>
        </is>
      </c>
      <c r="Q141" s="216" t="inlineStr">
        <is>
          <t>NA</t>
        </is>
      </c>
      <c r="R141" s="216" t="inlineStr">
        <is>
          <t>NA</t>
        </is>
      </c>
      <c r="S141" s="216" t="inlineStr">
        <is>
          <t>NA</t>
        </is>
      </c>
      <c r="T141" s="216" t="inlineStr">
        <is>
          <t>NA</t>
        </is>
      </c>
      <c r="U141" s="216" t="inlineStr">
        <is>
          <t>NA</t>
        </is>
      </c>
      <c r="V141" s="35" t="inlineStr">
        <is>
          <t>2020-2021</t>
        </is>
      </c>
      <c r="W141" s="35" t="n"/>
      <c r="X141" s="35" t="n"/>
      <c r="Y141" s="35" t="n"/>
      <c r="Z141" s="35" t="n"/>
      <c r="AA141" s="35" t="n"/>
      <c r="AB141" s="35" t="n"/>
      <c r="AC141" s="35" t="n"/>
      <c r="AD141" s="35" t="n"/>
      <c r="AE141" s="35" t="n"/>
      <c r="AF141" s="35" t="n"/>
      <c r="AG141" s="35" t="n"/>
    </row>
    <row r="142">
      <c r="A142" s="212" t="n"/>
      <c r="B142" s="274" t="n"/>
      <c r="C142" s="275" t="n"/>
      <c r="D142" s="278" t="inlineStr">
        <is>
          <t>Galadantchi</t>
        </is>
      </c>
      <c r="E142" s="212" t="inlineStr">
        <is>
          <t>Djirataoua</t>
        </is>
      </c>
      <c r="F142" s="212" t="inlineStr">
        <is>
          <t>Control</t>
        </is>
      </c>
      <c r="G142" s="213" t="n">
        <v>2020</v>
      </c>
      <c r="H142" s="213" t="n">
        <v>2021</v>
      </c>
      <c r="I142" s="200" t="n">
        <v>0</v>
      </c>
      <c r="J142" s="200" t="n">
        <v>0</v>
      </c>
      <c r="K142" s="215" t="inlineStr">
        <is>
          <t>NA</t>
        </is>
      </c>
      <c r="L142" s="104" t="n">
        <v>0</v>
      </c>
      <c r="M142" s="36" t="n"/>
      <c r="N142" s="699" t="inlineStr">
        <is>
          <t>NR</t>
        </is>
      </c>
      <c r="O142" s="699" t="inlineStr">
        <is>
          <t>NR</t>
        </is>
      </c>
      <c r="P142" s="699" t="inlineStr">
        <is>
          <t>NR</t>
        </is>
      </c>
      <c r="Q142" s="216" t="inlineStr">
        <is>
          <t>NA</t>
        </is>
      </c>
      <c r="R142" s="216" t="inlineStr">
        <is>
          <t>NA</t>
        </is>
      </c>
      <c r="S142" s="216" t="inlineStr">
        <is>
          <t>NA</t>
        </is>
      </c>
      <c r="T142" s="216" t="inlineStr">
        <is>
          <t>NA</t>
        </is>
      </c>
      <c r="U142" s="216" t="inlineStr">
        <is>
          <t>NA</t>
        </is>
      </c>
      <c r="V142" s="35" t="inlineStr">
        <is>
          <t>2020-2021</t>
        </is>
      </c>
      <c r="W142" s="35" t="n"/>
      <c r="X142" s="35" t="n"/>
      <c r="Y142" s="35" t="n"/>
      <c r="Z142" s="35" t="n"/>
      <c r="AA142" s="35" t="n"/>
      <c r="AB142" s="35" t="n"/>
      <c r="AC142" s="35" t="n"/>
      <c r="AD142" s="35" t="n"/>
      <c r="AE142" s="35" t="n"/>
      <c r="AF142" s="35" t="n"/>
      <c r="AG142" s="35" t="n"/>
    </row>
    <row r="143">
      <c r="A143" s="221" t="n"/>
      <c r="B143" s="274" t="n"/>
      <c r="C143" s="275" t="n"/>
      <c r="D143" s="276" t="inlineStr">
        <is>
          <t>Na Maroua</t>
        </is>
      </c>
      <c r="E143" s="221" t="inlineStr">
        <is>
          <t>Djirataoua</t>
        </is>
      </c>
      <c r="F143" s="221" t="inlineStr">
        <is>
          <t>Intervention</t>
        </is>
      </c>
      <c r="G143" s="222" t="n">
        <v>2020</v>
      </c>
      <c r="H143" s="222" t="n">
        <v>2021</v>
      </c>
      <c r="I143" s="220" t="n">
        <v>0</v>
      </c>
      <c r="J143" s="220" t="n">
        <v>0</v>
      </c>
      <c r="K143" s="277" t="inlineStr">
        <is>
          <t>NA</t>
        </is>
      </c>
      <c r="L143" s="104" t="n">
        <v>0</v>
      </c>
      <c r="M143" s="36" t="n"/>
      <c r="N143" s="699" t="inlineStr">
        <is>
          <t>NR</t>
        </is>
      </c>
      <c r="O143" s="699" t="inlineStr">
        <is>
          <t>NR</t>
        </is>
      </c>
      <c r="P143" s="699" t="inlineStr">
        <is>
          <t>NR</t>
        </is>
      </c>
      <c r="Q143" s="216" t="inlineStr">
        <is>
          <t>NA</t>
        </is>
      </c>
      <c r="R143" s="216" t="inlineStr">
        <is>
          <t>NA</t>
        </is>
      </c>
      <c r="S143" s="216" t="inlineStr">
        <is>
          <t>NA</t>
        </is>
      </c>
      <c r="T143" s="216" t="inlineStr">
        <is>
          <t>NA</t>
        </is>
      </c>
      <c r="U143" s="216" t="inlineStr">
        <is>
          <t>NA</t>
        </is>
      </c>
      <c r="V143" s="35" t="inlineStr">
        <is>
          <t>2020-2021</t>
        </is>
      </c>
      <c r="W143" s="35" t="n"/>
      <c r="X143" s="35" t="n"/>
      <c r="Y143" s="35" t="n"/>
      <c r="Z143" s="35" t="n"/>
      <c r="AA143" s="35" t="n"/>
      <c r="AB143" s="35" t="n"/>
      <c r="AC143" s="35" t="n"/>
      <c r="AD143" s="35" t="n"/>
      <c r="AE143" s="35" t="n"/>
      <c r="AF143" s="35" t="n"/>
      <c r="AG143" s="35" t="n"/>
    </row>
    <row r="144">
      <c r="A144" s="212" t="n"/>
      <c r="B144" s="274" t="n"/>
      <c r="C144" s="275" t="n"/>
      <c r="D144" s="278" t="inlineStr">
        <is>
          <t>Danja 1</t>
        </is>
      </c>
      <c r="E144" s="212" t="inlineStr">
        <is>
          <t>Djirataoua</t>
        </is>
      </c>
      <c r="F144" s="212" t="inlineStr">
        <is>
          <t>Intervention</t>
        </is>
      </c>
      <c r="G144" s="213" t="n">
        <v>2020</v>
      </c>
      <c r="H144" s="213" t="n">
        <v>2021</v>
      </c>
      <c r="I144" s="200" t="n">
        <v>0</v>
      </c>
      <c r="J144" s="200" t="n">
        <v>0</v>
      </c>
      <c r="K144" s="215" t="inlineStr">
        <is>
          <t>NA</t>
        </is>
      </c>
      <c r="L144" s="104" t="n">
        <v>0</v>
      </c>
      <c r="M144" s="36" t="n"/>
      <c r="N144" s="699" t="inlineStr">
        <is>
          <t>NR</t>
        </is>
      </c>
      <c r="O144" s="699" t="inlineStr">
        <is>
          <t>NR</t>
        </is>
      </c>
      <c r="P144" s="699" t="inlineStr">
        <is>
          <t>NR</t>
        </is>
      </c>
      <c r="Q144" s="216" t="inlineStr">
        <is>
          <t>NA</t>
        </is>
      </c>
      <c r="R144" s="216" t="inlineStr">
        <is>
          <t>NA</t>
        </is>
      </c>
      <c r="S144" s="216" t="inlineStr">
        <is>
          <t>NA</t>
        </is>
      </c>
      <c r="T144" s="216" t="inlineStr">
        <is>
          <t>NA</t>
        </is>
      </c>
      <c r="U144" s="216" t="inlineStr">
        <is>
          <t>NA</t>
        </is>
      </c>
      <c r="V144" s="35" t="inlineStr">
        <is>
          <t>2020-2021</t>
        </is>
      </c>
      <c r="W144" s="35" t="n"/>
      <c r="X144" s="35" t="n"/>
      <c r="Y144" s="35" t="n"/>
      <c r="Z144" s="35" t="n"/>
      <c r="AA144" s="35" t="n"/>
      <c r="AB144" s="35" t="n"/>
      <c r="AC144" s="35" t="n"/>
      <c r="AD144" s="35" t="n"/>
      <c r="AE144" s="35" t="n"/>
      <c r="AF144" s="35" t="n"/>
      <c r="AG144" s="35" t="n"/>
    </row>
    <row r="145">
      <c r="A145" s="221" t="n"/>
      <c r="B145" s="279" t="n">
        <v>1</v>
      </c>
      <c r="C145" s="219" t="n">
        <v>47</v>
      </c>
      <c r="D145" s="276" t="inlineStr">
        <is>
          <t>Atchidakofotato Bilingue</t>
        </is>
      </c>
      <c r="E145" s="221" t="inlineStr">
        <is>
          <t>Djirataoua</t>
        </is>
      </c>
      <c r="F145" s="221" t="inlineStr">
        <is>
          <t>Intervention</t>
        </is>
      </c>
      <c r="G145" s="222" t="n">
        <v>2020</v>
      </c>
      <c r="H145" s="222" t="n">
        <v>2021</v>
      </c>
      <c r="I145" s="220" t="n">
        <v>0</v>
      </c>
      <c r="J145" s="220" t="n">
        <v>0</v>
      </c>
      <c r="K145" s="277" t="inlineStr">
        <is>
          <t>NA</t>
        </is>
      </c>
      <c r="L145" s="104" t="n">
        <v>0</v>
      </c>
      <c r="M145" s="36" t="n"/>
      <c r="N145" s="699" t="inlineStr">
        <is>
          <t>NR</t>
        </is>
      </c>
      <c r="O145" s="699" t="inlineStr">
        <is>
          <t>NR</t>
        </is>
      </c>
      <c r="P145" s="699" t="inlineStr">
        <is>
          <t>NR</t>
        </is>
      </c>
      <c r="Q145" s="216" t="inlineStr">
        <is>
          <t>NA</t>
        </is>
      </c>
      <c r="R145" s="216" t="inlineStr">
        <is>
          <t>NA</t>
        </is>
      </c>
      <c r="S145" s="216" t="inlineStr">
        <is>
          <t>NA</t>
        </is>
      </c>
      <c r="T145" s="216" t="inlineStr">
        <is>
          <t>NA</t>
        </is>
      </c>
      <c r="U145" s="216" t="inlineStr">
        <is>
          <t>NA</t>
        </is>
      </c>
      <c r="V145" s="35" t="inlineStr">
        <is>
          <t>2020-2021</t>
        </is>
      </c>
      <c r="W145" s="35" t="n"/>
      <c r="X145" s="35" t="n"/>
      <c r="Y145" s="35" t="n"/>
      <c r="Z145" s="35" t="n"/>
      <c r="AA145" s="35" t="n"/>
      <c r="AB145" s="35" t="n"/>
      <c r="AC145" s="35" t="n"/>
      <c r="AD145" s="35" t="n"/>
      <c r="AE145" s="35" t="n"/>
      <c r="AF145" s="35" t="n"/>
      <c r="AG145" s="35" t="n"/>
    </row>
    <row r="146">
      <c r="A146" s="212" t="n"/>
      <c r="C146" s="211" t="n">
        <v>78</v>
      </c>
      <c r="D146" s="278" t="inlineStr">
        <is>
          <t>Kantagora Goussaoua</t>
        </is>
      </c>
      <c r="E146" s="212" t="inlineStr">
        <is>
          <t>Djirataoua</t>
        </is>
      </c>
      <c r="F146" s="212" t="inlineStr">
        <is>
          <t>Control</t>
        </is>
      </c>
      <c r="G146" s="213" t="n">
        <v>2020</v>
      </c>
      <c r="H146" s="213" t="n">
        <v>2021</v>
      </c>
      <c r="I146" s="200" t="n">
        <v>0</v>
      </c>
      <c r="J146" s="200" t="n">
        <v>0</v>
      </c>
      <c r="K146" s="215" t="inlineStr">
        <is>
          <t>NA</t>
        </is>
      </c>
      <c r="L146" s="104" t="n">
        <v>0</v>
      </c>
      <c r="M146" s="36" t="n"/>
      <c r="N146" s="699" t="inlineStr">
        <is>
          <t>NR</t>
        </is>
      </c>
      <c r="O146" s="699" t="inlineStr">
        <is>
          <t>NR</t>
        </is>
      </c>
      <c r="P146" s="699" t="inlineStr">
        <is>
          <t>NR</t>
        </is>
      </c>
      <c r="Q146" s="216" t="inlineStr">
        <is>
          <t>NA</t>
        </is>
      </c>
      <c r="R146" s="216" t="inlineStr">
        <is>
          <t>NA</t>
        </is>
      </c>
      <c r="S146" s="216" t="inlineStr">
        <is>
          <t>NA</t>
        </is>
      </c>
      <c r="T146" s="216" t="inlineStr">
        <is>
          <t>NA</t>
        </is>
      </c>
      <c r="U146" s="216" t="inlineStr">
        <is>
          <t>NA</t>
        </is>
      </c>
      <c r="V146" s="35" t="inlineStr">
        <is>
          <t>2020-2021</t>
        </is>
      </c>
      <c r="W146" s="35" t="n"/>
      <c r="X146" s="35" t="n"/>
      <c r="Y146" s="35" t="n"/>
      <c r="Z146" s="35" t="n"/>
      <c r="AA146" s="35" t="n"/>
      <c r="AB146" s="35" t="n"/>
      <c r="AC146" s="35" t="n"/>
      <c r="AD146" s="35" t="n"/>
      <c r="AE146" s="35" t="n"/>
      <c r="AF146" s="35" t="n"/>
      <c r="AG146" s="35" t="n"/>
    </row>
    <row r="147">
      <c r="A147" s="221" t="n"/>
      <c r="B147" s="279" t="n">
        <v>2</v>
      </c>
      <c r="C147" s="219" t="n">
        <v>59</v>
      </c>
      <c r="D147" s="276" t="inlineStr">
        <is>
          <t>Tchikadji Quartier</t>
        </is>
      </c>
      <c r="E147" s="221" t="inlineStr">
        <is>
          <t>Safo</t>
        </is>
      </c>
      <c r="F147" s="221" t="inlineStr">
        <is>
          <t>Intervention</t>
        </is>
      </c>
      <c r="G147" s="222" t="n">
        <v>2020</v>
      </c>
      <c r="H147" s="222" t="n">
        <v>2021</v>
      </c>
      <c r="I147" s="220" t="n">
        <v>0</v>
      </c>
      <c r="J147" s="220" t="n">
        <v>0</v>
      </c>
      <c r="K147" s="104" t="inlineStr">
        <is>
          <t>NR</t>
        </is>
      </c>
      <c r="L147" s="104" t="inlineStr">
        <is>
          <t>NR</t>
        </is>
      </c>
      <c r="M147" s="105" t="inlineStr">
        <is>
          <t>NR</t>
        </is>
      </c>
      <c r="N147" s="699" t="inlineStr">
        <is>
          <t>NR</t>
        </is>
      </c>
      <c r="O147" s="699" t="inlineStr">
        <is>
          <t>NR</t>
        </is>
      </c>
      <c r="P147" s="699" t="inlineStr">
        <is>
          <t>NR</t>
        </is>
      </c>
      <c r="Q147" s="216" t="inlineStr">
        <is>
          <t>NA</t>
        </is>
      </c>
      <c r="R147" s="216" t="inlineStr">
        <is>
          <t>NA</t>
        </is>
      </c>
      <c r="S147" s="216" t="inlineStr">
        <is>
          <t>NA</t>
        </is>
      </c>
      <c r="T147" s="216" t="inlineStr">
        <is>
          <t>NA</t>
        </is>
      </c>
      <c r="U147" s="105" t="inlineStr">
        <is>
          <t>NR</t>
        </is>
      </c>
      <c r="V147" s="35" t="inlineStr">
        <is>
          <t>2020-2021</t>
        </is>
      </c>
      <c r="W147" s="35" t="n"/>
      <c r="X147" s="35" t="n"/>
      <c r="Y147" s="35" t="n"/>
      <c r="Z147" s="35" t="n"/>
      <c r="AA147" s="35" t="n"/>
      <c r="AB147" s="35" t="n"/>
      <c r="AC147" s="35" t="n"/>
      <c r="AD147" s="35" t="n"/>
      <c r="AE147" s="35" t="n"/>
      <c r="AF147" s="35" t="n"/>
      <c r="AG147" s="35" t="n"/>
    </row>
    <row r="148">
      <c r="A148" s="212" t="n"/>
      <c r="C148" s="211" t="n">
        <v>79</v>
      </c>
      <c r="D148" s="278" t="inlineStr">
        <is>
          <t>Soumarana</t>
        </is>
      </c>
      <c r="E148" s="212" t="inlineStr">
        <is>
          <t>Safo</t>
        </is>
      </c>
      <c r="F148" s="212" t="inlineStr">
        <is>
          <t>Control</t>
        </is>
      </c>
      <c r="G148" s="213" t="n">
        <v>2020</v>
      </c>
      <c r="H148" s="213" t="n">
        <v>2021</v>
      </c>
      <c r="I148" s="200" t="n">
        <v>0</v>
      </c>
      <c r="J148" s="200" t="n">
        <v>0</v>
      </c>
      <c r="K148" s="224" t="inlineStr">
        <is>
          <t>NR</t>
        </is>
      </c>
      <c r="L148" s="224" t="inlineStr">
        <is>
          <t>NR</t>
        </is>
      </c>
      <c r="M148" s="105" t="inlineStr">
        <is>
          <t>NR</t>
        </is>
      </c>
      <c r="N148" s="699" t="inlineStr">
        <is>
          <t>NR</t>
        </is>
      </c>
      <c r="O148" s="699" t="inlineStr">
        <is>
          <t>NR</t>
        </is>
      </c>
      <c r="P148" s="699" t="inlineStr">
        <is>
          <t>NR</t>
        </is>
      </c>
      <c r="Q148" s="216" t="inlineStr">
        <is>
          <t>NA</t>
        </is>
      </c>
      <c r="R148" s="216" t="inlineStr">
        <is>
          <t>NA</t>
        </is>
      </c>
      <c r="S148" s="216" t="inlineStr">
        <is>
          <t>NA</t>
        </is>
      </c>
      <c r="T148" s="216" t="inlineStr">
        <is>
          <t>NA</t>
        </is>
      </c>
      <c r="U148" s="105" t="inlineStr">
        <is>
          <t>NR</t>
        </is>
      </c>
      <c r="V148" s="35" t="inlineStr">
        <is>
          <t>2020-2021</t>
        </is>
      </c>
      <c r="W148" s="35" t="n"/>
      <c r="X148" s="35" t="n"/>
      <c r="Y148" s="35" t="n"/>
      <c r="Z148" s="35" t="n"/>
      <c r="AA148" s="35" t="n"/>
      <c r="AB148" s="35" t="n"/>
      <c r="AC148" s="35" t="n"/>
      <c r="AD148" s="35" t="n"/>
      <c r="AE148" s="35" t="n"/>
      <c r="AF148" s="35" t="n"/>
      <c r="AG148" s="35" t="n"/>
    </row>
    <row r="149">
      <c r="A149" s="221" t="n"/>
      <c r="B149" s="279" t="n">
        <v>3</v>
      </c>
      <c r="C149" s="219" t="n">
        <v>55</v>
      </c>
      <c r="D149" s="276" t="inlineStr">
        <is>
          <t>Safo Dan Ali</t>
        </is>
      </c>
      <c r="E149" s="221" t="inlineStr">
        <is>
          <t>Safo</t>
        </is>
      </c>
      <c r="F149" s="221" t="inlineStr">
        <is>
          <t>Intervention</t>
        </is>
      </c>
      <c r="G149" s="222" t="n">
        <v>2020</v>
      </c>
      <c r="H149" s="222" t="n">
        <v>2021</v>
      </c>
      <c r="I149" s="220" t="n">
        <v>0</v>
      </c>
      <c r="J149" s="220" t="n">
        <v>0</v>
      </c>
      <c r="K149" s="104" t="inlineStr">
        <is>
          <t>NR</t>
        </is>
      </c>
      <c r="L149" s="104" t="inlineStr">
        <is>
          <t>NR</t>
        </is>
      </c>
      <c r="M149" s="105" t="inlineStr">
        <is>
          <t>NR</t>
        </is>
      </c>
      <c r="N149" s="699" t="inlineStr">
        <is>
          <t>NR</t>
        </is>
      </c>
      <c r="O149" s="699" t="inlineStr">
        <is>
          <t>NR</t>
        </is>
      </c>
      <c r="P149" s="699" t="inlineStr">
        <is>
          <t>NR</t>
        </is>
      </c>
      <c r="Q149" s="216" t="inlineStr">
        <is>
          <t>NA</t>
        </is>
      </c>
      <c r="R149" s="216" t="inlineStr">
        <is>
          <t>NA</t>
        </is>
      </c>
      <c r="S149" s="216" t="inlineStr">
        <is>
          <t>NA</t>
        </is>
      </c>
      <c r="T149" s="216" t="inlineStr">
        <is>
          <t>NA</t>
        </is>
      </c>
      <c r="U149" s="105" t="inlineStr">
        <is>
          <t>NR</t>
        </is>
      </c>
      <c r="V149" s="35" t="inlineStr">
        <is>
          <t>2020-2021</t>
        </is>
      </c>
      <c r="W149" s="35" t="n"/>
      <c r="X149" s="35" t="n"/>
      <c r="Y149" s="35" t="n"/>
      <c r="Z149" s="35" t="n"/>
      <c r="AA149" s="35" t="n"/>
      <c r="AB149" s="35" t="n"/>
      <c r="AC149" s="35" t="n"/>
      <c r="AD149" s="35" t="n"/>
      <c r="AE149" s="35" t="n"/>
      <c r="AF149" s="35" t="n"/>
      <c r="AG149" s="35" t="n"/>
    </row>
    <row r="150">
      <c r="A150" s="212" t="n"/>
      <c r="C150" s="211" t="n">
        <v>80</v>
      </c>
      <c r="D150" s="278" t="inlineStr">
        <is>
          <t>Safo Chadawa</t>
        </is>
      </c>
      <c r="E150" s="212" t="inlineStr">
        <is>
          <t>Safo</t>
        </is>
      </c>
      <c r="F150" s="212" t="inlineStr">
        <is>
          <t>Control</t>
        </is>
      </c>
      <c r="G150" s="213" t="n">
        <v>2020</v>
      </c>
      <c r="H150" s="213" t="n">
        <v>2021</v>
      </c>
      <c r="I150" s="200" t="n">
        <v>0</v>
      </c>
      <c r="J150" s="200" t="n">
        <v>0</v>
      </c>
      <c r="K150" s="224" t="inlineStr">
        <is>
          <t>NR</t>
        </is>
      </c>
      <c r="L150" s="224" t="inlineStr">
        <is>
          <t>NR</t>
        </is>
      </c>
      <c r="M150" s="105" t="inlineStr">
        <is>
          <t>NR</t>
        </is>
      </c>
      <c r="N150" s="699" t="inlineStr">
        <is>
          <t>NR</t>
        </is>
      </c>
      <c r="O150" s="699" t="inlineStr">
        <is>
          <t>NR</t>
        </is>
      </c>
      <c r="P150" s="699" t="inlineStr">
        <is>
          <t>NR</t>
        </is>
      </c>
      <c r="Q150" s="216" t="inlineStr">
        <is>
          <t>NA</t>
        </is>
      </c>
      <c r="R150" s="216" t="inlineStr">
        <is>
          <t>NA</t>
        </is>
      </c>
      <c r="S150" s="216" t="inlineStr">
        <is>
          <t>NA</t>
        </is>
      </c>
      <c r="T150" s="216" t="inlineStr">
        <is>
          <t>NA</t>
        </is>
      </c>
      <c r="U150" s="105" t="inlineStr">
        <is>
          <t>NR</t>
        </is>
      </c>
      <c r="V150" s="35" t="inlineStr">
        <is>
          <t>2020-2021</t>
        </is>
      </c>
      <c r="W150" s="35" t="n"/>
      <c r="X150" s="35" t="n"/>
      <c r="Y150" s="35" t="n"/>
      <c r="Z150" s="35" t="n"/>
      <c r="AA150" s="35" t="n"/>
      <c r="AB150" s="35" t="n"/>
      <c r="AC150" s="35" t="n"/>
      <c r="AD150" s="35" t="n"/>
      <c r="AE150" s="35" t="n"/>
      <c r="AF150" s="35" t="n"/>
      <c r="AG150" s="35" t="n"/>
    </row>
    <row r="151">
      <c r="A151" s="221" t="n"/>
      <c r="B151" s="279" t="n">
        <v>4</v>
      </c>
      <c r="C151" s="219" t="n">
        <v>54</v>
      </c>
      <c r="D151" s="276" t="inlineStr">
        <is>
          <t>El Mougou</t>
        </is>
      </c>
      <c r="E151" s="221" t="inlineStr">
        <is>
          <t>Safo</t>
        </is>
      </c>
      <c r="F151" s="221" t="inlineStr">
        <is>
          <t>Intervention</t>
        </is>
      </c>
      <c r="G151" s="222" t="n">
        <v>2020</v>
      </c>
      <c r="H151" s="222" t="n">
        <v>2021</v>
      </c>
      <c r="I151" s="220" t="n">
        <v>0</v>
      </c>
      <c r="J151" s="220" t="n">
        <v>0</v>
      </c>
      <c r="K151" s="104" t="inlineStr">
        <is>
          <t>NR</t>
        </is>
      </c>
      <c r="L151" s="104" t="inlineStr">
        <is>
          <t>NR</t>
        </is>
      </c>
      <c r="M151" s="105" t="inlineStr">
        <is>
          <t>NR</t>
        </is>
      </c>
      <c r="N151" s="699" t="inlineStr">
        <is>
          <t>NR</t>
        </is>
      </c>
      <c r="O151" s="699" t="inlineStr">
        <is>
          <t>NR</t>
        </is>
      </c>
      <c r="P151" s="699" t="inlineStr">
        <is>
          <t>NR</t>
        </is>
      </c>
      <c r="Q151" s="216" t="inlineStr">
        <is>
          <t>NA</t>
        </is>
      </c>
      <c r="R151" s="216" t="inlineStr">
        <is>
          <t>NA</t>
        </is>
      </c>
      <c r="S151" s="216" t="inlineStr">
        <is>
          <t>NA</t>
        </is>
      </c>
      <c r="T151" s="216" t="inlineStr">
        <is>
          <t>NA</t>
        </is>
      </c>
      <c r="U151" s="105" t="inlineStr">
        <is>
          <t>NR</t>
        </is>
      </c>
      <c r="V151" s="35" t="inlineStr">
        <is>
          <t>2020-2021</t>
        </is>
      </c>
      <c r="W151" s="35" t="n"/>
      <c r="X151" s="35" t="n"/>
      <c r="Y151" s="35" t="n"/>
      <c r="Z151" s="35" t="n"/>
      <c r="AA151" s="35" t="n"/>
      <c r="AB151" s="35" t="n"/>
      <c r="AC151" s="35" t="n"/>
      <c r="AD151" s="35" t="n"/>
      <c r="AE151" s="35" t="n"/>
      <c r="AF151" s="35" t="n"/>
      <c r="AG151" s="35" t="n"/>
    </row>
    <row r="152">
      <c r="A152" s="212" t="n"/>
      <c r="C152" s="211" t="n">
        <v>81</v>
      </c>
      <c r="D152" s="278" t="inlineStr">
        <is>
          <t>Gade</t>
        </is>
      </c>
      <c r="E152" s="212" t="inlineStr">
        <is>
          <t>Safo</t>
        </is>
      </c>
      <c r="F152" s="212" t="inlineStr">
        <is>
          <t>Control</t>
        </is>
      </c>
      <c r="G152" s="213" t="n">
        <v>2020</v>
      </c>
      <c r="H152" s="213" t="n">
        <v>2021</v>
      </c>
      <c r="I152" s="200" t="n">
        <v>0</v>
      </c>
      <c r="J152" s="200" t="n">
        <v>0</v>
      </c>
      <c r="K152" s="224" t="inlineStr">
        <is>
          <t>NR</t>
        </is>
      </c>
      <c r="L152" s="224" t="inlineStr">
        <is>
          <t>NR</t>
        </is>
      </c>
      <c r="M152" s="105" t="inlineStr">
        <is>
          <t>NR</t>
        </is>
      </c>
      <c r="N152" s="699" t="inlineStr">
        <is>
          <t>NR</t>
        </is>
      </c>
      <c r="O152" s="699" t="inlineStr">
        <is>
          <t>NR</t>
        </is>
      </c>
      <c r="P152" s="699" t="inlineStr">
        <is>
          <t>NR</t>
        </is>
      </c>
      <c r="Q152" s="216" t="inlineStr">
        <is>
          <t>NA</t>
        </is>
      </c>
      <c r="R152" s="216" t="inlineStr">
        <is>
          <t>NA</t>
        </is>
      </c>
      <c r="S152" s="216" t="inlineStr">
        <is>
          <t>NA</t>
        </is>
      </c>
      <c r="T152" s="216" t="inlineStr">
        <is>
          <t>NA</t>
        </is>
      </c>
      <c r="U152" s="105" t="inlineStr">
        <is>
          <t>NR</t>
        </is>
      </c>
      <c r="V152" s="35" t="inlineStr">
        <is>
          <t>2020-2021</t>
        </is>
      </c>
      <c r="W152" s="35" t="n"/>
      <c r="X152" s="35" t="n"/>
      <c r="Y152" s="35" t="n"/>
      <c r="Z152" s="35" t="n"/>
      <c r="AA152" s="35" t="n"/>
      <c r="AB152" s="35" t="n"/>
      <c r="AC152" s="35" t="n"/>
      <c r="AD152" s="35" t="n"/>
      <c r="AE152" s="35" t="n"/>
      <c r="AF152" s="35" t="n"/>
      <c r="AG152" s="35" t="n"/>
    </row>
    <row r="153">
      <c r="A153" s="221" t="n"/>
      <c r="B153" s="279" t="n">
        <v>5</v>
      </c>
      <c r="C153" s="219" t="n">
        <v>58</v>
      </c>
      <c r="D153" s="276" t="inlineStr">
        <is>
          <t>Tarna</t>
        </is>
      </c>
      <c r="E153" s="221" t="inlineStr">
        <is>
          <t>Safo</t>
        </is>
      </c>
      <c r="F153" s="221" t="inlineStr">
        <is>
          <t>Intervention</t>
        </is>
      </c>
      <c r="G153" s="222" t="n">
        <v>2020</v>
      </c>
      <c r="H153" s="222" t="n">
        <v>2021</v>
      </c>
      <c r="I153" s="220" t="n">
        <v>0</v>
      </c>
      <c r="J153" s="220" t="n">
        <v>0</v>
      </c>
      <c r="K153" s="104" t="inlineStr">
        <is>
          <t>NR</t>
        </is>
      </c>
      <c r="L153" s="104" t="inlineStr">
        <is>
          <t>NR</t>
        </is>
      </c>
      <c r="M153" s="105" t="inlineStr">
        <is>
          <t>NR</t>
        </is>
      </c>
      <c r="N153" s="699" t="inlineStr">
        <is>
          <t>NR</t>
        </is>
      </c>
      <c r="O153" s="699" t="inlineStr">
        <is>
          <t>NR</t>
        </is>
      </c>
      <c r="P153" s="699" t="inlineStr">
        <is>
          <t>NR</t>
        </is>
      </c>
      <c r="Q153" s="216" t="inlineStr">
        <is>
          <t>NA</t>
        </is>
      </c>
      <c r="R153" s="216" t="inlineStr">
        <is>
          <t>NA</t>
        </is>
      </c>
      <c r="S153" s="216" t="inlineStr">
        <is>
          <t>NA</t>
        </is>
      </c>
      <c r="T153" s="216" t="inlineStr">
        <is>
          <t>NA</t>
        </is>
      </c>
      <c r="U153" s="105" t="inlineStr">
        <is>
          <t>NR</t>
        </is>
      </c>
      <c r="V153" s="35" t="inlineStr">
        <is>
          <t>2020-2021</t>
        </is>
      </c>
      <c r="W153" s="35" t="n"/>
      <c r="X153" s="35" t="n"/>
      <c r="Y153" s="35" t="n"/>
      <c r="Z153" s="35" t="n"/>
      <c r="AA153" s="35" t="n"/>
      <c r="AB153" s="35" t="n"/>
      <c r="AC153" s="35" t="n"/>
      <c r="AD153" s="35" t="n"/>
      <c r="AE153" s="35" t="n"/>
      <c r="AF153" s="35" t="n"/>
      <c r="AG153" s="35" t="n"/>
    </row>
    <row r="154">
      <c r="A154" s="212" t="n"/>
      <c r="C154" s="211" t="n">
        <v>82</v>
      </c>
      <c r="D154" s="278" t="inlineStr">
        <is>
          <t>Radi Centre 1</t>
        </is>
      </c>
      <c r="E154" s="212" t="inlineStr">
        <is>
          <t>Safo</t>
        </is>
      </c>
      <c r="F154" s="212" t="inlineStr">
        <is>
          <t>Control</t>
        </is>
      </c>
      <c r="G154" s="213" t="n">
        <v>2020</v>
      </c>
      <c r="H154" s="213" t="n">
        <v>2021</v>
      </c>
      <c r="I154" s="200" t="n">
        <v>0</v>
      </c>
      <c r="J154" s="200" t="n">
        <v>0</v>
      </c>
      <c r="K154" s="224" t="inlineStr">
        <is>
          <t>NR</t>
        </is>
      </c>
      <c r="L154" s="224" t="inlineStr">
        <is>
          <t>NR</t>
        </is>
      </c>
      <c r="M154" s="105" t="inlineStr">
        <is>
          <t>NR</t>
        </is>
      </c>
      <c r="N154" s="699" t="inlineStr">
        <is>
          <t>NR</t>
        </is>
      </c>
      <c r="O154" s="699" t="inlineStr">
        <is>
          <t>NR</t>
        </is>
      </c>
      <c r="P154" s="699" t="inlineStr">
        <is>
          <t>NR</t>
        </is>
      </c>
      <c r="Q154" s="216" t="inlineStr">
        <is>
          <t>NA</t>
        </is>
      </c>
      <c r="R154" s="216" t="inlineStr">
        <is>
          <t>NA</t>
        </is>
      </c>
      <c r="S154" s="216" t="inlineStr">
        <is>
          <t>NA</t>
        </is>
      </c>
      <c r="T154" s="216" t="inlineStr">
        <is>
          <t>NA</t>
        </is>
      </c>
      <c r="U154" s="105" t="inlineStr">
        <is>
          <t>NR</t>
        </is>
      </c>
      <c r="V154" s="35" t="inlineStr">
        <is>
          <t>2020-2021</t>
        </is>
      </c>
      <c r="W154" s="35" t="n"/>
      <c r="X154" s="35" t="n"/>
      <c r="Y154" s="35" t="n"/>
      <c r="Z154" s="35" t="n"/>
      <c r="AA154" s="35" t="n"/>
      <c r="AB154" s="35" t="n"/>
      <c r="AC154" s="35" t="n"/>
      <c r="AD154" s="35" t="n"/>
      <c r="AE154" s="35" t="n"/>
      <c r="AF154" s="35" t="n"/>
      <c r="AG154" s="35" t="n"/>
    </row>
    <row r="155">
      <c r="A155" s="221" t="n"/>
      <c r="B155" s="279" t="n">
        <v>6</v>
      </c>
      <c r="C155" s="219" t="n">
        <v>57</v>
      </c>
      <c r="D155" s="276" t="inlineStr">
        <is>
          <t>Maradou Quartier</t>
        </is>
      </c>
      <c r="E155" s="221" t="inlineStr">
        <is>
          <t>Safo</t>
        </is>
      </c>
      <c r="F155" s="221" t="inlineStr">
        <is>
          <t>Intervention</t>
        </is>
      </c>
      <c r="G155" s="222" t="n">
        <v>2020</v>
      </c>
      <c r="H155" s="222" t="n">
        <v>2021</v>
      </c>
      <c r="I155" s="220" t="n">
        <v>0</v>
      </c>
      <c r="J155" s="220" t="n">
        <v>0</v>
      </c>
      <c r="K155" s="104" t="inlineStr">
        <is>
          <t>NR</t>
        </is>
      </c>
      <c r="L155" s="104" t="inlineStr">
        <is>
          <t>NR</t>
        </is>
      </c>
      <c r="M155" s="105" t="inlineStr">
        <is>
          <t>NR</t>
        </is>
      </c>
      <c r="N155" s="699" t="inlineStr">
        <is>
          <t>NR</t>
        </is>
      </c>
      <c r="O155" s="699" t="inlineStr">
        <is>
          <t>NR</t>
        </is>
      </c>
      <c r="P155" s="699" t="inlineStr">
        <is>
          <t>NR</t>
        </is>
      </c>
      <c r="Q155" s="216" t="inlineStr">
        <is>
          <t>NA</t>
        </is>
      </c>
      <c r="R155" s="216" t="inlineStr">
        <is>
          <t>NA</t>
        </is>
      </c>
      <c r="S155" s="216" t="inlineStr">
        <is>
          <t>NA</t>
        </is>
      </c>
      <c r="T155" s="216" t="inlineStr">
        <is>
          <t>NA</t>
        </is>
      </c>
      <c r="U155" s="105" t="inlineStr">
        <is>
          <t>NR</t>
        </is>
      </c>
      <c r="V155" s="35" t="inlineStr">
        <is>
          <t>2020-2021</t>
        </is>
      </c>
      <c r="W155" s="35" t="n"/>
      <c r="X155" s="35" t="n"/>
      <c r="Y155" s="35" t="n"/>
      <c r="Z155" s="35" t="n"/>
      <c r="AA155" s="35" t="n"/>
      <c r="AB155" s="35" t="n"/>
      <c r="AC155" s="35" t="n"/>
      <c r="AD155" s="35" t="n"/>
      <c r="AE155" s="35" t="n"/>
      <c r="AF155" s="35" t="n"/>
      <c r="AG155" s="35" t="n"/>
    </row>
    <row r="156">
      <c r="A156" s="212" t="n"/>
      <c r="C156" s="211" t="n">
        <v>83</v>
      </c>
      <c r="D156" s="278" t="inlineStr">
        <is>
          <t>Kankaren Safo</t>
        </is>
      </c>
      <c r="E156" s="212" t="inlineStr">
        <is>
          <t>Safo</t>
        </is>
      </c>
      <c r="F156" s="212" t="inlineStr">
        <is>
          <t>Control</t>
        </is>
      </c>
      <c r="G156" s="213" t="n">
        <v>2020</v>
      </c>
      <c r="H156" s="213" t="n">
        <v>2021</v>
      </c>
      <c r="I156" s="200" t="n">
        <v>0</v>
      </c>
      <c r="J156" s="200" t="n">
        <v>0</v>
      </c>
      <c r="K156" s="224" t="inlineStr">
        <is>
          <t>NR</t>
        </is>
      </c>
      <c r="L156" s="224" t="inlineStr">
        <is>
          <t>NR</t>
        </is>
      </c>
      <c r="M156" s="105" t="inlineStr">
        <is>
          <t>NR</t>
        </is>
      </c>
      <c r="N156" s="699" t="inlineStr">
        <is>
          <t>NR</t>
        </is>
      </c>
      <c r="O156" s="699" t="inlineStr">
        <is>
          <t>NR</t>
        </is>
      </c>
      <c r="P156" s="699" t="inlineStr">
        <is>
          <t>NR</t>
        </is>
      </c>
      <c r="Q156" s="216" t="inlineStr">
        <is>
          <t>NA</t>
        </is>
      </c>
      <c r="R156" s="216" t="inlineStr">
        <is>
          <t>NA</t>
        </is>
      </c>
      <c r="S156" s="216" t="inlineStr">
        <is>
          <t>NA</t>
        </is>
      </c>
      <c r="T156" s="216" t="inlineStr">
        <is>
          <t>NA</t>
        </is>
      </c>
      <c r="U156" s="105" t="inlineStr">
        <is>
          <t>NR</t>
        </is>
      </c>
      <c r="V156" s="35" t="inlineStr">
        <is>
          <t>2020-2021</t>
        </is>
      </c>
      <c r="W156" s="35" t="n"/>
      <c r="X156" s="35" t="n"/>
      <c r="Y156" s="35" t="n"/>
      <c r="Z156" s="35" t="n"/>
      <c r="AA156" s="35" t="n"/>
      <c r="AB156" s="35" t="n"/>
      <c r="AC156" s="35" t="n"/>
      <c r="AD156" s="35" t="n"/>
      <c r="AE156" s="35" t="n"/>
      <c r="AF156" s="35" t="n"/>
      <c r="AG156" s="35" t="n"/>
    </row>
    <row r="157">
      <c r="A157" s="221" t="n"/>
      <c r="B157" s="279" t="n">
        <v>7</v>
      </c>
      <c r="C157" s="219" t="n">
        <v>56</v>
      </c>
      <c r="D157" s="276" t="inlineStr">
        <is>
          <t>Safo Nassaraoua</t>
        </is>
      </c>
      <c r="E157" s="221" t="inlineStr">
        <is>
          <t>Safo</t>
        </is>
      </c>
      <c r="F157" s="221" t="inlineStr">
        <is>
          <t>Intervention</t>
        </is>
      </c>
      <c r="G157" s="222" t="n">
        <v>2020</v>
      </c>
      <c r="H157" s="222" t="n">
        <v>2021</v>
      </c>
      <c r="I157" s="220" t="n">
        <v>0</v>
      </c>
      <c r="J157" s="220" t="n">
        <v>0</v>
      </c>
      <c r="K157" s="104" t="inlineStr">
        <is>
          <t>NR</t>
        </is>
      </c>
      <c r="L157" s="104" t="inlineStr">
        <is>
          <t>NR</t>
        </is>
      </c>
      <c r="M157" s="105" t="inlineStr">
        <is>
          <t>NR</t>
        </is>
      </c>
      <c r="N157" s="699" t="inlineStr">
        <is>
          <t>NR</t>
        </is>
      </c>
      <c r="O157" s="699" t="inlineStr">
        <is>
          <t>NR</t>
        </is>
      </c>
      <c r="P157" s="699" t="inlineStr">
        <is>
          <t>NR</t>
        </is>
      </c>
      <c r="Q157" s="216" t="inlineStr">
        <is>
          <t>NA</t>
        </is>
      </c>
      <c r="R157" s="216" t="inlineStr">
        <is>
          <t>NA</t>
        </is>
      </c>
      <c r="S157" s="216" t="inlineStr">
        <is>
          <t>NA</t>
        </is>
      </c>
      <c r="T157" s="216" t="inlineStr">
        <is>
          <t>NA</t>
        </is>
      </c>
      <c r="U157" s="105" t="inlineStr">
        <is>
          <t>NR</t>
        </is>
      </c>
      <c r="V157" s="35" t="inlineStr">
        <is>
          <t>2020-2021</t>
        </is>
      </c>
      <c r="W157" s="35" t="n"/>
      <c r="X157" s="35" t="n"/>
      <c r="Y157" s="35" t="n"/>
      <c r="Z157" s="35" t="n"/>
      <c r="AA157" s="35" t="n"/>
      <c r="AB157" s="35" t="n"/>
      <c r="AC157" s="35" t="n"/>
      <c r="AD157" s="35" t="n"/>
      <c r="AE157" s="35" t="n"/>
      <c r="AF157" s="35" t="n"/>
      <c r="AG157" s="35" t="n"/>
    </row>
    <row r="158">
      <c r="A158" s="212" t="n"/>
      <c r="C158" s="211" t="n">
        <v>84</v>
      </c>
      <c r="D158" s="278" t="inlineStr">
        <is>
          <t>Riadi Centre 2</t>
        </is>
      </c>
      <c r="E158" s="212" t="inlineStr">
        <is>
          <t>Safo</t>
        </is>
      </c>
      <c r="F158" s="212" t="inlineStr">
        <is>
          <t>Control</t>
        </is>
      </c>
      <c r="G158" s="213" t="n">
        <v>2020</v>
      </c>
      <c r="H158" s="213" t="n">
        <v>2021</v>
      </c>
      <c r="I158" s="200" t="n">
        <v>0</v>
      </c>
      <c r="J158" s="200" t="n">
        <v>0</v>
      </c>
      <c r="K158" s="224" t="inlineStr">
        <is>
          <t>NR</t>
        </is>
      </c>
      <c r="L158" s="224" t="inlineStr">
        <is>
          <t>NR</t>
        </is>
      </c>
      <c r="M158" s="105" t="inlineStr">
        <is>
          <t>NR</t>
        </is>
      </c>
      <c r="N158" s="699" t="inlineStr">
        <is>
          <t>NR</t>
        </is>
      </c>
      <c r="O158" s="699" t="inlineStr">
        <is>
          <t>NR</t>
        </is>
      </c>
      <c r="P158" s="699" t="inlineStr">
        <is>
          <t>NR</t>
        </is>
      </c>
      <c r="Q158" s="216" t="inlineStr">
        <is>
          <t>NA</t>
        </is>
      </c>
      <c r="R158" s="216" t="inlineStr">
        <is>
          <t>NA</t>
        </is>
      </c>
      <c r="S158" s="216" t="inlineStr">
        <is>
          <t>NA</t>
        </is>
      </c>
      <c r="T158" s="216" t="inlineStr">
        <is>
          <t>NA</t>
        </is>
      </c>
      <c r="U158" s="105" t="inlineStr">
        <is>
          <t>NR</t>
        </is>
      </c>
      <c r="V158" s="35" t="inlineStr">
        <is>
          <t>2020-2021</t>
        </is>
      </c>
      <c r="W158" s="35" t="n"/>
      <c r="X158" s="35" t="n"/>
      <c r="Y158" s="35" t="n"/>
      <c r="Z158" s="35" t="n"/>
      <c r="AA158" s="35" t="n"/>
      <c r="AB158" s="35" t="n"/>
      <c r="AC158" s="35" t="n"/>
      <c r="AD158" s="35" t="n"/>
      <c r="AE158" s="35" t="n"/>
      <c r="AF158" s="35" t="n"/>
      <c r="AG158" s="35" t="n"/>
    </row>
    <row r="159">
      <c r="A159" s="221" t="n"/>
      <c r="B159" s="279" t="n">
        <v>8</v>
      </c>
      <c r="C159" s="219" t="n">
        <v>46</v>
      </c>
      <c r="D159" s="276" t="inlineStr">
        <is>
          <t>Soura 1</t>
        </is>
      </c>
      <c r="E159" s="221" t="inlineStr">
        <is>
          <t>Tibiri</t>
        </is>
      </c>
      <c r="F159" s="221" t="inlineStr">
        <is>
          <t>Intervention</t>
        </is>
      </c>
      <c r="G159" s="222" t="n">
        <v>2020</v>
      </c>
      <c r="H159" s="222" t="n">
        <v>2021</v>
      </c>
      <c r="I159" s="220" t="n">
        <v>0</v>
      </c>
      <c r="J159" s="220" t="n">
        <v>0</v>
      </c>
      <c r="K159" s="277" t="inlineStr">
        <is>
          <t>NA</t>
        </is>
      </c>
      <c r="L159" s="104" t="n">
        <v>0</v>
      </c>
      <c r="M159" s="36" t="n"/>
      <c r="N159" s="699" t="inlineStr">
        <is>
          <t>NR</t>
        </is>
      </c>
      <c r="O159" s="699" t="inlineStr">
        <is>
          <t>NR</t>
        </is>
      </c>
      <c r="P159" s="699" t="inlineStr">
        <is>
          <t>NR</t>
        </is>
      </c>
      <c r="Q159" s="216" t="inlineStr">
        <is>
          <t>NA</t>
        </is>
      </c>
      <c r="R159" s="216" t="inlineStr">
        <is>
          <t>NA</t>
        </is>
      </c>
      <c r="S159" s="216" t="inlineStr">
        <is>
          <t>NA</t>
        </is>
      </c>
      <c r="T159" s="216" t="inlineStr">
        <is>
          <t>NA</t>
        </is>
      </c>
      <c r="U159" s="216" t="inlineStr">
        <is>
          <t>NA</t>
        </is>
      </c>
      <c r="V159" s="35" t="inlineStr">
        <is>
          <t>2020-2021</t>
        </is>
      </c>
      <c r="W159" s="35" t="n"/>
      <c r="X159" s="35" t="n"/>
      <c r="Y159" s="35" t="n"/>
      <c r="Z159" s="35" t="n"/>
      <c r="AA159" s="35" t="n"/>
      <c r="AB159" s="35" t="n"/>
      <c r="AC159" s="35" t="n"/>
      <c r="AD159" s="35" t="n"/>
      <c r="AE159" s="35" t="n"/>
      <c r="AF159" s="35" t="n"/>
      <c r="AG159" s="35" t="n"/>
    </row>
    <row r="160">
      <c r="A160" s="212" t="n"/>
      <c r="C160" s="211" t="n">
        <v>85</v>
      </c>
      <c r="D160" s="278" t="inlineStr">
        <is>
          <t>Maza Tsaye I</t>
        </is>
      </c>
      <c r="E160" s="212" t="inlineStr">
        <is>
          <t>Tibiri</t>
        </is>
      </c>
      <c r="F160" s="212" t="inlineStr">
        <is>
          <t>Control</t>
        </is>
      </c>
      <c r="G160" s="213" t="n">
        <v>2020</v>
      </c>
      <c r="H160" s="213" t="n">
        <v>2021</v>
      </c>
      <c r="I160" s="200" t="n">
        <v>0</v>
      </c>
      <c r="J160" s="200" t="n">
        <v>0</v>
      </c>
      <c r="K160" s="215" t="inlineStr">
        <is>
          <t>NA</t>
        </is>
      </c>
      <c r="L160" s="104" t="n">
        <v>0</v>
      </c>
      <c r="M160" s="36" t="n"/>
      <c r="N160" s="699" t="inlineStr">
        <is>
          <t>NR</t>
        </is>
      </c>
      <c r="O160" s="699" t="inlineStr">
        <is>
          <t>NR</t>
        </is>
      </c>
      <c r="P160" s="699" t="inlineStr">
        <is>
          <t>NR</t>
        </is>
      </c>
      <c r="Q160" s="216" t="inlineStr">
        <is>
          <t>NA</t>
        </is>
      </c>
      <c r="R160" s="216" t="inlineStr">
        <is>
          <t>NA</t>
        </is>
      </c>
      <c r="S160" s="216" t="inlineStr">
        <is>
          <t>NA</t>
        </is>
      </c>
      <c r="T160" s="216" t="inlineStr">
        <is>
          <t>NA</t>
        </is>
      </c>
      <c r="U160" s="216" t="inlineStr">
        <is>
          <t>NA</t>
        </is>
      </c>
      <c r="V160" s="35" t="inlineStr">
        <is>
          <t>2020-2021</t>
        </is>
      </c>
      <c r="W160" s="35" t="n"/>
      <c r="X160" s="35" t="n"/>
      <c r="Y160" s="35" t="n"/>
      <c r="Z160" s="35" t="n"/>
      <c r="AA160" s="35" t="n"/>
      <c r="AB160" s="35" t="n"/>
      <c r="AC160" s="35" t="n"/>
      <c r="AD160" s="35" t="n"/>
      <c r="AE160" s="35" t="n"/>
      <c r="AF160" s="35" t="n"/>
      <c r="AG160" s="35" t="n"/>
    </row>
    <row r="161">
      <c r="A161" s="221" t="n"/>
      <c r="B161" s="279" t="n">
        <v>9</v>
      </c>
      <c r="C161" s="219" t="n">
        <v>60</v>
      </c>
      <c r="D161" s="276" t="inlineStr">
        <is>
          <t>Tchikadji Centre</t>
        </is>
      </c>
      <c r="E161" s="221" t="inlineStr">
        <is>
          <t>Safo</t>
        </is>
      </c>
      <c r="F161" s="221" t="inlineStr">
        <is>
          <t>Intervention</t>
        </is>
      </c>
      <c r="G161" s="222" t="n">
        <v>2020</v>
      </c>
      <c r="H161" s="222" t="n">
        <v>2021</v>
      </c>
      <c r="I161" s="220" t="n">
        <v>0</v>
      </c>
      <c r="J161" s="220" t="n">
        <v>0</v>
      </c>
      <c r="K161" s="104" t="inlineStr">
        <is>
          <t>NR</t>
        </is>
      </c>
      <c r="L161" s="104" t="inlineStr">
        <is>
          <t>NR</t>
        </is>
      </c>
      <c r="M161" s="105" t="inlineStr">
        <is>
          <t>NR</t>
        </is>
      </c>
      <c r="N161" s="699" t="inlineStr">
        <is>
          <t>NR</t>
        </is>
      </c>
      <c r="O161" s="699" t="inlineStr">
        <is>
          <t>NR</t>
        </is>
      </c>
      <c r="P161" s="699" t="inlineStr">
        <is>
          <t>NR</t>
        </is>
      </c>
      <c r="Q161" s="216" t="inlineStr">
        <is>
          <t>NA</t>
        </is>
      </c>
      <c r="R161" s="216" t="inlineStr">
        <is>
          <t>NA</t>
        </is>
      </c>
      <c r="S161" s="216" t="inlineStr">
        <is>
          <t>NA</t>
        </is>
      </c>
      <c r="T161" s="216" t="inlineStr">
        <is>
          <t>NA</t>
        </is>
      </c>
      <c r="U161" s="105" t="inlineStr">
        <is>
          <t>NR</t>
        </is>
      </c>
      <c r="V161" s="35" t="inlineStr">
        <is>
          <t>2020-2021</t>
        </is>
      </c>
      <c r="W161" s="35" t="n"/>
      <c r="X161" s="35" t="n"/>
      <c r="Y161" s="35" t="n"/>
      <c r="Z161" s="35" t="n"/>
      <c r="AA161" s="35" t="n"/>
      <c r="AB161" s="35" t="n"/>
      <c r="AC161" s="35" t="n"/>
      <c r="AD161" s="35" t="n"/>
      <c r="AE161" s="35" t="n"/>
      <c r="AF161" s="35" t="n"/>
      <c r="AG161" s="35" t="n"/>
    </row>
    <row r="162">
      <c r="A162" s="212" t="n"/>
      <c r="C162" s="211" t="n">
        <v>86</v>
      </c>
      <c r="D162" s="278" t="inlineStr">
        <is>
          <t>Kagara</t>
        </is>
      </c>
      <c r="E162" s="212" t="inlineStr">
        <is>
          <t>Safo</t>
        </is>
      </c>
      <c r="F162" s="212" t="inlineStr">
        <is>
          <t>Control</t>
        </is>
      </c>
      <c r="G162" s="213" t="n">
        <v>2020</v>
      </c>
      <c r="H162" s="213" t="n">
        <v>2021</v>
      </c>
      <c r="I162" s="200" t="n">
        <v>0</v>
      </c>
      <c r="J162" s="200" t="n">
        <v>0</v>
      </c>
      <c r="K162" s="224" t="inlineStr">
        <is>
          <t>NR</t>
        </is>
      </c>
      <c r="L162" s="224" t="inlineStr">
        <is>
          <t>NR</t>
        </is>
      </c>
      <c r="M162" s="105" t="inlineStr">
        <is>
          <t>NR</t>
        </is>
      </c>
      <c r="N162" s="699" t="inlineStr">
        <is>
          <t>NR</t>
        </is>
      </c>
      <c r="O162" s="699" t="inlineStr">
        <is>
          <t>NR</t>
        </is>
      </c>
      <c r="P162" s="699" t="inlineStr">
        <is>
          <t>NR</t>
        </is>
      </c>
      <c r="Q162" s="216" t="inlineStr">
        <is>
          <t>NA</t>
        </is>
      </c>
      <c r="R162" s="216" t="inlineStr">
        <is>
          <t>NA</t>
        </is>
      </c>
      <c r="S162" s="216" t="inlineStr">
        <is>
          <t>NA</t>
        </is>
      </c>
      <c r="T162" s="216" t="inlineStr">
        <is>
          <t>NA</t>
        </is>
      </c>
      <c r="U162" s="105" t="inlineStr">
        <is>
          <t>NR</t>
        </is>
      </c>
      <c r="V162" s="35" t="inlineStr">
        <is>
          <t>2020-2021</t>
        </is>
      </c>
      <c r="W162" s="35" t="n"/>
      <c r="X162" s="35" t="n"/>
      <c r="Y162" s="35" t="n"/>
      <c r="Z162" s="35" t="n"/>
      <c r="AA162" s="35" t="n"/>
      <c r="AB162" s="35" t="n"/>
      <c r="AC162" s="35" t="n"/>
      <c r="AD162" s="35" t="n"/>
      <c r="AE162" s="35" t="n"/>
      <c r="AF162" s="35" t="n"/>
      <c r="AG162" s="35" t="n"/>
    </row>
    <row r="163">
      <c r="A163" s="221" t="n"/>
      <c r="B163" s="279" t="n">
        <v>10</v>
      </c>
      <c r="C163" s="219" t="n">
        <v>61</v>
      </c>
      <c r="D163" s="276" t="inlineStr">
        <is>
          <t>Maradou Centre</t>
        </is>
      </c>
      <c r="E163" s="221" t="inlineStr">
        <is>
          <t>Safo</t>
        </is>
      </c>
      <c r="F163" s="221" t="inlineStr">
        <is>
          <t>Intervention</t>
        </is>
      </c>
      <c r="G163" s="222" t="n">
        <v>2020</v>
      </c>
      <c r="H163" s="222" t="n">
        <v>2021</v>
      </c>
      <c r="I163" s="220" t="n">
        <v>0</v>
      </c>
      <c r="J163" s="220" t="n">
        <v>0</v>
      </c>
      <c r="K163" s="104" t="inlineStr">
        <is>
          <t>NR</t>
        </is>
      </c>
      <c r="L163" s="104" t="inlineStr">
        <is>
          <t>NR</t>
        </is>
      </c>
      <c r="M163" s="105" t="inlineStr">
        <is>
          <t>NR</t>
        </is>
      </c>
      <c r="N163" s="699" t="inlineStr">
        <is>
          <t>NR</t>
        </is>
      </c>
      <c r="O163" s="699" t="inlineStr">
        <is>
          <t>NR</t>
        </is>
      </c>
      <c r="P163" s="699" t="inlineStr">
        <is>
          <t>NR</t>
        </is>
      </c>
      <c r="Q163" s="216" t="inlineStr">
        <is>
          <t>NA</t>
        </is>
      </c>
      <c r="R163" s="216" t="inlineStr">
        <is>
          <t>NA</t>
        </is>
      </c>
      <c r="S163" s="216" t="inlineStr">
        <is>
          <t>NA</t>
        </is>
      </c>
      <c r="T163" s="216" t="inlineStr">
        <is>
          <t>NA</t>
        </is>
      </c>
      <c r="U163" s="105" t="inlineStr">
        <is>
          <t>NR</t>
        </is>
      </c>
      <c r="V163" s="35" t="inlineStr">
        <is>
          <t>2020-2021</t>
        </is>
      </c>
      <c r="W163" s="35" t="n"/>
      <c r="X163" s="35" t="n"/>
      <c r="Y163" s="35" t="n"/>
      <c r="Z163" s="35" t="n"/>
      <c r="AA163" s="35" t="n"/>
      <c r="AB163" s="35" t="n"/>
      <c r="AC163" s="35" t="n"/>
      <c r="AD163" s="35" t="n"/>
      <c r="AE163" s="35" t="n"/>
      <c r="AF163" s="35" t="n"/>
      <c r="AG163" s="35" t="n"/>
    </row>
    <row r="164">
      <c r="A164" s="212" t="n"/>
      <c r="C164" s="211" t="n">
        <v>87</v>
      </c>
      <c r="D164" s="278" t="inlineStr">
        <is>
          <t>Radi Quartier</t>
        </is>
      </c>
      <c r="E164" s="212" t="inlineStr">
        <is>
          <t>Safo</t>
        </is>
      </c>
      <c r="F164" s="280" t="inlineStr">
        <is>
          <t>Control</t>
        </is>
      </c>
      <c r="G164" s="213" t="n">
        <v>2020</v>
      </c>
      <c r="H164" s="213" t="n">
        <v>2021</v>
      </c>
      <c r="I164" s="200" t="n">
        <v>0</v>
      </c>
      <c r="J164" s="200" t="n">
        <v>0</v>
      </c>
      <c r="K164" s="224" t="inlineStr">
        <is>
          <t>NR</t>
        </is>
      </c>
      <c r="L164" s="224" t="inlineStr">
        <is>
          <t>NR</t>
        </is>
      </c>
      <c r="M164" s="105" t="inlineStr">
        <is>
          <t>NR</t>
        </is>
      </c>
      <c r="N164" s="699" t="inlineStr">
        <is>
          <t>NR</t>
        </is>
      </c>
      <c r="O164" s="699" t="inlineStr">
        <is>
          <t>NR</t>
        </is>
      </c>
      <c r="P164" s="699" t="inlineStr">
        <is>
          <t>NR</t>
        </is>
      </c>
      <c r="Q164" s="216" t="inlineStr">
        <is>
          <t>NA</t>
        </is>
      </c>
      <c r="R164" s="216" t="inlineStr">
        <is>
          <t>NA</t>
        </is>
      </c>
      <c r="S164" s="216" t="inlineStr">
        <is>
          <t>NA</t>
        </is>
      </c>
      <c r="T164" s="216" t="inlineStr">
        <is>
          <t>NA</t>
        </is>
      </c>
      <c r="U164" s="105" t="inlineStr">
        <is>
          <t>NR</t>
        </is>
      </c>
      <c r="V164" s="35" t="inlineStr">
        <is>
          <t>2020-2021</t>
        </is>
      </c>
      <c r="W164" s="35" t="n"/>
      <c r="X164" s="35" t="n"/>
      <c r="Y164" s="35" t="n"/>
      <c r="Z164" s="35" t="n"/>
      <c r="AA164" s="35" t="n"/>
      <c r="AB164" s="35" t="n"/>
      <c r="AC164" s="35" t="n"/>
      <c r="AD164" s="35" t="n"/>
      <c r="AE164" s="35" t="n"/>
      <c r="AF164" s="35" t="n"/>
      <c r="AG164" s="35" t="n"/>
    </row>
    <row r="165">
      <c r="A165" s="221" t="n"/>
      <c r="B165" s="279" t="n"/>
      <c r="C165" s="219" t="n"/>
      <c r="D165" s="276" t="inlineStr">
        <is>
          <t>Soura Sarkin Galma 1</t>
        </is>
      </c>
      <c r="E165" s="221" t="inlineStr">
        <is>
          <t>Tibiri</t>
        </is>
      </c>
      <c r="F165" s="280" t="inlineStr">
        <is>
          <t>Control</t>
        </is>
      </c>
      <c r="G165" s="222" t="n">
        <v>2020</v>
      </c>
      <c r="H165" s="222" t="n">
        <v>2021</v>
      </c>
      <c r="I165" s="220" t="n">
        <v>0</v>
      </c>
      <c r="J165" s="220" t="n">
        <v>0</v>
      </c>
      <c r="K165" s="277" t="inlineStr">
        <is>
          <t>NA</t>
        </is>
      </c>
      <c r="L165" s="104" t="n">
        <v>0</v>
      </c>
      <c r="M165" s="36" t="n"/>
      <c r="N165" s="699" t="inlineStr">
        <is>
          <t>NR</t>
        </is>
      </c>
      <c r="O165" s="699" t="inlineStr">
        <is>
          <t>NR</t>
        </is>
      </c>
      <c r="P165" s="699" t="inlineStr">
        <is>
          <t>NR</t>
        </is>
      </c>
      <c r="Q165" s="216" t="inlineStr">
        <is>
          <t>NA</t>
        </is>
      </c>
      <c r="R165" s="216" t="inlineStr">
        <is>
          <t>NA</t>
        </is>
      </c>
      <c r="S165" s="216" t="inlineStr">
        <is>
          <t>NA</t>
        </is>
      </c>
      <c r="T165" s="216" t="inlineStr">
        <is>
          <t>NA</t>
        </is>
      </c>
      <c r="U165" s="216" t="inlineStr">
        <is>
          <t>NA</t>
        </is>
      </c>
      <c r="V165" s="35" t="inlineStr">
        <is>
          <t>2020-2021</t>
        </is>
      </c>
      <c r="W165" s="35" t="n"/>
      <c r="X165" s="35" t="n"/>
      <c r="Y165" s="35" t="n"/>
      <c r="Z165" s="35" t="n"/>
      <c r="AA165" s="35" t="n"/>
      <c r="AB165" s="35" t="n"/>
      <c r="AC165" s="35" t="n"/>
      <c r="AD165" s="35" t="n"/>
      <c r="AE165" s="35" t="n"/>
      <c r="AF165" s="35" t="n"/>
      <c r="AG165" s="35" t="n"/>
    </row>
    <row r="166">
      <c r="A166" s="212" t="n"/>
      <c r="B166" s="210" t="n"/>
      <c r="C166" s="211" t="n"/>
      <c r="D166" s="278" t="n"/>
      <c r="E166" s="212" t="n"/>
      <c r="F166" s="212" t="n"/>
      <c r="G166" s="213" t="n"/>
      <c r="H166" s="213" t="n"/>
      <c r="I166" s="200" t="n"/>
      <c r="J166" s="224" t="n"/>
      <c r="K166" s="212" t="n"/>
      <c r="L166" s="211" t="n"/>
      <c r="M166" s="12" t="n"/>
      <c r="N166" s="13" t="n"/>
      <c r="O166" s="13" t="n"/>
      <c r="P166" s="13" t="n"/>
      <c r="Q166" s="14" t="n"/>
      <c r="R166" s="14" t="n"/>
      <c r="S166" s="14" t="n"/>
      <c r="T166" s="14" t="n"/>
      <c r="U166" s="35" t="n"/>
      <c r="V166" s="35" t="n"/>
      <c r="W166" s="35" t="n"/>
      <c r="X166" s="35" t="n"/>
      <c r="Y166" s="35" t="n"/>
      <c r="Z166" s="35" t="n"/>
      <c r="AA166" s="35" t="n"/>
      <c r="AB166" s="35" t="n"/>
      <c r="AC166" s="35" t="n"/>
      <c r="AD166" s="35" t="n"/>
      <c r="AE166" s="35" t="n"/>
      <c r="AF166" s="35" t="n"/>
      <c r="AG166" s="35" t="n"/>
    </row>
    <row r="167">
      <c r="A167" s="249" t="n"/>
      <c r="B167" s="226" t="n">
        <v>1</v>
      </c>
      <c r="C167" s="245" t="n">
        <v>1</v>
      </c>
      <c r="D167" s="256" t="inlineStr">
        <is>
          <t>Katare Guidan Ousmane 1</t>
        </is>
      </c>
      <c r="E167" s="258" t="inlineStr">
        <is>
          <t>Tibiri</t>
        </is>
      </c>
      <c r="F167" s="229" t="inlineStr">
        <is>
          <t>Intervention</t>
        </is>
      </c>
      <c r="G167" s="305" t="n">
        <v>2021</v>
      </c>
      <c r="H167" s="305" t="n">
        <v>2022</v>
      </c>
      <c r="I167" s="231" t="n">
        <v>4</v>
      </c>
      <c r="J167" s="308" t="n">
        <v>3</v>
      </c>
      <c r="K167" s="229" t="n">
        <v>38</v>
      </c>
      <c r="L167" s="232" t="n">
        <v>1</v>
      </c>
      <c r="M167" s="537" t="n"/>
      <c r="N167" s="559">
        <f>2/K167</f>
        <v/>
      </c>
      <c r="O167" s="559" t="n">
        <v>0.42</v>
      </c>
      <c r="P167" s="559" t="n">
        <v>1</v>
      </c>
      <c r="Q167" s="159" t="n">
        <v>6.85</v>
      </c>
      <c r="R167" s="159" t="n">
        <v>12.2</v>
      </c>
      <c r="S167" s="159" t="n">
        <v>4.42</v>
      </c>
      <c r="T167" s="159" t="n">
        <v>10.64</v>
      </c>
      <c r="U167" s="91" t="n">
        <v>0</v>
      </c>
      <c r="V167" s="91" t="n"/>
      <c r="W167" s="91" t="n"/>
      <c r="X167" s="91" t="n"/>
      <c r="Y167" s="91" t="n"/>
      <c r="Z167" s="91" t="n"/>
      <c r="AA167" s="91" t="n"/>
      <c r="AB167" s="91" t="n"/>
      <c r="AC167" s="91" t="n"/>
      <c r="AD167" s="91" t="n"/>
      <c r="AE167" s="91" t="n"/>
      <c r="AF167" s="91" t="n"/>
      <c r="AG167" s="160" t="n"/>
    </row>
    <row r="168">
      <c r="A168" s="282" t="inlineStr">
        <is>
          <t xml:space="preserve">Soura 3 </t>
        </is>
      </c>
      <c r="B168" s="710" t="n"/>
      <c r="C168" s="247" t="n">
        <v>4</v>
      </c>
      <c r="D168" s="257" t="inlineStr">
        <is>
          <t>Kara Kara 3</t>
        </is>
      </c>
      <c r="E168" s="238" t="inlineStr">
        <is>
          <t>Tibiri</t>
        </is>
      </c>
      <c r="F168" s="238" t="inlineStr">
        <is>
          <t>Control</t>
        </is>
      </c>
      <c r="G168" s="239" t="n">
        <v>2021</v>
      </c>
      <c r="H168" s="320" t="n">
        <v>2022</v>
      </c>
      <c r="I168" s="237" t="n">
        <v>0</v>
      </c>
      <c r="J168" s="57" t="n">
        <v>0</v>
      </c>
      <c r="K168" s="241" t="n">
        <v>37</v>
      </c>
      <c r="L168" s="405" t="n">
        <v>0</v>
      </c>
      <c r="M168" s="59" t="n"/>
      <c r="N168" s="562" t="n">
        <v>0</v>
      </c>
      <c r="O168" s="562" t="n">
        <v>0.89</v>
      </c>
      <c r="P168" s="562" t="n">
        <v>1</v>
      </c>
      <c r="Q168" s="242" t="n">
        <v>10.7</v>
      </c>
      <c r="R168" s="242" t="n">
        <v>12.7</v>
      </c>
      <c r="S168" s="242" t="n">
        <v>11.8</v>
      </c>
      <c r="T168" s="242" t="n">
        <v>12.1</v>
      </c>
      <c r="U168" s="62" t="n">
        <v>0</v>
      </c>
      <c r="V168" s="62" t="n"/>
      <c r="W168" s="62" t="n"/>
      <c r="X168" s="62" t="n"/>
      <c r="Y168" s="62" t="n"/>
      <c r="Z168" s="62" t="n"/>
      <c r="AA168" s="62" t="n"/>
      <c r="AB168" s="62" t="n"/>
      <c r="AC168" s="62" t="n"/>
      <c r="AD168" s="62" t="n"/>
      <c r="AE168" s="62" t="n"/>
      <c r="AF168" s="62" t="n"/>
      <c r="AG168" s="162" t="n"/>
    </row>
    <row r="169">
      <c r="A169" s="249" t="n"/>
      <c r="B169" s="707" t="n">
        <v>2</v>
      </c>
      <c r="C169" s="245" t="n">
        <v>2</v>
      </c>
      <c r="D169" s="256" t="inlineStr">
        <is>
          <t>Soura 3</t>
        </is>
      </c>
      <c r="E169" s="229" t="inlineStr">
        <is>
          <t>Tibiri</t>
        </is>
      </c>
      <c r="F169" s="229" t="inlineStr">
        <is>
          <t>Intervention</t>
        </is>
      </c>
      <c r="G169" s="305" t="n">
        <v>2021</v>
      </c>
      <c r="H169" s="305" t="n">
        <v>2022</v>
      </c>
      <c r="I169" s="231" t="n">
        <v>4</v>
      </c>
      <c r="J169" s="229" t="n">
        <v>1</v>
      </c>
      <c r="K169" s="229" t="n">
        <v>23</v>
      </c>
      <c r="L169" s="232" t="n">
        <v>1</v>
      </c>
      <c r="M169" s="537" t="n"/>
      <c r="N169" s="561">
        <f>1/K169</f>
        <v/>
      </c>
      <c r="O169" s="561" t="n">
        <v>0.91</v>
      </c>
      <c r="P169" s="561" t="n">
        <v>1</v>
      </c>
      <c r="Q169" s="255" t="n">
        <v>10.1</v>
      </c>
      <c r="R169" s="255" t="n">
        <v>14.2</v>
      </c>
      <c r="S169" s="255" t="n">
        <v>10.7</v>
      </c>
      <c r="T169" s="255" t="n">
        <v>14.3</v>
      </c>
      <c r="U169" s="72" t="n">
        <v>0</v>
      </c>
      <c r="V169" s="72" t="n"/>
      <c r="W169" s="72" t="n"/>
      <c r="X169" s="72" t="n"/>
      <c r="Y169" s="72" t="n"/>
      <c r="Z169" s="72" t="n"/>
      <c r="AA169" s="72" t="n"/>
      <c r="AB169" s="72" t="n"/>
      <c r="AC169" s="72" t="n"/>
      <c r="AD169" s="72" t="n"/>
      <c r="AE169" s="72" t="n"/>
      <c r="AF169" s="72" t="n"/>
      <c r="AG169" s="163" t="n"/>
    </row>
    <row r="170">
      <c r="A170" s="272" t="n"/>
      <c r="B170" s="698" t="n"/>
      <c r="C170" s="247" t="n">
        <v>18</v>
      </c>
      <c r="D170" s="257" t="inlineStr">
        <is>
          <t>Yan Zango</t>
        </is>
      </c>
      <c r="E170" s="238" t="inlineStr">
        <is>
          <t>Tibiri</t>
        </is>
      </c>
      <c r="F170" s="238" t="inlineStr">
        <is>
          <t>Control</t>
        </is>
      </c>
      <c r="G170" s="239" t="n">
        <v>2021</v>
      </c>
      <c r="H170" s="320" t="n">
        <v>2022</v>
      </c>
      <c r="I170" s="237" t="n">
        <v>0</v>
      </c>
      <c r="J170" s="57" t="n">
        <v>0</v>
      </c>
      <c r="K170" s="241" t="n">
        <v>28</v>
      </c>
      <c r="L170" s="405" t="n">
        <v>0</v>
      </c>
      <c r="M170" s="59" t="n"/>
      <c r="N170" s="286" t="n">
        <v>0.0357</v>
      </c>
      <c r="O170" s="538" t="n">
        <v>0.68</v>
      </c>
      <c r="P170" s="538" t="n">
        <v>1</v>
      </c>
      <c r="Q170" s="243" t="n">
        <v>7.3</v>
      </c>
      <c r="R170" s="243" t="n">
        <v>11.4</v>
      </c>
      <c r="S170" s="243" t="n">
        <v>9.5</v>
      </c>
      <c r="T170" s="243" t="n">
        <v>11.1</v>
      </c>
      <c r="U170" s="81" t="n">
        <v>0</v>
      </c>
      <c r="V170" s="81" t="n"/>
      <c r="W170" s="81" t="n"/>
      <c r="X170" s="81" t="n"/>
      <c r="Y170" s="81" t="n"/>
      <c r="Z170" s="81" t="n"/>
      <c r="AA170" s="81" t="n"/>
      <c r="AB170" s="81" t="n"/>
      <c r="AC170" s="81" t="n"/>
      <c r="AD170" s="81" t="n"/>
      <c r="AE170" s="81" t="n"/>
      <c r="AF170" s="81" t="n"/>
      <c r="AG170" s="244" t="n"/>
    </row>
    <row r="171">
      <c r="A171" s="249" t="n"/>
      <c r="B171" s="226" t="n">
        <v>3</v>
      </c>
      <c r="C171" s="245" t="n">
        <v>3</v>
      </c>
      <c r="D171" s="256" t="inlineStr">
        <is>
          <t>Katare Guidan Ousmane 2</t>
        </is>
      </c>
      <c r="E171" s="258" t="inlineStr">
        <is>
          <t>Tibiri</t>
        </is>
      </c>
      <c r="F171" s="229" t="inlineStr">
        <is>
          <t>Intervention</t>
        </is>
      </c>
      <c r="G171" s="305" t="n">
        <v>2021</v>
      </c>
      <c r="H171" s="305" t="n">
        <v>2022</v>
      </c>
      <c r="I171" s="231" t="n">
        <v>4</v>
      </c>
      <c r="J171" s="308" t="n">
        <v>1</v>
      </c>
      <c r="K171" s="229" t="n">
        <v>23</v>
      </c>
      <c r="L171" s="232" t="n">
        <v>1</v>
      </c>
      <c r="M171" s="537" t="n"/>
      <c r="N171" s="559" t="n">
        <v>0</v>
      </c>
      <c r="O171" s="559" t="n">
        <v>0.61</v>
      </c>
      <c r="P171" s="559" t="n">
        <v>1</v>
      </c>
      <c r="Q171" s="159" t="n">
        <v>7.82</v>
      </c>
      <c r="R171" s="159" t="n">
        <v>12.83</v>
      </c>
      <c r="S171" s="159" t="n">
        <v>9.039999999999999</v>
      </c>
      <c r="T171" s="159" t="n">
        <v>14.02</v>
      </c>
      <c r="U171" s="91" t="n">
        <v>0</v>
      </c>
      <c r="V171" s="91" t="n"/>
      <c r="W171" s="91" t="n"/>
      <c r="X171" s="91" t="n"/>
      <c r="Y171" s="91" t="n"/>
      <c r="Z171" s="91" t="n"/>
      <c r="AA171" s="91" t="n"/>
      <c r="AB171" s="91" t="n"/>
      <c r="AC171" s="91" t="n"/>
      <c r="AD171" s="91" t="n"/>
      <c r="AE171" s="91" t="n"/>
      <c r="AF171" s="91" t="n"/>
      <c r="AG171" s="160" t="n"/>
    </row>
    <row r="172">
      <c r="A172" s="282" t="inlineStr">
        <is>
          <t>Kara Kara 3 (?old control?)</t>
        </is>
      </c>
      <c r="B172" s="710" t="n"/>
      <c r="C172" s="247" t="n">
        <v>28</v>
      </c>
      <c r="D172" s="257" t="inlineStr">
        <is>
          <t>Garin Malan Hamza</t>
        </is>
      </c>
      <c r="E172" s="238" t="inlineStr">
        <is>
          <t>Tibiri</t>
        </is>
      </c>
      <c r="F172" s="238" t="inlineStr">
        <is>
          <t>Control</t>
        </is>
      </c>
      <c r="G172" s="239" t="n">
        <v>2021</v>
      </c>
      <c r="H172" s="320" t="n">
        <v>2022</v>
      </c>
      <c r="I172" s="237" t="n">
        <v>0</v>
      </c>
      <c r="J172" s="57" t="n">
        <v>0</v>
      </c>
      <c r="K172" s="241" t="n">
        <v>18</v>
      </c>
      <c r="L172" s="405" t="n">
        <v>0</v>
      </c>
      <c r="M172" s="59" t="n"/>
      <c r="N172" s="562" t="n">
        <v>0</v>
      </c>
      <c r="O172" s="562" t="n">
        <v>0.17</v>
      </c>
      <c r="P172" s="562" t="n">
        <v>0.66</v>
      </c>
      <c r="Q172" s="242" t="n">
        <v>5.4</v>
      </c>
      <c r="R172" s="242" t="n">
        <v>8</v>
      </c>
      <c r="S172" s="242" t="n">
        <v>4</v>
      </c>
      <c r="T172" s="242" t="n">
        <v>6</v>
      </c>
      <c r="U172" s="62" t="n">
        <v>0</v>
      </c>
      <c r="V172" s="62" t="n"/>
      <c r="W172" s="62" t="n"/>
      <c r="X172" s="62" t="n"/>
      <c r="Y172" s="62" t="n"/>
      <c r="Z172" s="62" t="n"/>
      <c r="AA172" s="62" t="n"/>
      <c r="AB172" s="62" t="n"/>
      <c r="AC172" s="62" t="n"/>
      <c r="AD172" s="62" t="n"/>
      <c r="AE172" s="62" t="n"/>
      <c r="AF172" s="62" t="n"/>
      <c r="AG172" s="162" t="n"/>
    </row>
    <row r="173" ht="19.5" customHeight="1" s="695">
      <c r="A173" s="249" t="n"/>
      <c r="B173" s="707" t="n">
        <v>4</v>
      </c>
      <c r="C173" s="245" t="n">
        <v>5</v>
      </c>
      <c r="D173" s="305" t="inlineStr">
        <is>
          <t>Tibiri Nord 3</t>
        </is>
      </c>
      <c r="E173" s="229" t="inlineStr">
        <is>
          <t>Tibiri</t>
        </is>
      </c>
      <c r="F173" s="229" t="inlineStr">
        <is>
          <t>Intervention</t>
        </is>
      </c>
      <c r="G173" s="305" t="n">
        <v>2021</v>
      </c>
      <c r="H173" s="305" t="n">
        <v>2022</v>
      </c>
      <c r="I173" s="231" t="n">
        <v>4</v>
      </c>
      <c r="J173" s="308" t="n">
        <v>1</v>
      </c>
      <c r="K173" s="229" t="n">
        <v>16</v>
      </c>
      <c r="L173" s="232" t="n">
        <v>1</v>
      </c>
      <c r="M173" s="537" t="n"/>
      <c r="N173" s="561" t="n">
        <v>0</v>
      </c>
      <c r="O173" s="561" t="n">
        <v>0.8100000000000001</v>
      </c>
      <c r="P173" s="561" t="n">
        <v>1</v>
      </c>
      <c r="Q173" s="255" t="n">
        <v>8.5</v>
      </c>
      <c r="R173" s="255" t="n">
        <v>16.5</v>
      </c>
      <c r="S173" s="255" t="n">
        <v>9.800000000000001</v>
      </c>
      <c r="T173" s="255" t="n">
        <v>13.3</v>
      </c>
      <c r="U173" s="72" t="n">
        <v>0</v>
      </c>
      <c r="V173" s="72" t="n"/>
      <c r="W173" s="72" t="n"/>
      <c r="X173" s="72" t="n"/>
      <c r="Y173" s="72" t="n"/>
      <c r="Z173" s="72" t="n"/>
      <c r="AA173" s="72" t="n"/>
      <c r="AB173" s="72" t="n"/>
      <c r="AC173" s="72" t="n"/>
      <c r="AD173" s="72" t="n"/>
      <c r="AE173" s="72" t="n"/>
      <c r="AF173" s="72" t="n"/>
      <c r="AG173" s="163" t="n"/>
    </row>
    <row r="174">
      <c r="A174" s="272" t="n"/>
      <c r="B174" s="698" t="n"/>
      <c r="C174" s="247" t="n">
        <v>6</v>
      </c>
      <c r="D174" s="320" t="inlineStr">
        <is>
          <t>Garin Daoure 1</t>
        </is>
      </c>
      <c r="E174" s="288" t="inlineStr">
        <is>
          <t>Tibiri</t>
        </is>
      </c>
      <c r="F174" s="238" t="inlineStr">
        <is>
          <t>Control</t>
        </is>
      </c>
      <c r="G174" s="239" t="n">
        <v>2021</v>
      </c>
      <c r="H174" s="320" t="n">
        <v>2022</v>
      </c>
      <c r="I174" s="237" t="n">
        <v>0</v>
      </c>
      <c r="J174" s="57" t="n">
        <v>0</v>
      </c>
      <c r="K174" s="241" t="n">
        <v>12</v>
      </c>
      <c r="L174" s="405" t="n">
        <v>0</v>
      </c>
      <c r="M174" s="59" t="n"/>
      <c r="N174" s="538" t="n">
        <v>0</v>
      </c>
      <c r="O174" s="538" t="n">
        <v>1</v>
      </c>
      <c r="P174" s="538" t="n">
        <v>1</v>
      </c>
      <c r="Q174" s="243" t="n">
        <v>14.3</v>
      </c>
      <c r="R174" s="243" t="n">
        <v>14.4</v>
      </c>
      <c r="S174" s="243" t="n">
        <v>15.1</v>
      </c>
      <c r="T174" s="243" t="n">
        <v>14.9</v>
      </c>
      <c r="U174" s="81" t="n">
        <v>0</v>
      </c>
      <c r="V174" s="81" t="n"/>
      <c r="W174" s="81" t="n"/>
      <c r="X174" s="81" t="n"/>
      <c r="Y174" s="81" t="n"/>
      <c r="Z174" s="81" t="n"/>
      <c r="AA174" s="81" t="n"/>
      <c r="AB174" s="81" t="n"/>
      <c r="AC174" s="81" t="n"/>
      <c r="AD174" s="81" t="n"/>
      <c r="AE174" s="81" t="n"/>
      <c r="AF174" s="81" t="n"/>
      <c r="AG174" s="244" t="n"/>
    </row>
    <row r="175">
      <c r="A175" s="249" t="n"/>
      <c r="B175" s="707" t="n">
        <v>5</v>
      </c>
      <c r="C175" s="245" t="n">
        <v>11</v>
      </c>
      <c r="D175" s="256" t="inlineStr">
        <is>
          <t>Soura Aboubacar 4</t>
        </is>
      </c>
      <c r="E175" s="258" t="inlineStr">
        <is>
          <t>Tibiri</t>
        </is>
      </c>
      <c r="F175" s="229" t="inlineStr">
        <is>
          <t>Intervention</t>
        </is>
      </c>
      <c r="G175" s="305" t="n">
        <v>2021</v>
      </c>
      <c r="H175" s="305" t="n">
        <v>2022</v>
      </c>
      <c r="I175" s="231" t="n">
        <v>4</v>
      </c>
      <c r="J175" s="308" t="n">
        <v>4</v>
      </c>
      <c r="K175" s="229" t="n">
        <v>49</v>
      </c>
      <c r="L175" s="232" t="n">
        <v>1</v>
      </c>
      <c r="M175" s="537" t="n"/>
      <c r="N175" s="559">
        <f>4/K175</f>
        <v/>
      </c>
      <c r="O175" s="559" t="n">
        <v>0.9</v>
      </c>
      <c r="P175" s="559" t="n">
        <v>1</v>
      </c>
      <c r="Q175" s="246" t="n">
        <v>9.300000000000001</v>
      </c>
      <c r="R175" s="246" t="n">
        <v>16.9</v>
      </c>
      <c r="S175" s="246" t="n">
        <v>10.3</v>
      </c>
      <c r="T175" s="246" t="n">
        <v>14.4</v>
      </c>
      <c r="U175" s="91" t="n">
        <v>0</v>
      </c>
      <c r="V175" s="91" t="n"/>
      <c r="W175" s="91" t="n"/>
      <c r="X175" s="91" t="n"/>
      <c r="Y175" s="91" t="n"/>
      <c r="Z175" s="91" t="n"/>
      <c r="AA175" s="91" t="n"/>
      <c r="AB175" s="91" t="n"/>
      <c r="AC175" s="91" t="n"/>
      <c r="AD175" s="91" t="n"/>
      <c r="AE175" s="91" t="n"/>
      <c r="AF175" s="91" t="n"/>
      <c r="AG175" s="160" t="n"/>
    </row>
    <row r="176">
      <c r="A176" s="272" t="n"/>
      <c r="B176" s="698" t="n"/>
      <c r="C176" s="247" t="n">
        <v>14</v>
      </c>
      <c r="D176" s="257" t="inlineStr">
        <is>
          <t>Kara Kara 2</t>
        </is>
      </c>
      <c r="E176" s="238" t="inlineStr">
        <is>
          <t>Tibiri</t>
        </is>
      </c>
      <c r="F176" s="238" t="inlineStr">
        <is>
          <t>Control</t>
        </is>
      </c>
      <c r="G176" s="239" t="n">
        <v>2021</v>
      </c>
      <c r="H176" s="320" t="n">
        <v>2022</v>
      </c>
      <c r="I176" s="237" t="n">
        <v>0</v>
      </c>
      <c r="J176" s="57" t="n">
        <v>0</v>
      </c>
      <c r="K176" s="241" t="n">
        <v>49</v>
      </c>
      <c r="L176" s="405" t="n">
        <v>0</v>
      </c>
      <c r="M176" s="59" t="n"/>
      <c r="N176" s="286" t="n">
        <v>0.08160000000000001</v>
      </c>
      <c r="O176" s="562" t="n">
        <v>0.67</v>
      </c>
      <c r="P176" s="562" t="n">
        <v>0.88</v>
      </c>
      <c r="Q176" s="242" t="n">
        <v>9.4</v>
      </c>
      <c r="R176" s="242" t="n">
        <v>13.7</v>
      </c>
      <c r="S176" s="242" t="n">
        <v>7.6</v>
      </c>
      <c r="T176" s="242" t="n">
        <v>11.3</v>
      </c>
      <c r="U176" s="62" t="n">
        <v>0</v>
      </c>
      <c r="V176" s="62" t="n"/>
      <c r="W176" s="62" t="n"/>
      <c r="X176" s="62" t="n"/>
      <c r="Y176" s="62" t="n"/>
      <c r="Z176" s="62" t="n"/>
      <c r="AA176" s="62" t="n"/>
      <c r="AB176" s="62" t="n"/>
      <c r="AC176" s="62" t="n"/>
      <c r="AD176" s="62" t="n"/>
      <c r="AE176" s="62" t="n"/>
      <c r="AF176" s="62" t="n"/>
      <c r="AG176" s="162" t="n"/>
    </row>
    <row r="177">
      <c r="A177" s="249" t="n"/>
      <c r="B177" s="707" t="n">
        <v>6</v>
      </c>
      <c r="C177" s="245" t="n">
        <v>12</v>
      </c>
      <c r="D177" s="256" t="inlineStr">
        <is>
          <t>Soura 2</t>
        </is>
      </c>
      <c r="E177" s="229" t="inlineStr">
        <is>
          <t>Tibiri</t>
        </is>
      </c>
      <c r="F177" s="229" t="inlineStr">
        <is>
          <t>Intervention</t>
        </is>
      </c>
      <c r="G177" s="305" t="n">
        <v>2021</v>
      </c>
      <c r="H177" s="305" t="n">
        <v>2022</v>
      </c>
      <c r="I177" s="231" t="n">
        <v>4</v>
      </c>
      <c r="J177" s="308" t="n">
        <v>1</v>
      </c>
      <c r="K177" s="229" t="n">
        <v>15</v>
      </c>
      <c r="L177" s="232" t="n">
        <v>1</v>
      </c>
      <c r="M177" s="537" t="n"/>
      <c r="N177" s="561">
        <f>2/K177</f>
        <v/>
      </c>
      <c r="O177" s="561" t="n">
        <v>0.87</v>
      </c>
      <c r="P177" s="561" t="n">
        <v>1</v>
      </c>
      <c r="Q177" s="255" t="n">
        <v>8.699999999999999</v>
      </c>
      <c r="R177" s="255" t="n">
        <v>11.8</v>
      </c>
      <c r="S177" s="255" t="n">
        <v>8.300000000000001</v>
      </c>
      <c r="T177" s="255" t="n">
        <v>13.5</v>
      </c>
      <c r="U177" s="72" t="n">
        <v>0</v>
      </c>
      <c r="V177" s="72" t="n"/>
      <c r="W177" s="72" t="n"/>
      <c r="X177" s="72" t="n"/>
      <c r="Y177" s="72" t="n"/>
      <c r="Z177" s="72" t="n"/>
      <c r="AA177" s="72" t="n"/>
      <c r="AB177" s="72" t="n"/>
      <c r="AC177" s="72" t="n"/>
      <c r="AD177" s="72" t="n"/>
      <c r="AE177" s="72" t="n"/>
      <c r="AF177" s="72" t="n"/>
      <c r="AG177" s="163" t="n"/>
    </row>
    <row r="178">
      <c r="A178" s="272" t="n"/>
      <c r="B178" s="698" t="n"/>
      <c r="C178" s="247" t="n">
        <v>71</v>
      </c>
      <c r="D178" s="257" t="inlineStr">
        <is>
          <t>Garin Madji</t>
        </is>
      </c>
      <c r="E178" s="288" t="inlineStr">
        <is>
          <t>Tibiri</t>
        </is>
      </c>
      <c r="F178" s="238" t="inlineStr">
        <is>
          <t>Control</t>
        </is>
      </c>
      <c r="G178" s="239" t="n">
        <v>2021</v>
      </c>
      <c r="H178" s="320" t="n">
        <v>2022</v>
      </c>
      <c r="I178" s="237" t="n">
        <v>0</v>
      </c>
      <c r="J178" s="57" t="n">
        <v>0</v>
      </c>
      <c r="K178" s="241" t="n">
        <v>21</v>
      </c>
      <c r="L178" s="405" t="n">
        <v>0</v>
      </c>
      <c r="M178" s="59" t="n"/>
      <c r="N178" s="538" t="n">
        <v>0</v>
      </c>
      <c r="O178" s="538" t="n">
        <v>0.52</v>
      </c>
      <c r="P178" s="538" t="n">
        <v>0.64</v>
      </c>
      <c r="Q178" s="243" t="n">
        <v>6.3</v>
      </c>
      <c r="R178" s="243" t="n">
        <v>8</v>
      </c>
      <c r="S178" s="243" t="n">
        <v>6.2</v>
      </c>
      <c r="T178" s="243" t="n">
        <v>7.8</v>
      </c>
      <c r="U178" s="81" t="n">
        <v>0</v>
      </c>
      <c r="V178" s="81" t="n"/>
      <c r="W178" s="81" t="n"/>
      <c r="X178" s="81" t="n"/>
      <c r="Y178" s="81" t="n"/>
      <c r="Z178" s="81" t="n"/>
      <c r="AA178" s="81" t="n"/>
      <c r="AB178" s="81" t="n"/>
      <c r="AC178" s="81" t="n"/>
      <c r="AD178" s="81" t="n"/>
      <c r="AE178" s="81" t="n"/>
      <c r="AF178" s="81" t="n"/>
      <c r="AG178" s="244" t="n"/>
    </row>
    <row r="179">
      <c r="A179" s="249" t="n"/>
      <c r="B179" s="707" t="n">
        <v>7</v>
      </c>
      <c r="C179" s="245" t="n">
        <v>13</v>
      </c>
      <c r="D179" s="256" t="inlineStr">
        <is>
          <t>Garin Yari Idi</t>
        </is>
      </c>
      <c r="E179" s="229" t="inlineStr">
        <is>
          <t>Tibiri</t>
        </is>
      </c>
      <c r="F179" s="229" t="inlineStr">
        <is>
          <t>Intervention</t>
        </is>
      </c>
      <c r="G179" s="305" t="n">
        <v>2021</v>
      </c>
      <c r="H179" s="305" t="n">
        <v>2022</v>
      </c>
      <c r="I179" s="231" t="n">
        <v>4</v>
      </c>
      <c r="J179" s="229" t="n">
        <v>1</v>
      </c>
      <c r="K179" s="229" t="n">
        <v>23</v>
      </c>
      <c r="L179" s="232" t="n">
        <v>1</v>
      </c>
      <c r="M179" s="537" t="n"/>
      <c r="N179" s="559" t="n">
        <v>0</v>
      </c>
      <c r="O179" s="559" t="n">
        <v>0.48</v>
      </c>
      <c r="P179" s="559" t="n">
        <v>0.91</v>
      </c>
      <c r="Q179" s="246" t="n">
        <v>8.1</v>
      </c>
      <c r="R179" s="246" t="n">
        <v>1104</v>
      </c>
      <c r="S179" s="246" t="n">
        <v>4.8</v>
      </c>
      <c r="T179" s="246" t="n">
        <v>8.800000000000001</v>
      </c>
      <c r="U179" s="91" t="n">
        <v>0</v>
      </c>
      <c r="V179" s="91" t="n"/>
      <c r="W179" s="91" t="n"/>
      <c r="X179" s="91" t="n"/>
      <c r="Y179" s="91" t="n"/>
      <c r="Z179" s="91" t="n"/>
      <c r="AA179" s="91" t="n"/>
      <c r="AB179" s="91" t="n"/>
      <c r="AC179" s="91" t="n"/>
      <c r="AD179" s="91" t="n"/>
      <c r="AE179" s="91" t="n"/>
      <c r="AF179" s="91" t="n"/>
      <c r="AG179" s="160" t="n"/>
    </row>
    <row r="180">
      <c r="A180" s="272" t="n"/>
      <c r="B180" s="698" t="n"/>
      <c r="C180" s="247" t="n">
        <v>72</v>
      </c>
      <c r="D180" s="257" t="inlineStr">
        <is>
          <t>Garin Bormo</t>
        </is>
      </c>
      <c r="E180" s="288" t="inlineStr">
        <is>
          <t>Tibiri</t>
        </is>
      </c>
      <c r="F180" s="238" t="inlineStr">
        <is>
          <t>Control</t>
        </is>
      </c>
      <c r="G180" s="239" t="n">
        <v>2021</v>
      </c>
      <c r="H180" s="320" t="n">
        <v>2022</v>
      </c>
      <c r="I180" s="237" t="n">
        <v>0</v>
      </c>
      <c r="J180" s="57" t="n">
        <v>0</v>
      </c>
      <c r="K180" s="241" t="n">
        <v>20</v>
      </c>
      <c r="L180" s="405" t="n">
        <v>0</v>
      </c>
      <c r="M180" s="59" t="n"/>
      <c r="N180" s="562" t="n">
        <v>0</v>
      </c>
      <c r="O180" s="562" t="n">
        <v>1</v>
      </c>
      <c r="P180" s="562" t="n">
        <v>0.75</v>
      </c>
      <c r="Q180" s="242" t="n">
        <v>14.5</v>
      </c>
      <c r="R180" s="242" t="n">
        <v>17</v>
      </c>
      <c r="S180" s="242" t="n">
        <v>14.5</v>
      </c>
      <c r="T180" s="242" t="n">
        <v>19.4</v>
      </c>
      <c r="U180" s="62" t="n">
        <v>0</v>
      </c>
      <c r="V180" s="62" t="n"/>
      <c r="W180" s="62" t="n"/>
      <c r="X180" s="62" t="n"/>
      <c r="Y180" s="62" t="n"/>
      <c r="Z180" s="62" t="n"/>
      <c r="AA180" s="62" t="n"/>
      <c r="AB180" s="62" t="n"/>
      <c r="AC180" s="62" t="n"/>
      <c r="AD180" s="62" t="n"/>
      <c r="AE180" s="62" t="n"/>
      <c r="AF180" s="62" t="n"/>
      <c r="AG180" s="162" t="n"/>
    </row>
    <row r="181">
      <c r="A181" s="249" t="inlineStr">
        <is>
          <t>Prec. controle</t>
        </is>
      </c>
      <c r="B181" s="707" t="n">
        <v>8</v>
      </c>
      <c r="C181" s="245" t="n">
        <v>31</v>
      </c>
      <c r="D181" s="256" t="inlineStr">
        <is>
          <t>Soura Sarkin Galma 1</t>
        </is>
      </c>
      <c r="E181" s="229" t="inlineStr">
        <is>
          <t>Tibiri</t>
        </is>
      </c>
      <c r="F181" s="229" t="inlineStr">
        <is>
          <t>Intervention</t>
        </is>
      </c>
      <c r="G181" s="305" t="n">
        <v>2021</v>
      </c>
      <c r="H181" s="305" t="n">
        <v>2022</v>
      </c>
      <c r="I181" s="289" t="n">
        <v>1</v>
      </c>
      <c r="J181" s="308" t="n">
        <v>3</v>
      </c>
      <c r="K181" s="229" t="n">
        <v>42</v>
      </c>
      <c r="L181" s="232" t="n">
        <v>1</v>
      </c>
      <c r="M181" s="537" t="n"/>
      <c r="N181" s="561">
        <f>1/K181</f>
        <v/>
      </c>
      <c r="O181" s="561" t="n">
        <v>0.88</v>
      </c>
      <c r="P181" s="561" t="n">
        <v>1</v>
      </c>
      <c r="Q181" s="255" t="n">
        <v>8.1</v>
      </c>
      <c r="R181" s="255" t="n">
        <v>13.8</v>
      </c>
      <c r="S181" s="255" t="n">
        <v>8.6</v>
      </c>
      <c r="T181" s="255" t="n">
        <v>12.5</v>
      </c>
      <c r="U181" s="72" t="n">
        <v>0</v>
      </c>
      <c r="V181" s="72" t="n"/>
      <c r="W181" s="72" t="n"/>
      <c r="X181" s="72" t="n"/>
      <c r="Y181" s="72" t="n"/>
      <c r="Z181" s="72" t="n"/>
      <c r="AA181" s="72" t="n"/>
      <c r="AB181" s="72" t="n"/>
      <c r="AC181" s="72" t="n"/>
      <c r="AD181" s="72" t="n"/>
      <c r="AE181" s="72" t="n"/>
      <c r="AF181" s="72" t="n"/>
      <c r="AG181" s="163" t="n"/>
    </row>
    <row r="182">
      <c r="A182" s="272" t="n"/>
      <c r="B182" s="698" t="n"/>
      <c r="C182" s="247" t="n">
        <v>10</v>
      </c>
      <c r="D182" s="257" t="inlineStr">
        <is>
          <t xml:space="preserve">Imbelbelou 3 </t>
        </is>
      </c>
      <c r="E182" s="288" t="inlineStr">
        <is>
          <t>Tibiri</t>
        </is>
      </c>
      <c r="F182" s="238" t="inlineStr">
        <is>
          <t>Control</t>
        </is>
      </c>
      <c r="G182" s="239" t="n">
        <v>2021</v>
      </c>
      <c r="H182" s="320" t="n">
        <v>2022</v>
      </c>
      <c r="I182" s="237" t="n">
        <v>0</v>
      </c>
      <c r="J182" s="57" t="n">
        <v>0</v>
      </c>
      <c r="K182" s="241" t="n">
        <v>48</v>
      </c>
      <c r="L182" s="405" t="n">
        <v>0</v>
      </c>
      <c r="M182" s="59" t="n"/>
      <c r="N182" s="286" t="n">
        <v>0.0208</v>
      </c>
      <c r="O182" s="538" t="n">
        <v>0.73</v>
      </c>
      <c r="P182" s="538" t="n">
        <v>0.97</v>
      </c>
      <c r="Q182" s="243" t="n">
        <v>9.9</v>
      </c>
      <c r="R182" s="243" t="n">
        <v>11.2</v>
      </c>
      <c r="S182" s="243" t="n">
        <v>12.8</v>
      </c>
      <c r="T182" s="243" t="n">
        <v>12.4</v>
      </c>
      <c r="U182" s="81" t="n">
        <v>0</v>
      </c>
      <c r="V182" s="81" t="n"/>
      <c r="W182" s="81" t="n"/>
      <c r="X182" s="81" t="n"/>
      <c r="Y182" s="81" t="n"/>
      <c r="Z182" s="81" t="n"/>
      <c r="AA182" s="81" t="n"/>
      <c r="AB182" s="81" t="n"/>
      <c r="AC182" s="81" t="n"/>
      <c r="AD182" s="81" t="n"/>
      <c r="AE182" s="81" t="n"/>
      <c r="AF182" s="81" t="n"/>
      <c r="AG182" s="244" t="n"/>
    </row>
    <row r="183">
      <c r="A183" s="249" t="n"/>
      <c r="B183" s="707" t="n">
        <v>9</v>
      </c>
      <c r="C183" s="245" t="n">
        <v>15</v>
      </c>
      <c r="D183" s="256" t="inlineStr">
        <is>
          <t>Waraou</t>
        </is>
      </c>
      <c r="E183" s="229" t="inlineStr">
        <is>
          <t>Tibiri</t>
        </is>
      </c>
      <c r="F183" s="229" t="inlineStr">
        <is>
          <t>Intervention</t>
        </is>
      </c>
      <c r="G183" s="305" t="n">
        <v>2021</v>
      </c>
      <c r="H183" s="305" t="n">
        <v>2022</v>
      </c>
      <c r="I183" s="231" t="n">
        <v>5</v>
      </c>
      <c r="J183" s="308" t="n">
        <v>4</v>
      </c>
      <c r="K183" s="229" t="n">
        <v>51</v>
      </c>
      <c r="L183" s="232" t="n">
        <v>1</v>
      </c>
      <c r="M183" s="537" t="n"/>
      <c r="N183" s="559" t="n">
        <v>0</v>
      </c>
      <c r="O183" s="559" t="n">
        <v>0.76</v>
      </c>
      <c r="P183" s="559" t="n">
        <v>1</v>
      </c>
      <c r="Q183" s="246" t="n">
        <v>5.8</v>
      </c>
      <c r="R183" s="246" t="n">
        <v>16.4</v>
      </c>
      <c r="S183" s="246" t="n">
        <v>6.5</v>
      </c>
      <c r="T183" s="246" t="n">
        <v>15.8</v>
      </c>
      <c r="U183" s="91" t="n">
        <v>0</v>
      </c>
      <c r="V183" s="91" t="n"/>
      <c r="W183" s="91" t="n"/>
      <c r="X183" s="91" t="n"/>
      <c r="Y183" s="91" t="n"/>
      <c r="Z183" s="91" t="n"/>
      <c r="AA183" s="91" t="n"/>
      <c r="AB183" s="91" t="n"/>
      <c r="AC183" s="91" t="n"/>
      <c r="AD183" s="91" t="n"/>
      <c r="AE183" s="91" t="n"/>
      <c r="AF183" s="91" t="n"/>
      <c r="AG183" s="160" t="n"/>
    </row>
    <row r="184">
      <c r="A184" s="290" t="inlineStr">
        <is>
          <t>Tibiri Magagia Gobir</t>
        </is>
      </c>
      <c r="B184" s="698" t="n"/>
      <c r="C184" s="291" t="n">
        <v>73</v>
      </c>
      <c r="D184" s="292" t="inlineStr">
        <is>
          <t>Sarkin Aski</t>
        </is>
      </c>
      <c r="E184" s="288" t="inlineStr">
        <is>
          <t>Tibiri</t>
        </is>
      </c>
      <c r="F184" s="238" t="inlineStr">
        <is>
          <t>Control</t>
        </is>
      </c>
      <c r="G184" s="239" t="n">
        <v>2021</v>
      </c>
      <c r="H184" s="320" t="n">
        <v>2022</v>
      </c>
      <c r="I184" s="237" t="n">
        <v>0</v>
      </c>
      <c r="J184" s="57" t="n">
        <v>0</v>
      </c>
      <c r="K184" s="241" t="n">
        <v>12</v>
      </c>
      <c r="L184" s="405" t="n">
        <v>0</v>
      </c>
      <c r="M184" s="59" t="n"/>
      <c r="N184" s="293" t="n">
        <v>0</v>
      </c>
      <c r="O184" s="562" t="n">
        <v>0.5</v>
      </c>
      <c r="P184" s="562" t="n">
        <v>0.83</v>
      </c>
      <c r="Q184" s="242" t="n">
        <v>10.5</v>
      </c>
      <c r="R184" s="242" t="n">
        <v>11.6</v>
      </c>
      <c r="S184" s="242" t="n">
        <v>11.2</v>
      </c>
      <c r="T184" s="242" t="n">
        <v>14.8</v>
      </c>
      <c r="U184" s="62" t="n">
        <v>0</v>
      </c>
      <c r="V184" s="62" t="n"/>
      <c r="W184" s="62" t="n"/>
      <c r="X184" s="62" t="n"/>
      <c r="Y184" s="62" t="n"/>
      <c r="Z184" s="62" t="n"/>
      <c r="AA184" s="62" t="n"/>
      <c r="AB184" s="62" t="n"/>
      <c r="AC184" s="62" t="n"/>
      <c r="AD184" s="62" t="n"/>
      <c r="AE184" s="62" t="n"/>
      <c r="AF184" s="62" t="n"/>
      <c r="AG184" s="162" t="n"/>
    </row>
    <row r="185" ht="19.5" customHeight="1" s="695">
      <c r="A185" s="259" t="n"/>
      <c r="B185" s="709" t="n">
        <v>10</v>
      </c>
      <c r="C185" s="294" t="n">
        <v>16</v>
      </c>
      <c r="D185" s="295" t="inlineStr">
        <is>
          <t>Soura Sarkin Galma  2</t>
        </is>
      </c>
      <c r="E185" s="296" t="inlineStr">
        <is>
          <t>Tibiri</t>
        </is>
      </c>
      <c r="F185" s="263" t="inlineStr">
        <is>
          <t>Intervention</t>
        </is>
      </c>
      <c r="G185" s="262" t="n">
        <v>2021</v>
      </c>
      <c r="H185" s="262" t="n">
        <v>2022</v>
      </c>
      <c r="I185" s="297" t="n">
        <v>1</v>
      </c>
      <c r="J185" s="311" t="n">
        <v>3</v>
      </c>
      <c r="K185" s="263" t="n">
        <v>41</v>
      </c>
      <c r="L185" s="232" t="n">
        <v>1</v>
      </c>
      <c r="M185" s="534" t="n"/>
      <c r="N185" s="299" t="n">
        <v>0</v>
      </c>
      <c r="O185" s="299" t="n">
        <v>0.85</v>
      </c>
      <c r="P185" s="299" t="n">
        <v>0.97</v>
      </c>
      <c r="Q185" s="266" t="n">
        <v>9.5</v>
      </c>
      <c r="R185" s="266" t="n">
        <v>11.3</v>
      </c>
      <c r="S185" s="266" t="n">
        <v>7.1</v>
      </c>
      <c r="T185" s="266" t="n">
        <v>8.6</v>
      </c>
      <c r="U185" s="300" t="n">
        <v>0</v>
      </c>
      <c r="V185" s="300" t="n"/>
      <c r="W185" s="300" t="n"/>
      <c r="X185" s="300" t="n"/>
      <c r="Y185" s="300" t="n"/>
      <c r="Z185" s="300" t="n"/>
      <c r="AA185" s="300" t="n"/>
      <c r="AB185" s="300" t="n"/>
      <c r="AC185" s="300" t="n"/>
      <c r="AD185" s="300" t="n"/>
      <c r="AE185" s="300" t="n"/>
      <c r="AF185" s="300" t="n"/>
      <c r="AG185" s="268" t="n"/>
    </row>
    <row r="186">
      <c r="A186" s="272" t="n"/>
      <c r="B186" s="698" t="n"/>
      <c r="C186" s="247" t="n">
        <v>22</v>
      </c>
      <c r="D186" s="257" t="inlineStr">
        <is>
          <t>Guigamaoua Sofoua</t>
        </is>
      </c>
      <c r="E186" s="301" t="inlineStr">
        <is>
          <t>Tibiri</t>
        </is>
      </c>
      <c r="F186" s="238" t="inlineStr">
        <is>
          <t>Control</t>
        </is>
      </c>
      <c r="G186" s="239" t="n">
        <v>2021</v>
      </c>
      <c r="H186" s="320" t="n">
        <v>2022</v>
      </c>
      <c r="I186" s="237" t="n">
        <v>0</v>
      </c>
      <c r="J186" s="57" t="n">
        <v>0</v>
      </c>
      <c r="K186" s="241" t="n">
        <v>19</v>
      </c>
      <c r="L186" s="405" t="n">
        <v>0</v>
      </c>
      <c r="M186" s="59" t="n"/>
      <c r="N186" s="538" t="n">
        <v>0</v>
      </c>
      <c r="O186" s="538" t="n">
        <v>0.42</v>
      </c>
      <c r="P186" s="538" t="n">
        <v>0.5</v>
      </c>
      <c r="Q186" s="243" t="n">
        <v>10.7</v>
      </c>
      <c r="R186" s="243" t="n">
        <v>11.4</v>
      </c>
      <c r="S186" s="243" t="n">
        <v>5.6</v>
      </c>
      <c r="T186" s="243" t="n">
        <v>7.2</v>
      </c>
      <c r="U186" s="81" t="n">
        <v>0</v>
      </c>
      <c r="V186" s="81" t="n"/>
      <c r="W186" s="81" t="n"/>
      <c r="X186" s="81" t="n"/>
      <c r="Y186" s="81" t="n"/>
      <c r="Z186" s="81" t="n"/>
      <c r="AA186" s="81" t="n"/>
      <c r="AB186" s="81" t="n"/>
      <c r="AC186" s="81" t="n"/>
      <c r="AD186" s="81" t="n"/>
      <c r="AE186" s="81" t="n"/>
      <c r="AF186" s="81" t="n"/>
      <c r="AG186" s="244" t="n"/>
    </row>
    <row r="187">
      <c r="A187" s="249" t="n"/>
      <c r="B187" s="707" t="n">
        <v>11</v>
      </c>
      <c r="C187" s="245" t="n">
        <v>25</v>
      </c>
      <c r="D187" s="256" t="inlineStr">
        <is>
          <t>Soura Magagi Rogo</t>
        </is>
      </c>
      <c r="E187" s="229" t="inlineStr">
        <is>
          <t>Tibiri</t>
        </is>
      </c>
      <c r="F187" s="229" t="inlineStr">
        <is>
          <t>Intervention</t>
        </is>
      </c>
      <c r="G187" s="305" t="n">
        <v>2021</v>
      </c>
      <c r="H187" s="305" t="n">
        <v>2022</v>
      </c>
      <c r="I187" s="231" t="n">
        <v>2</v>
      </c>
      <c r="J187" s="229" t="n">
        <v>1</v>
      </c>
      <c r="K187" s="229" t="n">
        <v>18</v>
      </c>
      <c r="L187" s="232" t="n">
        <v>1</v>
      </c>
      <c r="M187" s="537" t="n"/>
      <c r="N187" s="559">
        <f>1/K187</f>
        <v/>
      </c>
      <c r="O187" s="559" t="n">
        <v>0.78</v>
      </c>
      <c r="P187" s="559" t="n">
        <v>0.93</v>
      </c>
      <c r="Q187" s="246" t="n">
        <v>10</v>
      </c>
      <c r="R187" s="246" t="n">
        <v>13.6</v>
      </c>
      <c r="S187" s="246" t="n">
        <v>11.6</v>
      </c>
      <c r="T187" s="246" t="n">
        <v>14.5</v>
      </c>
      <c r="U187" s="91" t="n">
        <v>0</v>
      </c>
      <c r="V187" s="91" t="n"/>
      <c r="W187" s="91" t="n"/>
      <c r="X187" s="91" t="n"/>
      <c r="Y187" s="91" t="n"/>
      <c r="Z187" s="91" t="n"/>
      <c r="AA187" s="91" t="n"/>
      <c r="AB187" s="91" t="n"/>
      <c r="AC187" s="91" t="n"/>
      <c r="AD187" s="91" t="n"/>
      <c r="AE187" s="91" t="n"/>
      <c r="AF187" s="91" t="n"/>
      <c r="AG187" s="160" t="n"/>
    </row>
    <row r="188">
      <c r="A188" s="272" t="n"/>
      <c r="B188" s="698" t="n"/>
      <c r="C188" s="247" t="n">
        <v>26</v>
      </c>
      <c r="D188" s="257" t="inlineStr">
        <is>
          <t>Maisso</t>
        </is>
      </c>
      <c r="E188" s="288" t="inlineStr">
        <is>
          <t>Tibiri</t>
        </is>
      </c>
      <c r="F188" s="238" t="inlineStr">
        <is>
          <t>Control</t>
        </is>
      </c>
      <c r="G188" s="239" t="n">
        <v>2021</v>
      </c>
      <c r="H188" s="320" t="n">
        <v>2022</v>
      </c>
      <c r="I188" s="237" t="n">
        <v>0</v>
      </c>
      <c r="J188" s="57" t="n">
        <v>0</v>
      </c>
      <c r="K188" s="241" t="n">
        <v>20</v>
      </c>
      <c r="L188" s="405" t="n">
        <v>0</v>
      </c>
      <c r="M188" s="59" t="n"/>
      <c r="N188" s="562" t="n">
        <v>0</v>
      </c>
      <c r="O188" s="562" t="n">
        <v>0.15</v>
      </c>
      <c r="P188" s="562" t="n">
        <v>0.66</v>
      </c>
      <c r="Q188" s="242" t="n">
        <v>5.5</v>
      </c>
      <c r="R188" s="242" t="n">
        <v>4.5</v>
      </c>
      <c r="S188" s="242" t="n">
        <v>4</v>
      </c>
      <c r="T188" s="242" t="n">
        <v>3</v>
      </c>
      <c r="U188" s="62" t="n">
        <v>0</v>
      </c>
      <c r="V188" s="62" t="n"/>
      <c r="W188" s="62" t="n"/>
      <c r="X188" s="62" t="n"/>
      <c r="Y188" s="62" t="n"/>
      <c r="Z188" s="62" t="n"/>
      <c r="AA188" s="62" t="n"/>
      <c r="AB188" s="62" t="n"/>
      <c r="AC188" s="62" t="n"/>
      <c r="AD188" s="62" t="n"/>
      <c r="AE188" s="62" t="n"/>
      <c r="AF188" s="62" t="n"/>
      <c r="AG188" s="162" t="n"/>
    </row>
    <row r="189">
      <c r="A189" s="249" t="n"/>
      <c r="B189" s="707" t="n">
        <v>12</v>
      </c>
      <c r="C189" s="245" t="n">
        <v>27</v>
      </c>
      <c r="D189" s="256" t="inlineStr">
        <is>
          <t>Kalgon Waraou</t>
        </is>
      </c>
      <c r="E189" s="229" t="inlineStr">
        <is>
          <t>Tibiri</t>
        </is>
      </c>
      <c r="F189" s="229" t="inlineStr">
        <is>
          <t>Intervention</t>
        </is>
      </c>
      <c r="G189" s="305" t="n">
        <v>2021</v>
      </c>
      <c r="H189" s="305" t="n">
        <v>2022</v>
      </c>
      <c r="I189" s="231" t="n">
        <v>3</v>
      </c>
      <c r="J189" s="308" t="n">
        <v>1</v>
      </c>
      <c r="K189" s="229" t="n">
        <v>16</v>
      </c>
      <c r="L189" s="232" t="n">
        <v>1</v>
      </c>
      <c r="M189" s="537" t="n"/>
      <c r="N189" s="561" t="n">
        <v>0</v>
      </c>
      <c r="O189" s="561" t="n">
        <v>0.88</v>
      </c>
      <c r="P189" s="561" t="n">
        <v>1</v>
      </c>
      <c r="Q189" s="255" t="n">
        <v>8.699999999999999</v>
      </c>
      <c r="R189" s="255" t="n">
        <v>14.3</v>
      </c>
      <c r="S189" s="255" t="n">
        <v>6</v>
      </c>
      <c r="T189" s="255" t="n">
        <v>11.9</v>
      </c>
      <c r="U189" s="72" t="n">
        <v>0</v>
      </c>
      <c r="V189" s="72" t="n"/>
      <c r="W189" s="72" t="n"/>
      <c r="X189" s="72" t="n"/>
      <c r="Y189" s="72" t="n"/>
      <c r="Z189" s="72" t="n"/>
      <c r="AA189" s="72" t="n"/>
      <c r="AB189" s="72" t="n"/>
      <c r="AC189" s="72" t="n"/>
      <c r="AD189" s="72" t="n"/>
      <c r="AE189" s="72" t="n"/>
      <c r="AF189" s="72" t="n"/>
      <c r="AG189" s="163" t="n"/>
    </row>
    <row r="190">
      <c r="A190" s="272" t="n"/>
      <c r="B190" s="698" t="n"/>
      <c r="C190" s="247" t="n">
        <v>74</v>
      </c>
      <c r="D190" s="257" t="inlineStr">
        <is>
          <t>Garin Daoure 2</t>
        </is>
      </c>
      <c r="E190" s="288" t="inlineStr">
        <is>
          <t>Tibiri</t>
        </is>
      </c>
      <c r="F190" s="238" t="inlineStr">
        <is>
          <t>Control</t>
        </is>
      </c>
      <c r="G190" s="239" t="n">
        <v>2021</v>
      </c>
      <c r="H190" s="320" t="n">
        <v>2022</v>
      </c>
      <c r="I190" s="237" t="n">
        <v>0</v>
      </c>
      <c r="J190" s="57" t="n">
        <v>0</v>
      </c>
      <c r="K190" s="241" t="n">
        <v>11</v>
      </c>
      <c r="L190" s="405" t="n">
        <v>0</v>
      </c>
      <c r="M190" s="59" t="n"/>
      <c r="N190" s="538" t="n">
        <v>0.09</v>
      </c>
      <c r="O190" s="538" t="n">
        <v>0.91</v>
      </c>
      <c r="P190" s="538" t="n">
        <v>0.9</v>
      </c>
      <c r="Q190" s="243" t="n">
        <v>13.1</v>
      </c>
      <c r="R190" s="243" t="n">
        <v>13.8</v>
      </c>
      <c r="S190" s="243" t="n">
        <v>12.8</v>
      </c>
      <c r="T190" s="243" t="n">
        <v>13.8</v>
      </c>
      <c r="U190" s="81" t="n">
        <v>0</v>
      </c>
      <c r="V190" s="81" t="n"/>
      <c r="W190" s="81" t="n"/>
      <c r="X190" s="81" t="n"/>
      <c r="Y190" s="81" t="n"/>
      <c r="Z190" s="81" t="n"/>
      <c r="AA190" s="81" t="n"/>
      <c r="AB190" s="81" t="n"/>
      <c r="AC190" s="81" t="n"/>
      <c r="AD190" s="81" t="n"/>
      <c r="AE190" s="81" t="n"/>
      <c r="AF190" s="81" t="n"/>
      <c r="AG190" s="244" t="n"/>
    </row>
    <row r="191">
      <c r="A191" s="249" t="n"/>
      <c r="B191" s="707" t="n">
        <v>13</v>
      </c>
      <c r="C191" s="245" t="n">
        <v>8</v>
      </c>
      <c r="D191" s="256" t="inlineStr">
        <is>
          <t>Tibiri Dan Fillo 3</t>
        </is>
      </c>
      <c r="E191" s="229" t="inlineStr">
        <is>
          <t>Tibiri</t>
        </is>
      </c>
      <c r="F191" s="229" t="inlineStr">
        <is>
          <t>Intervention</t>
        </is>
      </c>
      <c r="G191" s="305" t="n">
        <v>2021</v>
      </c>
      <c r="H191" s="305" t="n">
        <v>2022</v>
      </c>
      <c r="I191" s="289" t="n">
        <v>3</v>
      </c>
      <c r="J191" s="308" t="n">
        <v>4</v>
      </c>
      <c r="K191" s="229" t="n">
        <v>50</v>
      </c>
      <c r="L191" s="232" t="n">
        <v>1</v>
      </c>
      <c r="M191" s="537" t="n"/>
      <c r="N191" s="559">
        <f>10/K191</f>
        <v/>
      </c>
      <c r="O191" s="559" t="n">
        <v>0.5600000000000001</v>
      </c>
      <c r="P191" s="559" t="n">
        <v>0.96</v>
      </c>
      <c r="Q191" s="159" t="n">
        <v>6.27</v>
      </c>
      <c r="R191" s="159" t="n">
        <v>14.17</v>
      </c>
      <c r="S191" s="159" t="n">
        <v>5.18</v>
      </c>
      <c r="T191" s="159" t="n">
        <v>13.42</v>
      </c>
      <c r="U191" s="91" t="n">
        <v>0</v>
      </c>
      <c r="V191" s="91" t="n"/>
      <c r="W191" s="91" t="n"/>
      <c r="X191" s="91" t="n"/>
      <c r="Y191" s="91" t="n"/>
      <c r="Z191" s="91" t="n"/>
      <c r="AA191" s="91" t="n"/>
      <c r="AB191" s="91" t="n"/>
      <c r="AC191" s="91" t="n"/>
      <c r="AD191" s="91" t="n"/>
      <c r="AE191" s="91" t="n"/>
      <c r="AF191" s="91" t="n"/>
      <c r="AG191" s="160" t="n"/>
    </row>
    <row r="192">
      <c r="A192" s="257" t="inlineStr">
        <is>
          <t>Imbelbellou 3</t>
        </is>
      </c>
      <c r="B192" s="698" t="n"/>
      <c r="C192" s="247" t="n">
        <v>75</v>
      </c>
      <c r="D192" s="257" t="inlineStr">
        <is>
          <t>Maza Tsaye II</t>
        </is>
      </c>
      <c r="E192" s="288" t="inlineStr">
        <is>
          <t>Tibiri</t>
        </is>
      </c>
      <c r="F192" s="238" t="inlineStr">
        <is>
          <t>Control</t>
        </is>
      </c>
      <c r="G192" s="239" t="n">
        <v>2021</v>
      </c>
      <c r="H192" s="320" t="n">
        <v>2022</v>
      </c>
      <c r="I192" s="237" t="n">
        <v>0</v>
      </c>
      <c r="J192" s="57" t="n">
        <v>0</v>
      </c>
      <c r="K192" s="241" t="n">
        <v>39</v>
      </c>
      <c r="L192" s="405" t="n">
        <v>0</v>
      </c>
      <c r="M192" s="59" t="n"/>
      <c r="N192" s="286" t="n">
        <v>0.025</v>
      </c>
      <c r="O192" s="562" t="n">
        <v>0.79</v>
      </c>
      <c r="P192" s="562" t="n">
        <v>0.8100000000000001</v>
      </c>
      <c r="Q192" s="242" t="n">
        <v>9.199999999999999</v>
      </c>
      <c r="R192" s="242" t="n">
        <v>7.8</v>
      </c>
      <c r="S192" s="242" t="n">
        <v>6.1</v>
      </c>
      <c r="T192" s="242" t="n">
        <v>8.699999999999999</v>
      </c>
      <c r="U192" s="62" t="n">
        <v>0</v>
      </c>
      <c r="V192" s="62" t="n"/>
      <c r="W192" s="62" t="n"/>
      <c r="X192" s="62" t="n"/>
      <c r="Y192" s="62" t="n"/>
      <c r="Z192" s="62" t="n"/>
      <c r="AA192" s="62" t="n"/>
      <c r="AB192" s="62" t="n"/>
      <c r="AC192" s="62" t="n"/>
      <c r="AD192" s="62" t="n"/>
      <c r="AE192" s="62" t="n"/>
      <c r="AF192" s="62" t="n"/>
      <c r="AG192" s="162" t="n"/>
    </row>
    <row r="193">
      <c r="A193" s="249" t="n"/>
      <c r="B193" s="707" t="n">
        <v>14</v>
      </c>
      <c r="C193" s="302" t="n">
        <v>44</v>
      </c>
      <c r="D193" s="305" t="inlineStr">
        <is>
          <t>Sabon Gari Kolta</t>
        </is>
      </c>
      <c r="E193" s="229" t="inlineStr">
        <is>
          <t>Djirataoua</t>
        </is>
      </c>
      <c r="F193" s="229" t="inlineStr">
        <is>
          <t>Intervention</t>
        </is>
      </c>
      <c r="G193" s="252" t="n">
        <v>2021</v>
      </c>
      <c r="H193" s="252" t="n">
        <v>2022</v>
      </c>
      <c r="I193" s="231" t="n">
        <v>2</v>
      </c>
      <c r="J193" s="252" t="n">
        <v>2</v>
      </c>
      <c r="K193" s="229" t="n">
        <v>29</v>
      </c>
      <c r="L193" s="232" t="n">
        <v>1</v>
      </c>
      <c r="M193" s="537" t="n"/>
      <c r="N193" s="561" t="n">
        <v>0</v>
      </c>
      <c r="O193" s="561" t="n">
        <v>0.76</v>
      </c>
      <c r="P193" s="561" t="n">
        <v>0.95</v>
      </c>
      <c r="Q193" s="255" t="n">
        <v>8.6</v>
      </c>
      <c r="R193" s="255" t="n">
        <v>13.6</v>
      </c>
      <c r="S193" s="255" t="n">
        <v>6.7</v>
      </c>
      <c r="T193" s="255" t="n">
        <v>12</v>
      </c>
      <c r="U193" s="72" t="n">
        <v>0</v>
      </c>
      <c r="V193" s="72" t="n"/>
      <c r="W193" s="72" t="n"/>
      <c r="X193" s="72" t="n"/>
      <c r="Y193" s="72" t="n"/>
      <c r="Z193" s="72" t="n"/>
      <c r="AA193" s="72" t="n"/>
      <c r="AB193" s="72" t="n"/>
      <c r="AC193" s="72" t="n"/>
      <c r="AD193" s="72" t="n"/>
      <c r="AE193" s="72" t="n"/>
      <c r="AF193" s="72" t="n"/>
      <c r="AG193" s="163" t="n"/>
    </row>
    <row r="194">
      <c r="A194" s="272" t="n"/>
      <c r="B194" s="698" t="n"/>
      <c r="C194" s="269" t="n">
        <v>63</v>
      </c>
      <c r="D194" s="320" t="inlineStr">
        <is>
          <t>Dallia</t>
        </is>
      </c>
      <c r="E194" s="288" t="inlineStr">
        <is>
          <t>Djirataoua</t>
        </is>
      </c>
      <c r="F194" s="238" t="inlineStr">
        <is>
          <t>Control</t>
        </is>
      </c>
      <c r="G194" s="239" t="n">
        <v>2021</v>
      </c>
      <c r="H194" s="57" t="n">
        <v>2022</v>
      </c>
      <c r="I194" s="237" t="n">
        <v>0</v>
      </c>
      <c r="J194" s="57" t="n">
        <v>0</v>
      </c>
      <c r="K194" s="241" t="n">
        <v>24</v>
      </c>
      <c r="L194" s="405" t="n">
        <v>0</v>
      </c>
      <c r="M194" s="59" t="n"/>
      <c r="N194" s="538" t="n">
        <v>0</v>
      </c>
      <c r="O194" s="538" t="n">
        <v>0.46</v>
      </c>
      <c r="P194" s="538" t="n">
        <v>0.82</v>
      </c>
      <c r="Q194" s="243" t="n">
        <v>9.800000000000001</v>
      </c>
      <c r="R194" s="243" t="n">
        <v>12</v>
      </c>
      <c r="S194" s="243" t="n">
        <v>9.5</v>
      </c>
      <c r="T194" s="243" t="n">
        <v>11.5</v>
      </c>
      <c r="U194" s="81" t="n">
        <v>0</v>
      </c>
      <c r="V194" s="81" t="n"/>
      <c r="W194" s="81" t="n"/>
      <c r="X194" s="81" t="n"/>
      <c r="Y194" s="81" t="n"/>
      <c r="Z194" s="81" t="n"/>
      <c r="AA194" s="81" t="n"/>
      <c r="AB194" s="81" t="n"/>
      <c r="AC194" s="81" t="n"/>
      <c r="AD194" s="81" t="n"/>
      <c r="AE194" s="81" t="n"/>
      <c r="AF194" s="81" t="n"/>
      <c r="AG194" s="244" t="n"/>
    </row>
    <row r="195">
      <c r="A195" s="303" t="n"/>
      <c r="B195" s="711" t="n">
        <v>15</v>
      </c>
      <c r="C195" s="302" t="n">
        <v>34</v>
      </c>
      <c r="D195" s="305" t="inlineStr">
        <is>
          <t>Koderaoua</t>
        </is>
      </c>
      <c r="E195" s="307" t="inlineStr">
        <is>
          <t>Djirataoua</t>
        </is>
      </c>
      <c r="F195" s="307" t="inlineStr">
        <is>
          <t>Intervention</t>
        </is>
      </c>
      <c r="G195" s="308" t="n">
        <v>2021</v>
      </c>
      <c r="H195" s="308" t="n">
        <v>2022</v>
      </c>
      <c r="I195" s="309" t="n">
        <v>2</v>
      </c>
      <c r="J195" s="308" t="n">
        <v>3</v>
      </c>
      <c r="K195" s="310" t="n">
        <v>47</v>
      </c>
      <c r="L195" s="311" t="n">
        <v>1</v>
      </c>
      <c r="M195" s="312" t="n"/>
      <c r="N195" s="313">
        <f>1/K195</f>
        <v/>
      </c>
      <c r="O195" s="313" t="n">
        <v>0.45</v>
      </c>
      <c r="P195" s="313" t="n">
        <v>1</v>
      </c>
      <c r="Q195" s="646" t="n">
        <v>5.5</v>
      </c>
      <c r="R195" s="646" t="n">
        <v>11.1</v>
      </c>
      <c r="S195" s="646" t="n">
        <v>3.8</v>
      </c>
      <c r="T195" s="646" t="n">
        <v>9.4</v>
      </c>
      <c r="U195" s="316" t="n">
        <v>0</v>
      </c>
      <c r="V195" s="316" t="n"/>
      <c r="W195" s="316" t="n"/>
      <c r="X195" s="316" t="n"/>
      <c r="Y195" s="316" t="n"/>
      <c r="Z195" s="316" t="n"/>
      <c r="AA195" s="316" t="n"/>
      <c r="AB195" s="316" t="n"/>
      <c r="AC195" s="316" t="n"/>
      <c r="AD195" s="316" t="n"/>
      <c r="AE195" s="316" t="n"/>
      <c r="AF195" s="316" t="n"/>
      <c r="AG195" s="317" t="n"/>
    </row>
    <row r="196">
      <c r="A196" s="318" t="n"/>
      <c r="B196" s="698" t="n"/>
      <c r="C196" s="319" t="n">
        <v>64</v>
      </c>
      <c r="D196" s="320" t="inlineStr">
        <is>
          <t>Oumarou Lawali Gago</t>
        </is>
      </c>
      <c r="E196" s="321" t="inlineStr">
        <is>
          <t>Djirataoua</t>
        </is>
      </c>
      <c r="F196" s="322" t="inlineStr">
        <is>
          <t>Control</t>
        </is>
      </c>
      <c r="G196" s="323" t="n">
        <v>2021</v>
      </c>
      <c r="H196" s="334" t="n">
        <v>2022</v>
      </c>
      <c r="I196" s="325" t="n">
        <v>0</v>
      </c>
      <c r="J196" s="326" t="n">
        <v>0</v>
      </c>
      <c r="K196" s="241" t="n">
        <v>36</v>
      </c>
      <c r="L196" s="405" t="n">
        <v>0</v>
      </c>
      <c r="M196" s="327" t="n"/>
      <c r="N196" s="328" t="n">
        <v>0</v>
      </c>
      <c r="O196" s="328" t="n">
        <v>0.53</v>
      </c>
      <c r="P196" s="328" t="n">
        <v>1</v>
      </c>
      <c r="Q196" s="655" t="n">
        <v>9.800000000000001</v>
      </c>
      <c r="R196" s="655" t="n">
        <v>12.7</v>
      </c>
      <c r="S196" s="655" t="n">
        <v>11</v>
      </c>
      <c r="T196" s="655" t="n">
        <v>12.4</v>
      </c>
      <c r="U196" s="331" t="n">
        <v>0</v>
      </c>
      <c r="V196" s="331" t="n"/>
      <c r="W196" s="331" t="n"/>
      <c r="X196" s="331" t="n"/>
      <c r="Y196" s="331" t="n"/>
      <c r="Z196" s="331" t="n"/>
      <c r="AA196" s="331" t="n"/>
      <c r="AB196" s="331" t="n"/>
      <c r="AC196" s="331" t="n"/>
      <c r="AD196" s="331" t="n"/>
      <c r="AE196" s="331" t="n"/>
      <c r="AF196" s="331" t="n"/>
      <c r="AG196" s="332" t="n"/>
    </row>
    <row r="197">
      <c r="A197" s="249" t="inlineStr">
        <is>
          <t>XXXXXX cohorte 6</t>
        </is>
      </c>
      <c r="B197" s="707" t="n">
        <v>16</v>
      </c>
      <c r="C197" s="302" t="n">
        <v>49</v>
      </c>
      <c r="D197" s="333" t="inlineStr">
        <is>
          <t>Takalmaoua 2</t>
        </is>
      </c>
      <c r="E197" s="229" t="inlineStr">
        <is>
          <t>Djirataoua</t>
        </is>
      </c>
      <c r="F197" s="229" t="inlineStr">
        <is>
          <t>Intervention</t>
        </is>
      </c>
      <c r="G197" s="252" t="n">
        <v>2021</v>
      </c>
      <c r="H197" s="252" t="n">
        <v>2022</v>
      </c>
      <c r="I197" s="231" t="n">
        <v>3</v>
      </c>
      <c r="J197" s="252" t="n">
        <v>1</v>
      </c>
      <c r="K197" s="229" t="n">
        <v>19</v>
      </c>
      <c r="L197" s="232" t="n">
        <v>1</v>
      </c>
      <c r="M197" s="537" t="n"/>
      <c r="N197" s="561" t="n">
        <v>0</v>
      </c>
      <c r="O197" s="561" t="n">
        <v>0.37</v>
      </c>
      <c r="P197" s="561" t="n">
        <v>1</v>
      </c>
      <c r="Q197" s="255" t="n">
        <v>7.8</v>
      </c>
      <c r="R197" s="255" t="n">
        <v>10.6</v>
      </c>
      <c r="S197" s="255" t="n">
        <v>3.2</v>
      </c>
      <c r="T197" s="255" t="n">
        <v>11.5</v>
      </c>
      <c r="U197" s="72" t="n">
        <v>0</v>
      </c>
      <c r="V197" s="72" t="n"/>
      <c r="W197" s="72" t="n"/>
      <c r="X197" s="72" t="n"/>
      <c r="Y197" s="72" t="n"/>
      <c r="Z197" s="72" t="n"/>
      <c r="AA197" s="72" t="n"/>
      <c r="AB197" s="72" t="n"/>
      <c r="AC197" s="72" t="n"/>
      <c r="AD197" s="72" t="n"/>
      <c r="AE197" s="72" t="n"/>
      <c r="AF197" s="72" t="n"/>
      <c r="AG197" s="163" t="n"/>
    </row>
    <row r="198">
      <c r="A198" s="272" t="inlineStr">
        <is>
          <t>XXXXxx cohorte 6</t>
        </is>
      </c>
      <c r="B198" s="698" t="n"/>
      <c r="C198" s="269" t="n">
        <v>65</v>
      </c>
      <c r="D198" s="320" t="inlineStr">
        <is>
          <t>Tajae Djiratawa</t>
        </is>
      </c>
      <c r="E198" s="288" t="inlineStr">
        <is>
          <t>Djirataoua</t>
        </is>
      </c>
      <c r="F198" s="238" t="inlineStr">
        <is>
          <t>Control</t>
        </is>
      </c>
      <c r="G198" s="239" t="n">
        <v>2021</v>
      </c>
      <c r="H198" s="57" t="n">
        <v>2022</v>
      </c>
      <c r="I198" s="237" t="n">
        <v>0</v>
      </c>
      <c r="J198" s="57" t="n">
        <v>0</v>
      </c>
      <c r="K198" s="241" t="n">
        <v>26</v>
      </c>
      <c r="L198" s="405" t="n">
        <v>0</v>
      </c>
      <c r="M198" s="59" t="n"/>
      <c r="N198" s="538" t="n">
        <v>0</v>
      </c>
      <c r="O198" s="538" t="n">
        <v>0.85</v>
      </c>
      <c r="P198" s="538" t="n">
        <v>0.73</v>
      </c>
      <c r="Q198" s="243" t="n">
        <v>8.5</v>
      </c>
      <c r="R198" s="243" t="n">
        <v>10.5</v>
      </c>
      <c r="S198" s="243" t="n">
        <v>6.5</v>
      </c>
      <c r="T198" s="243" t="n">
        <v>12.1</v>
      </c>
      <c r="U198" s="81" t="n">
        <v>0</v>
      </c>
      <c r="V198" s="81" t="n"/>
      <c r="W198" s="81" t="n"/>
      <c r="X198" s="81" t="n"/>
      <c r="Y198" s="81" t="n"/>
      <c r="Z198" s="81" t="n"/>
      <c r="AA198" s="81" t="n"/>
      <c r="AB198" s="81" t="n"/>
      <c r="AC198" s="81" t="n"/>
      <c r="AD198" s="81" t="n"/>
      <c r="AE198" s="81" t="n"/>
      <c r="AF198" s="81" t="n"/>
      <c r="AG198" s="244" t="n"/>
    </row>
    <row r="199">
      <c r="A199" s="249" t="n"/>
      <c r="B199" s="707" t="n">
        <v>17</v>
      </c>
      <c r="C199" s="250" t="n">
        <v>38</v>
      </c>
      <c r="D199" s="251" t="inlineStr">
        <is>
          <t>Danja 2</t>
        </is>
      </c>
      <c r="E199" s="229" t="inlineStr">
        <is>
          <t>Djirataoua</t>
        </is>
      </c>
      <c r="F199" s="229" t="inlineStr">
        <is>
          <t>Intervention</t>
        </is>
      </c>
      <c r="G199" s="252" t="n">
        <v>2021</v>
      </c>
      <c r="H199" s="252" t="n">
        <v>2022</v>
      </c>
      <c r="I199" s="231" t="n">
        <v>2</v>
      </c>
      <c r="J199" s="252" t="n">
        <v>2</v>
      </c>
      <c r="K199" s="229" t="n">
        <v>31</v>
      </c>
      <c r="L199" s="232" t="n">
        <v>1</v>
      </c>
      <c r="M199" s="537" t="n"/>
      <c r="N199" s="559">
        <f>1/K199</f>
        <v/>
      </c>
      <c r="O199" s="559" t="n">
        <v>0.26</v>
      </c>
      <c r="P199" s="559" t="n">
        <v>1</v>
      </c>
      <c r="Q199" s="246" t="n">
        <v>6.4</v>
      </c>
      <c r="R199" s="246" t="n">
        <v>10.7</v>
      </c>
      <c r="S199" s="246" t="n">
        <v>6</v>
      </c>
      <c r="T199" s="246" t="n">
        <v>12.5</v>
      </c>
      <c r="U199" s="91" t="n">
        <v>0</v>
      </c>
      <c r="V199" s="91" t="n"/>
      <c r="W199" s="91" t="n"/>
      <c r="X199" s="91" t="n"/>
      <c r="Y199" s="91" t="n"/>
      <c r="Z199" s="91" t="n"/>
      <c r="AA199" s="91" t="n"/>
      <c r="AB199" s="91" t="n"/>
      <c r="AC199" s="91" t="n"/>
      <c r="AD199" s="91" t="n"/>
      <c r="AE199" s="91" t="n"/>
      <c r="AF199" s="91" t="n"/>
      <c r="AG199" s="160" t="n"/>
    </row>
    <row r="200">
      <c r="A200" s="272" t="n"/>
      <c r="B200" s="698" t="n"/>
      <c r="C200" s="247" t="n">
        <v>76</v>
      </c>
      <c r="D200" s="257" t="inlineStr">
        <is>
          <t>Basaraoua</t>
        </is>
      </c>
      <c r="E200" s="288" t="inlineStr">
        <is>
          <t>Djirataoua</t>
        </is>
      </c>
      <c r="F200" s="238" t="inlineStr">
        <is>
          <t>Control</t>
        </is>
      </c>
      <c r="G200" s="239" t="n">
        <v>2021</v>
      </c>
      <c r="H200" s="57" t="n">
        <v>2022</v>
      </c>
      <c r="I200" s="237" t="n">
        <v>0</v>
      </c>
      <c r="J200" s="57" t="n">
        <v>0</v>
      </c>
      <c r="K200" s="241" t="n">
        <v>51</v>
      </c>
      <c r="L200" s="405" t="n">
        <v>0</v>
      </c>
      <c r="M200" s="59" t="n"/>
      <c r="N200" s="286" t="n">
        <v>0.0784</v>
      </c>
      <c r="O200" s="562" t="n">
        <v>0.51</v>
      </c>
      <c r="P200" s="562" t="n">
        <v>0.85</v>
      </c>
      <c r="Q200" s="242" t="n">
        <v>9.4</v>
      </c>
      <c r="R200" s="242" t="n">
        <v>11.4</v>
      </c>
      <c r="S200" s="242" t="n">
        <v>6.6</v>
      </c>
      <c r="T200" s="242" t="n">
        <v>11.5</v>
      </c>
      <c r="U200" s="62" t="n">
        <v>0</v>
      </c>
      <c r="V200" s="62" t="n"/>
      <c r="W200" s="62" t="n"/>
      <c r="X200" s="62" t="n"/>
      <c r="Y200" s="62" t="n"/>
      <c r="Z200" s="62" t="n"/>
      <c r="AA200" s="62" t="n"/>
      <c r="AB200" s="62" t="n"/>
      <c r="AC200" s="62" t="n"/>
      <c r="AD200" s="62" t="n"/>
      <c r="AE200" s="62" t="n"/>
      <c r="AF200" s="62" t="n"/>
      <c r="AG200" s="162" t="n"/>
    </row>
    <row r="201">
      <c r="A201" s="249" t="n"/>
      <c r="B201" s="707" t="n">
        <v>18</v>
      </c>
      <c r="C201" s="302" t="n">
        <v>36</v>
      </c>
      <c r="D201" s="333" t="inlineStr">
        <is>
          <t>Takalmaoua 1</t>
        </is>
      </c>
      <c r="E201" s="229" t="inlineStr">
        <is>
          <t>Djirataoua</t>
        </is>
      </c>
      <c r="F201" s="229" t="inlineStr">
        <is>
          <t>Intervention</t>
        </is>
      </c>
      <c r="G201" s="252" t="n">
        <v>2021</v>
      </c>
      <c r="H201" s="252" t="n">
        <v>2022</v>
      </c>
      <c r="I201" s="231" t="n">
        <v>3</v>
      </c>
      <c r="J201" s="252" t="n">
        <v>2</v>
      </c>
      <c r="K201" s="229" t="n">
        <v>25</v>
      </c>
      <c r="L201" s="232" t="n">
        <v>1</v>
      </c>
      <c r="M201" s="537" t="n"/>
      <c r="N201" s="561" t="n">
        <v>0</v>
      </c>
      <c r="O201" s="561" t="n">
        <v>0.36</v>
      </c>
      <c r="P201" s="561" t="n">
        <v>1</v>
      </c>
      <c r="Q201" s="255" t="n">
        <v>7.6</v>
      </c>
      <c r="R201" s="255" t="n">
        <v>8.5</v>
      </c>
      <c r="S201" s="255" t="n">
        <v>6</v>
      </c>
      <c r="T201" s="255" t="n">
        <v>10.3</v>
      </c>
      <c r="U201" s="72" t="n">
        <v>0</v>
      </c>
      <c r="V201" s="72" t="n"/>
      <c r="W201" s="72" t="n"/>
      <c r="X201" s="72" t="n"/>
      <c r="Y201" s="72" t="n"/>
      <c r="Z201" s="72" t="n"/>
      <c r="AA201" s="72" t="n"/>
      <c r="AB201" s="72" t="n"/>
      <c r="AC201" s="72" t="n"/>
      <c r="AD201" s="72" t="n"/>
      <c r="AE201" s="72" t="n"/>
      <c r="AF201" s="72" t="n"/>
      <c r="AG201" s="163" t="n"/>
    </row>
    <row r="202">
      <c r="A202" s="272" t="n"/>
      <c r="B202" s="698" t="n"/>
      <c r="C202" s="269" t="n">
        <v>66</v>
      </c>
      <c r="D202" s="320" t="inlineStr">
        <is>
          <t>Kontagora Soufoua</t>
        </is>
      </c>
      <c r="E202" s="288" t="inlineStr">
        <is>
          <t>Djirataoua</t>
        </is>
      </c>
      <c r="F202" s="238" t="inlineStr">
        <is>
          <t>Control</t>
        </is>
      </c>
      <c r="G202" s="239" t="n">
        <v>2021</v>
      </c>
      <c r="H202" s="57" t="n">
        <v>2022</v>
      </c>
      <c r="I202" s="237" t="n">
        <v>0</v>
      </c>
      <c r="J202" s="57" t="n">
        <v>0</v>
      </c>
      <c r="K202" s="241" t="n">
        <v>32</v>
      </c>
      <c r="L202" s="405" t="n">
        <v>0</v>
      </c>
      <c r="M202" s="59" t="n"/>
      <c r="N202" s="286" t="n">
        <v>0.0625</v>
      </c>
      <c r="O202" s="538" t="n">
        <v>0.44</v>
      </c>
      <c r="P202" s="538" t="n">
        <v>0.71</v>
      </c>
      <c r="Q202" s="243" t="n">
        <v>6.6</v>
      </c>
      <c r="R202" s="243" t="n">
        <v>7.6</v>
      </c>
      <c r="S202" s="243" t="n">
        <v>5.7</v>
      </c>
      <c r="T202" s="243" t="n">
        <v>9.4</v>
      </c>
      <c r="U202" s="81" t="n">
        <v>0</v>
      </c>
      <c r="V202" s="81" t="n"/>
      <c r="W202" s="81" t="n"/>
      <c r="X202" s="81" t="n"/>
      <c r="Y202" s="81" t="n"/>
      <c r="Z202" s="81" t="n"/>
      <c r="AA202" s="81" t="n"/>
      <c r="AB202" s="81" t="n"/>
      <c r="AC202" s="81" t="n"/>
      <c r="AD202" s="81" t="n"/>
      <c r="AE202" s="81" t="n"/>
      <c r="AF202" s="81" t="n"/>
      <c r="AG202" s="244" t="n"/>
    </row>
    <row r="203">
      <c r="A203" s="249" t="n"/>
      <c r="B203" s="707" t="n">
        <v>19</v>
      </c>
      <c r="C203" s="245" t="n">
        <v>40</v>
      </c>
      <c r="D203" s="256" t="inlineStr">
        <is>
          <t>El Kokia</t>
        </is>
      </c>
      <c r="E203" s="229" t="inlineStr">
        <is>
          <t>Djirataoua</t>
        </is>
      </c>
      <c r="F203" s="229" t="inlineStr">
        <is>
          <t>Intervention</t>
        </is>
      </c>
      <c r="G203" s="305" t="n">
        <v>2021</v>
      </c>
      <c r="H203" s="305" t="n">
        <v>2022</v>
      </c>
      <c r="I203" s="231" t="n">
        <v>2</v>
      </c>
      <c r="J203" s="308" t="n">
        <v>4</v>
      </c>
      <c r="K203" s="229" t="n">
        <v>51</v>
      </c>
      <c r="L203" s="232" t="n">
        <v>1</v>
      </c>
      <c r="M203" s="537" t="n"/>
      <c r="N203" s="559" t="n">
        <v>0</v>
      </c>
      <c r="O203" s="559" t="n">
        <v>0.51</v>
      </c>
      <c r="P203" s="559" t="n">
        <v>0.92</v>
      </c>
      <c r="Q203" s="246" t="n">
        <v>5.4</v>
      </c>
      <c r="R203" s="246" t="n">
        <v>10.6</v>
      </c>
      <c r="S203" s="246" t="n">
        <v>4.1</v>
      </c>
      <c r="T203" s="246" t="n">
        <v>9.6</v>
      </c>
      <c r="U203" s="91" t="n">
        <v>0</v>
      </c>
      <c r="V203" s="91" t="n"/>
      <c r="W203" s="91" t="n"/>
      <c r="X203" s="91" t="n"/>
      <c r="Y203" s="91" t="n"/>
      <c r="Z203" s="91" t="n"/>
      <c r="AA203" s="91" t="n"/>
      <c r="AB203" s="91" t="n"/>
      <c r="AC203" s="91" t="n"/>
      <c r="AD203" s="91" t="n"/>
      <c r="AE203" s="91" t="n"/>
      <c r="AF203" s="91" t="n"/>
      <c r="AG203" s="160" t="n"/>
    </row>
    <row r="204">
      <c r="A204" s="272" t="n"/>
      <c r="B204" s="698" t="n"/>
      <c r="C204" s="247" t="n">
        <v>77</v>
      </c>
      <c r="D204" s="257" t="inlineStr">
        <is>
          <t>Galadantchi</t>
        </is>
      </c>
      <c r="E204" s="288" t="inlineStr">
        <is>
          <t>Djirataoua</t>
        </is>
      </c>
      <c r="F204" s="238" t="inlineStr">
        <is>
          <t>Control</t>
        </is>
      </c>
      <c r="G204" s="239" t="n">
        <v>2021</v>
      </c>
      <c r="H204" s="320" t="n">
        <v>2022</v>
      </c>
      <c r="I204" s="237" t="n">
        <v>0</v>
      </c>
      <c r="J204" s="57" t="n">
        <v>0</v>
      </c>
      <c r="K204" s="241" t="n">
        <v>40</v>
      </c>
      <c r="L204" s="405" t="n">
        <v>0</v>
      </c>
      <c r="M204" s="59" t="n"/>
      <c r="N204" s="286" t="n">
        <v>0.5</v>
      </c>
      <c r="O204" s="562" t="n">
        <v>0.43</v>
      </c>
      <c r="P204" s="562" t="n">
        <v>1</v>
      </c>
      <c r="Q204" s="242" t="n">
        <v>5.6</v>
      </c>
      <c r="R204" s="242" t="n">
        <v>7.3</v>
      </c>
      <c r="S204" s="242" t="n">
        <v>3.6</v>
      </c>
      <c r="T204" s="242" t="n">
        <v>7.1</v>
      </c>
      <c r="U204" s="62" t="n">
        <v>0</v>
      </c>
      <c r="V204" s="62" t="n"/>
      <c r="W204" s="62" t="n"/>
      <c r="X204" s="62" t="n"/>
      <c r="Y204" s="62" t="n"/>
      <c r="Z204" s="62" t="n"/>
      <c r="AA204" s="62" t="n"/>
      <c r="AB204" s="62" t="n"/>
      <c r="AC204" s="62" t="n"/>
      <c r="AD204" s="62" t="n"/>
      <c r="AE204" s="62" t="n"/>
      <c r="AF204" s="62" t="n"/>
      <c r="AG204" s="162" t="n"/>
    </row>
    <row r="205">
      <c r="A205" s="259" t="n"/>
      <c r="B205" s="709" t="n">
        <v>20</v>
      </c>
      <c r="C205" s="261" t="n">
        <v>48</v>
      </c>
      <c r="D205" s="262" t="inlineStr">
        <is>
          <t>Na Maroua</t>
        </is>
      </c>
      <c r="E205" s="229" t="inlineStr">
        <is>
          <t>Djirataoua</t>
        </is>
      </c>
      <c r="F205" s="263" t="inlineStr">
        <is>
          <t>Intervention</t>
        </is>
      </c>
      <c r="G205" s="264" t="n">
        <v>2021</v>
      </c>
      <c r="H205" s="264" t="n">
        <v>2022</v>
      </c>
      <c r="I205" s="228" t="n">
        <v>1</v>
      </c>
      <c r="J205" s="264" t="n">
        <v>2</v>
      </c>
      <c r="K205" s="263" t="n">
        <v>29</v>
      </c>
      <c r="L205" s="232" t="n">
        <v>1</v>
      </c>
      <c r="M205" s="534" t="n"/>
      <c r="N205" s="299">
        <f>1/K205</f>
        <v/>
      </c>
      <c r="O205" s="299" t="n">
        <v>0.45</v>
      </c>
      <c r="P205" s="299" t="n">
        <v>1</v>
      </c>
      <c r="Q205" s="266" t="n">
        <v>6.1</v>
      </c>
      <c r="R205" s="266" t="n">
        <v>9.800000000000001</v>
      </c>
      <c r="S205" s="266" t="n">
        <v>4.4</v>
      </c>
      <c r="T205" s="266" t="n">
        <v>13.6</v>
      </c>
      <c r="U205" s="300" t="n">
        <v>0</v>
      </c>
      <c r="V205" s="300" t="n"/>
      <c r="W205" s="300" t="n"/>
      <c r="X205" s="300" t="n"/>
      <c r="Y205" s="300" t="n"/>
      <c r="Z205" s="300" t="n"/>
      <c r="AA205" s="300" t="n"/>
      <c r="AB205" s="300" t="n"/>
      <c r="AC205" s="300" t="n"/>
      <c r="AD205" s="300" t="n"/>
      <c r="AE205" s="300" t="n"/>
      <c r="AF205" s="300" t="n"/>
      <c r="AG205" s="268" t="n"/>
    </row>
    <row r="206">
      <c r="A206" s="272" t="n"/>
      <c r="B206" s="698" t="n"/>
      <c r="C206" s="269" t="n">
        <v>67</v>
      </c>
      <c r="D206" s="320" t="inlineStr">
        <is>
          <t>Dan Kari Trad</t>
        </is>
      </c>
      <c r="E206" s="288" t="inlineStr">
        <is>
          <t>Djirataoua</t>
        </is>
      </c>
      <c r="F206" s="238" t="inlineStr">
        <is>
          <t>Control</t>
        </is>
      </c>
      <c r="G206" s="239" t="n">
        <v>2021</v>
      </c>
      <c r="H206" s="57" t="n">
        <v>2022</v>
      </c>
      <c r="I206" s="237" t="n">
        <v>0</v>
      </c>
      <c r="J206" s="57" t="n">
        <v>0</v>
      </c>
      <c r="K206" s="241" t="n">
        <v>17</v>
      </c>
      <c r="L206" s="405" t="n">
        <v>0</v>
      </c>
      <c r="M206" s="59" t="n"/>
      <c r="N206" s="286" t="n">
        <v>0.2778</v>
      </c>
      <c r="O206" s="538" t="n">
        <v>0.41</v>
      </c>
      <c r="P206" s="538" t="n">
        <v>0.71</v>
      </c>
      <c r="Q206" s="243" t="n">
        <v>7.6</v>
      </c>
      <c r="R206" s="243" t="n">
        <v>10.5</v>
      </c>
      <c r="S206" s="243" t="n">
        <v>8.6</v>
      </c>
      <c r="T206" s="243" t="n">
        <v>9.1</v>
      </c>
      <c r="U206" s="81" t="n">
        <v>0</v>
      </c>
      <c r="V206" s="81" t="n"/>
      <c r="W206" s="91" t="n"/>
      <c r="X206" s="81" t="n"/>
      <c r="Y206" s="81" t="n"/>
      <c r="Z206" s="81" t="n"/>
      <c r="AA206" s="81" t="n"/>
      <c r="AB206" s="81" t="n"/>
      <c r="AC206" s="81" t="n"/>
      <c r="AD206" s="81" t="n"/>
      <c r="AE206" s="81" t="n"/>
      <c r="AF206" s="81" t="n"/>
      <c r="AG206" s="244" t="n"/>
    </row>
    <row r="207">
      <c r="A207" s="249" t="n"/>
      <c r="B207" s="707" t="n">
        <v>21</v>
      </c>
      <c r="C207" s="302" t="n">
        <v>50</v>
      </c>
      <c r="D207" s="305" t="inlineStr">
        <is>
          <t>Danja 1</t>
        </is>
      </c>
      <c r="E207" s="229" t="inlineStr">
        <is>
          <t>Djirataoua</t>
        </is>
      </c>
      <c r="F207" s="229" t="inlineStr">
        <is>
          <t>Intervention</t>
        </is>
      </c>
      <c r="G207" s="252" t="n">
        <v>2021</v>
      </c>
      <c r="H207" s="252" t="n">
        <v>2022</v>
      </c>
      <c r="I207" s="231" t="n">
        <v>1</v>
      </c>
      <c r="J207" s="252" t="n">
        <v>2</v>
      </c>
      <c r="K207" s="229" t="n">
        <v>31</v>
      </c>
      <c r="L207" s="232" t="n">
        <v>1</v>
      </c>
      <c r="M207" s="537" t="n"/>
      <c r="N207" s="559" t="n">
        <v>0</v>
      </c>
      <c r="O207" s="559" t="n">
        <v>0.74</v>
      </c>
      <c r="P207" s="559" t="n">
        <v>1</v>
      </c>
      <c r="Q207" s="246" t="n">
        <v>9.1</v>
      </c>
      <c r="R207" s="246" t="n">
        <v>12.9</v>
      </c>
      <c r="S207" s="246" t="n">
        <v>7</v>
      </c>
      <c r="T207" s="246" t="n">
        <v>15.4</v>
      </c>
      <c r="U207" s="91" t="n">
        <v>0</v>
      </c>
      <c r="V207" s="91" t="n"/>
      <c r="X207" s="91" t="n"/>
      <c r="Y207" s="91" t="n"/>
      <c r="Z207" s="91" t="n"/>
      <c r="AA207" s="91" t="n"/>
      <c r="AB207" s="91" t="n"/>
      <c r="AC207" s="91" t="n"/>
      <c r="AD207" s="91" t="n"/>
      <c r="AE207" s="91" t="n"/>
      <c r="AF207" s="91" t="n"/>
      <c r="AG207" s="160" t="n"/>
    </row>
    <row r="208">
      <c r="A208" s="272" t="n"/>
      <c r="B208" s="698" t="n"/>
      <c r="C208" s="269" t="n">
        <v>70</v>
      </c>
      <c r="D208" s="320" t="inlineStr">
        <is>
          <t>Djiratawa Bilingue</t>
        </is>
      </c>
      <c r="E208" s="288" t="inlineStr">
        <is>
          <t>Djirataoua</t>
        </is>
      </c>
      <c r="F208" s="238" t="inlineStr">
        <is>
          <t>Control</t>
        </is>
      </c>
      <c r="G208" s="239" t="n">
        <v>2021</v>
      </c>
      <c r="H208" s="57" t="n">
        <v>2022</v>
      </c>
      <c r="I208" s="237" t="n">
        <v>0</v>
      </c>
      <c r="J208" s="57" t="n">
        <v>0</v>
      </c>
      <c r="K208" s="241" t="n">
        <v>32</v>
      </c>
      <c r="L208" s="405" t="n">
        <v>0</v>
      </c>
      <c r="M208" s="59" t="n"/>
      <c r="N208" s="286" t="n">
        <v>0.0313</v>
      </c>
      <c r="O208" s="562" t="n">
        <v>0.47</v>
      </c>
      <c r="P208" s="562" t="n">
        <v>1</v>
      </c>
      <c r="Q208" s="242" t="n">
        <v>12.3</v>
      </c>
      <c r="R208" s="242" t="n">
        <v>12.1</v>
      </c>
      <c r="S208" s="242" t="n">
        <v>11.3</v>
      </c>
      <c r="T208" s="242" t="n">
        <v>13.2</v>
      </c>
      <c r="U208" s="62" t="n">
        <v>0</v>
      </c>
      <c r="V208" s="62" t="n"/>
      <c r="W208" s="62" t="n"/>
      <c r="X208" s="62" t="n"/>
      <c r="Y208" s="62" t="n"/>
      <c r="Z208" s="62" t="n"/>
      <c r="AA208" s="62" t="n"/>
      <c r="AB208" s="62" t="n"/>
      <c r="AC208" s="62" t="n"/>
      <c r="AD208" s="62" t="n"/>
      <c r="AE208" s="62" t="n"/>
      <c r="AF208" s="62" t="n"/>
      <c r="AG208" s="162" t="n"/>
    </row>
    <row r="209" ht="16.5" customHeight="1" s="695">
      <c r="A209" s="259" t="n"/>
      <c r="B209" s="709" t="n">
        <v>22</v>
      </c>
      <c r="C209" s="261" t="n">
        <v>47</v>
      </c>
      <c r="D209" s="262" t="inlineStr">
        <is>
          <t>Atchidakofotato Bilingue</t>
        </is>
      </c>
      <c r="E209" s="229" t="inlineStr">
        <is>
          <t>Djirataoua</t>
        </is>
      </c>
      <c r="F209" s="263" t="inlineStr">
        <is>
          <t>Intervention</t>
        </is>
      </c>
      <c r="G209" s="264" t="n">
        <v>2021</v>
      </c>
      <c r="H209" s="264" t="n">
        <v>2022</v>
      </c>
      <c r="I209" s="228" t="n">
        <v>1</v>
      </c>
      <c r="J209" s="264" t="n">
        <v>2</v>
      </c>
      <c r="K209" s="263" t="n">
        <v>27</v>
      </c>
      <c r="L209" s="232" t="n">
        <v>1</v>
      </c>
      <c r="M209" s="534" t="n"/>
      <c r="N209" s="299">
        <f>4/K209</f>
        <v/>
      </c>
      <c r="O209" s="299" t="n">
        <v>0.5600000000000001</v>
      </c>
      <c r="P209" s="299" t="n">
        <v>1</v>
      </c>
      <c r="Q209" s="266" t="n">
        <v>3.8</v>
      </c>
      <c r="R209" s="266" t="n">
        <v>12.4</v>
      </c>
      <c r="S209" s="266" t="n">
        <v>1.2</v>
      </c>
      <c r="T209" s="266" t="n">
        <v>6.5</v>
      </c>
      <c r="U209" s="300" t="n">
        <v>0</v>
      </c>
      <c r="V209" s="300" t="n"/>
      <c r="W209" s="300" t="n"/>
      <c r="X209" s="300" t="n"/>
      <c r="Y209" s="300" t="n"/>
      <c r="Z209" s="300" t="n"/>
      <c r="AA209" s="300" t="n"/>
      <c r="AB209" s="300" t="n"/>
      <c r="AC209" s="300" t="n"/>
      <c r="AD209" s="300" t="n"/>
      <c r="AE209" s="300" t="n"/>
      <c r="AF209" s="300" t="n"/>
      <c r="AG209" s="268" t="n"/>
    </row>
    <row r="210">
      <c r="A210" s="272" t="n"/>
      <c r="B210" s="698" t="n"/>
      <c r="C210" s="269" t="n">
        <v>78</v>
      </c>
      <c r="D210" s="320" t="inlineStr">
        <is>
          <t>Kantagora Goussaoua</t>
        </is>
      </c>
      <c r="E210" s="238" t="inlineStr">
        <is>
          <t>Djirataoua</t>
        </is>
      </c>
      <c r="F210" s="238" t="inlineStr">
        <is>
          <t>Control</t>
        </is>
      </c>
      <c r="G210" s="239" t="n">
        <v>2021</v>
      </c>
      <c r="H210" s="57" t="n">
        <v>2022</v>
      </c>
      <c r="I210" s="237" t="n">
        <v>0</v>
      </c>
      <c r="J210" s="57" t="n">
        <v>0</v>
      </c>
      <c r="K210" s="241" t="n">
        <v>24</v>
      </c>
      <c r="L210" s="405" t="n">
        <v>0</v>
      </c>
      <c r="M210" s="59" t="n"/>
      <c r="N210" s="286" t="n">
        <v>0.125</v>
      </c>
      <c r="O210" s="538" t="n">
        <v>0.29</v>
      </c>
      <c r="P210" s="538" t="n">
        <v>0.43</v>
      </c>
      <c r="Q210" s="243" t="n">
        <v>6.5</v>
      </c>
      <c r="R210" s="243" t="n">
        <v>11.4</v>
      </c>
      <c r="S210" s="243" t="n">
        <v>3</v>
      </c>
      <c r="T210" s="243" t="n">
        <v>6.3</v>
      </c>
      <c r="U210" s="81" t="n">
        <v>0</v>
      </c>
      <c r="V210" s="81" t="n"/>
      <c r="W210" s="81" t="n"/>
      <c r="X210" s="81" t="n"/>
      <c r="Y210" s="81" t="n"/>
      <c r="Z210" s="81" t="n"/>
      <c r="AA210" s="81" t="n"/>
      <c r="AB210" s="81" t="n"/>
      <c r="AC210" s="81" t="n"/>
      <c r="AD210" s="81" t="n"/>
      <c r="AE210" s="81" t="n"/>
      <c r="AF210" s="81" t="n"/>
      <c r="AG210" s="244" t="n"/>
    </row>
    <row r="211">
      <c r="A211" s="249" t="n"/>
      <c r="B211" s="707" t="n">
        <v>23</v>
      </c>
      <c r="C211" s="245" t="n">
        <v>59</v>
      </c>
      <c r="D211" s="256" t="inlineStr">
        <is>
          <t>Tchikadji Quartier</t>
        </is>
      </c>
      <c r="E211" s="229" t="inlineStr">
        <is>
          <t>Safo</t>
        </is>
      </c>
      <c r="F211" s="229" t="inlineStr">
        <is>
          <t>Intervention</t>
        </is>
      </c>
      <c r="G211" s="305" t="n">
        <v>2021</v>
      </c>
      <c r="H211" s="305" t="n">
        <v>2022</v>
      </c>
      <c r="I211" s="231" t="n">
        <v>1</v>
      </c>
      <c r="J211" s="229" t="n">
        <v>1</v>
      </c>
      <c r="K211" s="229" t="n">
        <v>14</v>
      </c>
      <c r="L211" s="232" t="n">
        <v>1</v>
      </c>
      <c r="M211" s="537" t="n"/>
      <c r="N211" s="559" t="n">
        <v>0</v>
      </c>
      <c r="O211" s="559" t="n">
        <v>0.57</v>
      </c>
      <c r="P211" s="559" t="n">
        <v>1</v>
      </c>
      <c r="Q211" s="246" t="n">
        <v>5.5</v>
      </c>
      <c r="R211" s="246" t="n">
        <v>6.4</v>
      </c>
      <c r="S211" s="246" t="n">
        <v>4.5</v>
      </c>
      <c r="T211" s="246" t="n">
        <v>8.199999999999999</v>
      </c>
      <c r="U211" s="91" t="n">
        <v>0</v>
      </c>
      <c r="V211" s="91" t="n"/>
      <c r="W211" s="91" t="n"/>
      <c r="X211" s="91" t="n"/>
      <c r="Y211" s="91" t="n"/>
      <c r="Z211" s="91" t="n"/>
      <c r="AA211" s="91" t="n"/>
      <c r="AB211" s="91" t="n"/>
      <c r="AC211" s="91" t="n"/>
      <c r="AD211" s="91" t="n"/>
      <c r="AE211" s="91" t="n"/>
      <c r="AF211" s="91" t="n"/>
      <c r="AG211" s="160" t="n"/>
    </row>
    <row r="212">
      <c r="A212" s="272" t="n"/>
      <c r="B212" s="698" t="n"/>
      <c r="C212" s="247" t="n">
        <v>79</v>
      </c>
      <c r="D212" s="257" t="inlineStr">
        <is>
          <t>Soumarana</t>
        </is>
      </c>
      <c r="E212" s="288" t="inlineStr">
        <is>
          <t>Safo</t>
        </is>
      </c>
      <c r="F212" s="238" t="inlineStr">
        <is>
          <t>Control</t>
        </is>
      </c>
      <c r="G212" s="239" t="n">
        <v>2021</v>
      </c>
      <c r="H212" s="320" t="n">
        <v>2022</v>
      </c>
      <c r="I212" s="237" t="n">
        <v>0</v>
      </c>
      <c r="J212" s="57" t="n">
        <v>0</v>
      </c>
      <c r="K212" s="241" t="n">
        <v>23</v>
      </c>
      <c r="L212" s="405" t="n">
        <v>0</v>
      </c>
      <c r="M212" s="59" t="n"/>
      <c r="N212" s="562" t="n">
        <v>0</v>
      </c>
      <c r="O212" s="562" t="n">
        <v>0.57</v>
      </c>
      <c r="P212" s="562" t="n">
        <v>1</v>
      </c>
      <c r="Q212" s="242" t="n">
        <v>10.9</v>
      </c>
      <c r="R212" s="242" t="n">
        <v>9.4</v>
      </c>
      <c r="S212" s="242" t="n">
        <v>8.4</v>
      </c>
      <c r="T212" s="242" t="n">
        <v>8.800000000000001</v>
      </c>
      <c r="U212" s="62" t="n">
        <v>1</v>
      </c>
      <c r="V212" s="62" t="n"/>
      <c r="W212" s="62" t="n"/>
      <c r="X212" s="62" t="n"/>
      <c r="Y212" s="62" t="n"/>
      <c r="Z212" s="62" t="n"/>
      <c r="AA212" s="62" t="n"/>
      <c r="AB212" s="62" t="n"/>
      <c r="AC212" s="62" t="n"/>
      <c r="AD212" s="62" t="n"/>
      <c r="AE212" s="62" t="n"/>
      <c r="AF212" s="62" t="n"/>
      <c r="AG212" s="162" t="n"/>
    </row>
    <row r="213">
      <c r="A213" s="249" t="n"/>
      <c r="B213" s="707" t="n">
        <v>24</v>
      </c>
      <c r="C213" s="261" t="n">
        <v>55</v>
      </c>
      <c r="D213" s="256" t="inlineStr">
        <is>
          <t>Safo Dan Ali</t>
        </is>
      </c>
      <c r="E213" s="229" t="inlineStr">
        <is>
          <t>Safo</t>
        </is>
      </c>
      <c r="F213" s="229" t="inlineStr">
        <is>
          <t>Intervention</t>
        </is>
      </c>
      <c r="G213" s="305" t="n">
        <v>2021</v>
      </c>
      <c r="H213" s="305" t="n">
        <v>2022</v>
      </c>
      <c r="I213" s="231" t="n">
        <v>1</v>
      </c>
      <c r="J213" s="229" t="n">
        <v>1</v>
      </c>
      <c r="K213" s="229" t="n">
        <v>17</v>
      </c>
      <c r="L213" s="232" t="n">
        <v>1</v>
      </c>
      <c r="M213" s="537" t="n"/>
      <c r="N213" s="561" t="n">
        <v>0</v>
      </c>
      <c r="O213" s="561" t="n">
        <v>0.59</v>
      </c>
      <c r="P213" s="561" t="n">
        <v>1</v>
      </c>
      <c r="Q213" s="255" t="n">
        <v>9.9</v>
      </c>
      <c r="R213" s="255" t="n">
        <v>15.1</v>
      </c>
      <c r="S213" s="255" t="n">
        <v>6.4</v>
      </c>
      <c r="T213" s="255" t="n">
        <v>12.6</v>
      </c>
      <c r="U213" s="72" t="n">
        <v>1</v>
      </c>
      <c r="V213" s="72" t="n"/>
      <c r="W213" s="72" t="n"/>
      <c r="X213" s="72" t="n"/>
      <c r="Y213" s="72" t="n"/>
      <c r="Z213" s="72" t="n"/>
      <c r="AA213" s="72" t="n"/>
      <c r="AB213" s="72" t="n"/>
      <c r="AC213" s="72" t="n"/>
      <c r="AD213" s="72" t="n"/>
      <c r="AE213" s="72" t="n"/>
      <c r="AF213" s="72" t="n"/>
      <c r="AG213" s="163" t="n"/>
    </row>
    <row r="214">
      <c r="A214" s="272" t="n"/>
      <c r="B214" s="698" t="n"/>
      <c r="C214" s="269" t="n">
        <v>80</v>
      </c>
      <c r="D214" s="257" t="inlineStr">
        <is>
          <t>Safo Chadawa</t>
        </is>
      </c>
      <c r="E214" s="288" t="inlineStr">
        <is>
          <t>Safo</t>
        </is>
      </c>
      <c r="F214" s="238" t="inlineStr">
        <is>
          <t>Control</t>
        </is>
      </c>
      <c r="G214" s="239" t="n">
        <v>2021</v>
      </c>
      <c r="H214" s="320" t="n">
        <v>2022</v>
      </c>
      <c r="I214" s="237" t="n">
        <v>0</v>
      </c>
      <c r="J214" s="57" t="n">
        <v>0</v>
      </c>
      <c r="K214" s="241" t="n">
        <v>10</v>
      </c>
      <c r="L214" s="405" t="n">
        <v>0</v>
      </c>
      <c r="M214" s="59" t="n"/>
      <c r="N214" s="538" t="n">
        <v>0</v>
      </c>
      <c r="O214" s="538" t="n">
        <v>0.7</v>
      </c>
      <c r="P214" s="538" t="n">
        <v>0.86</v>
      </c>
      <c r="Q214" s="243" t="n">
        <v>5.1</v>
      </c>
      <c r="R214" s="243" t="n">
        <v>9.4</v>
      </c>
      <c r="S214" s="243" t="n">
        <v>4.4</v>
      </c>
      <c r="T214" s="243" t="n">
        <v>6.7</v>
      </c>
      <c r="U214" s="81" t="n">
        <v>0</v>
      </c>
      <c r="V214" s="81" t="n"/>
      <c r="W214" s="81" t="n"/>
      <c r="X214" s="81" t="n"/>
      <c r="Y214" s="81" t="n"/>
      <c r="Z214" s="81" t="n"/>
      <c r="AA214" s="81" t="n"/>
      <c r="AB214" s="81" t="n"/>
      <c r="AC214" s="81" t="n"/>
      <c r="AD214" s="81" t="n"/>
      <c r="AE214" s="81" t="n"/>
      <c r="AF214" s="81" t="n"/>
      <c r="AG214" s="244" t="n"/>
    </row>
    <row r="215">
      <c r="A215" s="249" t="n"/>
      <c r="B215" s="707" t="n">
        <v>25</v>
      </c>
      <c r="C215" s="245" t="n">
        <v>54</v>
      </c>
      <c r="D215" s="256" t="inlineStr">
        <is>
          <t>El Mougou</t>
        </is>
      </c>
      <c r="E215" s="229" t="inlineStr">
        <is>
          <t>Safo</t>
        </is>
      </c>
      <c r="F215" s="229" t="inlineStr">
        <is>
          <t>Intervention</t>
        </is>
      </c>
      <c r="G215" s="305" t="n">
        <v>2021</v>
      </c>
      <c r="H215" s="305" t="n">
        <v>2022</v>
      </c>
      <c r="I215" s="231" t="n">
        <v>1</v>
      </c>
      <c r="J215" s="229" t="n">
        <v>1</v>
      </c>
      <c r="K215" s="229" t="n">
        <v>19</v>
      </c>
      <c r="L215" s="232" t="n">
        <v>1</v>
      </c>
      <c r="M215" s="537" t="n"/>
      <c r="N215" s="559" t="n">
        <v>0</v>
      </c>
      <c r="O215" s="559" t="n">
        <v>0.63</v>
      </c>
      <c r="P215" s="559" t="n">
        <v>1</v>
      </c>
      <c r="Q215" s="246" t="n">
        <v>4.8</v>
      </c>
      <c r="R215" s="246" t="n">
        <v>7.1</v>
      </c>
      <c r="S215" s="246" t="n">
        <v>5.4</v>
      </c>
      <c r="T215" s="246" t="n">
        <v>6.4</v>
      </c>
      <c r="U215" s="91" t="n">
        <v>1</v>
      </c>
      <c r="V215" s="91" t="n"/>
      <c r="W215" s="91" t="n"/>
      <c r="X215" s="91" t="n"/>
      <c r="Y215" s="91" t="n"/>
      <c r="Z215" s="91" t="n"/>
      <c r="AA215" s="91" t="n"/>
      <c r="AB215" s="91" t="n"/>
      <c r="AC215" s="91" t="n"/>
      <c r="AD215" s="91" t="n"/>
      <c r="AE215" s="91" t="n"/>
      <c r="AF215" s="91" t="n"/>
      <c r="AG215" s="160" t="n"/>
    </row>
    <row r="216">
      <c r="A216" s="272" t="n"/>
      <c r="B216" s="698" t="n"/>
      <c r="C216" s="247" t="n">
        <v>81</v>
      </c>
      <c r="D216" s="257" t="inlineStr">
        <is>
          <t>Gade</t>
        </is>
      </c>
      <c r="E216" s="288" t="inlineStr">
        <is>
          <t>Safo</t>
        </is>
      </c>
      <c r="F216" s="238" t="inlineStr">
        <is>
          <t>Control</t>
        </is>
      </c>
      <c r="G216" s="239" t="n">
        <v>2021</v>
      </c>
      <c r="H216" s="320" t="n">
        <v>2022</v>
      </c>
      <c r="I216" s="237" t="n">
        <v>0</v>
      </c>
      <c r="J216" s="57" t="n">
        <v>0</v>
      </c>
      <c r="K216" s="241" t="n">
        <v>23</v>
      </c>
      <c r="L216" s="405" t="n">
        <v>0</v>
      </c>
      <c r="M216" s="59" t="n"/>
      <c r="N216" s="562" t="n">
        <v>0</v>
      </c>
      <c r="O216" s="562" t="n">
        <v>0.7</v>
      </c>
      <c r="P216" s="562" t="n">
        <v>1</v>
      </c>
      <c r="Q216" s="242" t="n">
        <v>1.4</v>
      </c>
      <c r="R216" s="242" t="n">
        <v>3.9</v>
      </c>
      <c r="S216" s="242" t="n">
        <v>2.1</v>
      </c>
      <c r="T216" s="242" t="n">
        <v>3.1</v>
      </c>
      <c r="U216" s="62" t="n">
        <v>0</v>
      </c>
      <c r="V216" s="62" t="n"/>
      <c r="W216" s="62" t="n"/>
      <c r="X216" s="62" t="n"/>
      <c r="Y216" s="62" t="n"/>
      <c r="Z216" s="62" t="n"/>
      <c r="AA216" s="62" t="n"/>
      <c r="AB216" s="62" t="n"/>
      <c r="AC216" s="62" t="n"/>
      <c r="AD216" s="62" t="n"/>
      <c r="AE216" s="62" t="n"/>
      <c r="AF216" s="62" t="n"/>
      <c r="AG216" s="162" t="n"/>
    </row>
    <row r="217" ht="19.5" customHeight="1" s="695">
      <c r="A217" s="249" t="n"/>
      <c r="B217" s="707" t="n">
        <v>26</v>
      </c>
      <c r="C217" s="261" t="n">
        <v>58</v>
      </c>
      <c r="D217" s="256" t="inlineStr">
        <is>
          <t>Tarna</t>
        </is>
      </c>
      <c r="E217" s="229" t="inlineStr">
        <is>
          <t>Safo</t>
        </is>
      </c>
      <c r="F217" s="229" t="inlineStr">
        <is>
          <t>Intervention</t>
        </is>
      </c>
      <c r="G217" s="305" t="n">
        <v>2021</v>
      </c>
      <c r="H217" s="305" t="n">
        <v>2022</v>
      </c>
      <c r="I217" s="231" t="n">
        <v>1</v>
      </c>
      <c r="J217" s="308" t="n">
        <v>5</v>
      </c>
      <c r="K217" s="229" t="n">
        <v>65</v>
      </c>
      <c r="L217" s="232" t="n">
        <v>1</v>
      </c>
      <c r="M217" s="537" t="n"/>
      <c r="N217" s="561" t="n">
        <v>0</v>
      </c>
      <c r="O217" s="561" t="n">
        <v>0.8</v>
      </c>
      <c r="P217" s="561" t="n">
        <v>1</v>
      </c>
      <c r="Q217" s="255" t="n">
        <v>8.1</v>
      </c>
      <c r="R217" s="255" t="n">
        <v>12.8</v>
      </c>
      <c r="S217" s="255" t="n">
        <v>7.3</v>
      </c>
      <c r="T217" s="255" t="n">
        <v>12.1</v>
      </c>
      <c r="U217" s="72" t="n">
        <v>1</v>
      </c>
      <c r="V217" s="72" t="n"/>
      <c r="W217" s="72" t="n"/>
      <c r="X217" s="72" t="n"/>
      <c r="Y217" s="72" t="n"/>
      <c r="Z217" s="72" t="n"/>
      <c r="AA217" s="72" t="n"/>
      <c r="AB217" s="72" t="n"/>
      <c r="AC217" s="72" t="n"/>
      <c r="AD217" s="72" t="n"/>
      <c r="AE217" s="72" t="n"/>
      <c r="AF217" s="72" t="n"/>
      <c r="AG217" s="163" t="n"/>
    </row>
    <row r="218">
      <c r="A218" s="272" t="n"/>
      <c r="B218" s="698" t="n"/>
      <c r="C218" s="269" t="n">
        <v>82</v>
      </c>
      <c r="D218" s="257" t="inlineStr">
        <is>
          <t>Radi Centre 1</t>
        </is>
      </c>
      <c r="E218" s="288" t="inlineStr">
        <is>
          <t>Safo</t>
        </is>
      </c>
      <c r="F218" s="238" t="inlineStr">
        <is>
          <t>Control</t>
        </is>
      </c>
      <c r="G218" s="239" t="n">
        <v>2021</v>
      </c>
      <c r="H218" s="320" t="n">
        <v>2022</v>
      </c>
      <c r="I218" s="237" t="n">
        <v>0</v>
      </c>
      <c r="J218" s="57" t="n">
        <v>0</v>
      </c>
      <c r="K218" s="241" t="n">
        <v>29</v>
      </c>
      <c r="L218" s="405" t="n">
        <v>0</v>
      </c>
      <c r="M218" s="59" t="n"/>
      <c r="N218" s="538" t="n">
        <v>0</v>
      </c>
      <c r="O218" s="538" t="n">
        <v>0.6899999999999999</v>
      </c>
      <c r="P218" s="538" t="n">
        <v>0.8</v>
      </c>
      <c r="Q218" s="243" t="n">
        <v>9.6</v>
      </c>
      <c r="R218" s="243" t="n">
        <v>9</v>
      </c>
      <c r="S218" s="243" t="n">
        <v>7</v>
      </c>
      <c r="T218" s="243" t="n">
        <v>10</v>
      </c>
      <c r="U218" s="81" t="n">
        <v>0</v>
      </c>
      <c r="V218" s="81" t="n"/>
      <c r="W218" s="81" t="n"/>
      <c r="X218" s="81" t="n"/>
      <c r="Y218" s="81" t="n"/>
      <c r="Z218" s="81" t="n"/>
      <c r="AA218" s="81" t="n"/>
      <c r="AB218" s="81" t="n"/>
      <c r="AC218" s="81" t="n"/>
      <c r="AD218" s="81" t="n"/>
      <c r="AE218" s="81" t="n"/>
      <c r="AF218" s="81" t="n"/>
      <c r="AG218" s="244" t="n"/>
    </row>
    <row r="219">
      <c r="A219" s="249" t="n"/>
      <c r="B219" s="707" t="n">
        <v>27</v>
      </c>
      <c r="C219" s="245" t="n">
        <v>57</v>
      </c>
      <c r="D219" s="256" t="inlineStr">
        <is>
          <t>Maradou Quartier</t>
        </is>
      </c>
      <c r="E219" s="229" t="inlineStr">
        <is>
          <t>Safo</t>
        </is>
      </c>
      <c r="F219" s="229" t="inlineStr">
        <is>
          <t>Intervention</t>
        </is>
      </c>
      <c r="G219" s="305" t="n">
        <v>2021</v>
      </c>
      <c r="H219" s="305" t="n">
        <v>2022</v>
      </c>
      <c r="I219" s="231" t="n">
        <v>1</v>
      </c>
      <c r="J219" s="308" t="n">
        <v>1</v>
      </c>
      <c r="K219" s="229" t="n">
        <v>21</v>
      </c>
      <c r="L219" s="232" t="n">
        <v>1</v>
      </c>
      <c r="M219" s="537" t="n"/>
      <c r="N219" s="559" t="n">
        <v>0</v>
      </c>
      <c r="O219" s="559" t="n">
        <v>0.9</v>
      </c>
      <c r="P219" s="559" t="n">
        <v>0.95</v>
      </c>
      <c r="Q219" s="246" t="n">
        <v>7.9</v>
      </c>
      <c r="R219" s="246" t="n">
        <v>13.4</v>
      </c>
      <c r="S219" s="246" t="n">
        <v>4.7</v>
      </c>
      <c r="T219" s="246" t="n">
        <v>10.1</v>
      </c>
      <c r="U219" s="91" t="n">
        <v>0</v>
      </c>
      <c r="V219" s="91" t="n"/>
      <c r="W219" s="91" t="n"/>
      <c r="X219" s="91" t="n"/>
      <c r="Y219" s="91" t="n"/>
      <c r="Z219" s="91" t="n"/>
      <c r="AA219" s="91" t="n"/>
      <c r="AB219" s="91" t="n"/>
      <c r="AC219" s="91" t="n"/>
      <c r="AD219" s="91" t="n"/>
      <c r="AE219" s="91" t="n"/>
      <c r="AF219" s="91" t="n"/>
      <c r="AG219" s="160" t="n"/>
    </row>
    <row r="220">
      <c r="A220" s="272" t="n"/>
      <c r="B220" s="698" t="n"/>
      <c r="C220" s="247" t="n">
        <v>83</v>
      </c>
      <c r="D220" s="257" t="inlineStr">
        <is>
          <t>Kankaren Safo</t>
        </is>
      </c>
      <c r="E220" s="288" t="inlineStr">
        <is>
          <t>Safo</t>
        </is>
      </c>
      <c r="F220" s="238" t="inlineStr">
        <is>
          <t>Control</t>
        </is>
      </c>
      <c r="G220" s="239" t="n">
        <v>2021</v>
      </c>
      <c r="H220" s="320" t="n">
        <v>2022</v>
      </c>
      <c r="I220" s="237" t="n">
        <v>0</v>
      </c>
      <c r="J220" s="57" t="n">
        <v>0</v>
      </c>
      <c r="K220" s="241" t="n">
        <v>26</v>
      </c>
      <c r="L220" s="405" t="n">
        <v>0</v>
      </c>
      <c r="M220" s="59" t="n"/>
      <c r="N220" s="562" t="n">
        <v>0</v>
      </c>
      <c r="O220" s="562" t="n">
        <v>0.65</v>
      </c>
      <c r="P220" s="562" t="n">
        <v>0.53</v>
      </c>
      <c r="Q220" s="242" t="n">
        <v>11.1</v>
      </c>
      <c r="R220" s="242" t="n">
        <v>13.4</v>
      </c>
      <c r="S220" s="242" t="n">
        <v>10.7</v>
      </c>
      <c r="T220" s="242" t="n">
        <v>12.6</v>
      </c>
      <c r="U220" s="62" t="n">
        <v>0</v>
      </c>
      <c r="V220" s="62" t="n"/>
      <c r="W220" s="62" t="n"/>
      <c r="X220" s="62" t="n"/>
      <c r="Y220" s="62" t="n"/>
      <c r="Z220" s="62" t="n"/>
      <c r="AA220" s="62" t="n"/>
      <c r="AB220" s="62" t="n"/>
      <c r="AC220" s="62" t="n"/>
      <c r="AD220" s="62" t="n"/>
      <c r="AE220" s="62" t="n"/>
      <c r="AF220" s="62" t="n"/>
      <c r="AG220" s="162" t="n"/>
    </row>
    <row r="221">
      <c r="A221" s="249" t="n"/>
      <c r="B221" s="707" t="n">
        <v>28</v>
      </c>
      <c r="C221" s="261" t="n">
        <v>56</v>
      </c>
      <c r="D221" s="256" t="inlineStr">
        <is>
          <t>Safo Nassaraoua</t>
        </is>
      </c>
      <c r="E221" s="229" t="inlineStr">
        <is>
          <t>Safo</t>
        </is>
      </c>
      <c r="F221" s="229" t="inlineStr">
        <is>
          <t>Intervention</t>
        </is>
      </c>
      <c r="G221" s="305" t="n">
        <v>2021</v>
      </c>
      <c r="H221" s="305" t="n">
        <v>2022</v>
      </c>
      <c r="I221" s="231" t="n">
        <v>1</v>
      </c>
      <c r="J221" s="308" t="n">
        <v>2</v>
      </c>
      <c r="K221" s="229" t="n">
        <v>25</v>
      </c>
      <c r="L221" s="232" t="n">
        <v>1</v>
      </c>
      <c r="M221" s="537" t="n"/>
      <c r="N221" s="561" t="n">
        <v>0</v>
      </c>
      <c r="O221" s="561" t="n">
        <v>0.36</v>
      </c>
      <c r="P221" s="561" t="n">
        <v>1</v>
      </c>
      <c r="Q221" s="255" t="n">
        <v>2.2</v>
      </c>
      <c r="R221" s="255" t="n">
        <v>6.2</v>
      </c>
      <c r="S221" s="255" t="n">
        <v>2.3</v>
      </c>
      <c r="T221" s="255" t="n">
        <v>6</v>
      </c>
      <c r="U221" s="72" t="n">
        <v>0</v>
      </c>
      <c r="V221" s="72" t="n"/>
      <c r="W221" s="72" t="n"/>
      <c r="X221" s="72" t="n"/>
      <c r="Y221" s="72" t="n"/>
      <c r="Z221" s="72" t="n"/>
      <c r="AA221" s="72" t="n"/>
      <c r="AB221" s="72" t="n"/>
      <c r="AC221" s="72" t="n"/>
      <c r="AD221" s="72" t="n"/>
      <c r="AE221" s="72" t="n"/>
      <c r="AF221" s="72" t="n"/>
      <c r="AG221" s="163" t="n"/>
    </row>
    <row r="222">
      <c r="A222" s="272" t="n"/>
      <c r="B222" s="698" t="n"/>
      <c r="C222" s="269" t="n">
        <v>84</v>
      </c>
      <c r="D222" s="257" t="inlineStr">
        <is>
          <t>Riadi Centre 2</t>
        </is>
      </c>
      <c r="E222" s="288" t="inlineStr">
        <is>
          <t>Safo</t>
        </is>
      </c>
      <c r="F222" s="238" t="inlineStr">
        <is>
          <t>Control</t>
        </is>
      </c>
      <c r="G222" s="239" t="n">
        <v>2021</v>
      </c>
      <c r="H222" s="320" t="n">
        <v>2022</v>
      </c>
      <c r="I222" s="237" t="n">
        <v>0</v>
      </c>
      <c r="J222" s="57" t="n">
        <v>0</v>
      </c>
      <c r="K222" s="241" t="n">
        <v>23</v>
      </c>
      <c r="L222" s="405" t="n">
        <v>0</v>
      </c>
      <c r="M222" s="59" t="n"/>
      <c r="N222" s="538" t="n">
        <v>0</v>
      </c>
      <c r="O222" s="538" t="n">
        <v>0.78</v>
      </c>
      <c r="P222" s="538" t="n">
        <v>0.83</v>
      </c>
      <c r="Q222" s="243" t="n">
        <v>4</v>
      </c>
      <c r="R222" s="243" t="n">
        <v>4.5</v>
      </c>
      <c r="S222" s="243" t="n">
        <v>1.9</v>
      </c>
      <c r="T222" s="243" t="n">
        <v>4.1</v>
      </c>
      <c r="U222" s="81" t="n">
        <v>0</v>
      </c>
      <c r="V222" s="81" t="n"/>
      <c r="W222" s="81" t="n"/>
      <c r="X222" s="81" t="n"/>
      <c r="Y222" s="81" t="n"/>
      <c r="Z222" s="81" t="n"/>
      <c r="AA222" s="81" t="n"/>
      <c r="AB222" s="81" t="n"/>
      <c r="AC222" s="81" t="n"/>
      <c r="AD222" s="81" t="n"/>
      <c r="AE222" s="81" t="n"/>
      <c r="AF222" s="81" t="n"/>
      <c r="AG222" s="244" t="n"/>
    </row>
    <row r="223">
      <c r="A223" s="249" t="n"/>
      <c r="B223" s="707" t="n">
        <v>29</v>
      </c>
      <c r="C223" s="245" t="n">
        <v>46</v>
      </c>
      <c r="D223" s="256" t="inlineStr">
        <is>
          <t>Soura 1</t>
        </is>
      </c>
      <c r="E223" s="229" t="inlineStr">
        <is>
          <t>Tibiri</t>
        </is>
      </c>
      <c r="F223" s="229" t="inlineStr">
        <is>
          <t>Intervention</t>
        </is>
      </c>
      <c r="G223" s="305" t="n">
        <v>2021</v>
      </c>
      <c r="H223" s="305" t="n">
        <v>2022</v>
      </c>
      <c r="I223" s="231" t="n">
        <v>1</v>
      </c>
      <c r="J223" s="308" t="n">
        <v>3</v>
      </c>
      <c r="K223" s="229" t="n">
        <v>42</v>
      </c>
      <c r="L223" s="232" t="n">
        <v>1</v>
      </c>
      <c r="M223" s="537" t="n"/>
      <c r="N223" s="559">
        <f>8/K223</f>
        <v/>
      </c>
      <c r="O223" s="559" t="n">
        <v>0.57</v>
      </c>
      <c r="P223" s="559" t="n">
        <v>0.92</v>
      </c>
      <c r="Q223" s="246" t="n">
        <v>5.6</v>
      </c>
      <c r="R223" s="246" t="n">
        <v>14.4</v>
      </c>
      <c r="S223" s="246" t="n">
        <v>6</v>
      </c>
      <c r="T223" s="246" t="n">
        <v>16.2</v>
      </c>
      <c r="U223" s="91" t="n">
        <v>0</v>
      </c>
      <c r="V223" s="91" t="n"/>
      <c r="W223" s="91" t="n"/>
      <c r="X223" s="91" t="n"/>
      <c r="Y223" s="91" t="n"/>
      <c r="Z223" s="91" t="n"/>
      <c r="AA223" s="91" t="n"/>
      <c r="AB223" s="91" t="n"/>
      <c r="AC223" s="91" t="n"/>
      <c r="AD223" s="91" t="n"/>
      <c r="AE223" s="91" t="n"/>
      <c r="AF223" s="91" t="n"/>
      <c r="AG223" s="160" t="n"/>
    </row>
    <row r="224">
      <c r="A224" s="257" t="inlineStr">
        <is>
          <t>Goumar I</t>
        </is>
      </c>
      <c r="B224" s="698" t="n"/>
      <c r="C224" s="247" t="n">
        <v>85</v>
      </c>
      <c r="D224" s="257" t="inlineStr">
        <is>
          <t>Maza Tsaye I</t>
        </is>
      </c>
      <c r="E224" s="288" t="inlineStr">
        <is>
          <t>Tibiri</t>
        </is>
      </c>
      <c r="F224" s="238" t="inlineStr">
        <is>
          <t>Control</t>
        </is>
      </c>
      <c r="G224" s="239" t="n">
        <v>2021</v>
      </c>
      <c r="H224" s="320" t="n">
        <v>2022</v>
      </c>
      <c r="I224" s="237" t="n">
        <v>0</v>
      </c>
      <c r="J224" s="334" t="n">
        <v>0</v>
      </c>
      <c r="K224" s="241" t="n">
        <v>26</v>
      </c>
      <c r="L224" s="405" t="n">
        <v>0</v>
      </c>
      <c r="M224" s="59" t="n"/>
      <c r="N224" s="562" t="n">
        <v>0</v>
      </c>
      <c r="O224" s="562" t="n">
        <v>0.77</v>
      </c>
      <c r="P224" s="562" t="n">
        <v>0.8</v>
      </c>
      <c r="Q224" s="242" t="n">
        <v>9.5</v>
      </c>
      <c r="R224" s="242" t="n">
        <v>8.6</v>
      </c>
      <c r="S224" s="242" t="n">
        <v>6.2</v>
      </c>
      <c r="T224" s="242" t="n">
        <v>8.800000000000001</v>
      </c>
      <c r="U224" s="62" t="n">
        <v>0</v>
      </c>
      <c r="V224" s="62" t="n"/>
      <c r="W224" s="62" t="n"/>
      <c r="X224" s="62" t="n"/>
      <c r="Y224" s="62" t="n"/>
      <c r="Z224" s="62" t="n"/>
      <c r="AA224" s="62" t="n"/>
      <c r="AB224" s="62" t="n"/>
      <c r="AC224" s="62" t="n"/>
      <c r="AD224" s="62" t="n"/>
      <c r="AE224" s="62" t="n"/>
      <c r="AF224" s="62" t="n"/>
      <c r="AG224" s="162" t="n"/>
    </row>
    <row r="225">
      <c r="A225" s="249" t="n"/>
      <c r="B225" s="707" t="n">
        <v>30</v>
      </c>
      <c r="C225" s="261" t="n">
        <v>60</v>
      </c>
      <c r="D225" s="256" t="inlineStr">
        <is>
          <t>Tchikadji Centre</t>
        </is>
      </c>
      <c r="E225" s="229" t="inlineStr">
        <is>
          <t>Safo</t>
        </is>
      </c>
      <c r="F225" s="229" t="inlineStr">
        <is>
          <t>Intervention</t>
        </is>
      </c>
      <c r="G225" s="305" t="n">
        <v>2021</v>
      </c>
      <c r="H225" s="305" t="n">
        <v>2022</v>
      </c>
      <c r="I225" s="231" t="n">
        <v>1</v>
      </c>
      <c r="J225" s="308" t="n">
        <v>3</v>
      </c>
      <c r="K225" s="229" t="n">
        <v>37</v>
      </c>
      <c r="L225" s="232" t="n">
        <v>1</v>
      </c>
      <c r="M225" s="537" t="n"/>
      <c r="N225" s="561" t="n">
        <v>0</v>
      </c>
      <c r="O225" s="561" t="n">
        <v>0.68</v>
      </c>
      <c r="P225" s="561" t="n">
        <v>1</v>
      </c>
      <c r="Q225" s="255" t="n">
        <v>5.7</v>
      </c>
      <c r="R225" s="255" t="n">
        <v>10.6</v>
      </c>
      <c r="S225" s="255" t="n">
        <v>4.2</v>
      </c>
      <c r="T225" s="255" t="n">
        <v>10.8</v>
      </c>
      <c r="U225" s="72" t="n">
        <v>0</v>
      </c>
      <c r="V225" s="72" t="n"/>
      <c r="W225" s="72" t="n"/>
      <c r="X225" s="72" t="n"/>
      <c r="Y225" s="72" t="n"/>
      <c r="Z225" s="72" t="n"/>
      <c r="AA225" s="72" t="n"/>
      <c r="AB225" s="72" t="n"/>
      <c r="AC225" s="72" t="n"/>
      <c r="AD225" s="72" t="n"/>
      <c r="AE225" s="72" t="n"/>
      <c r="AF225" s="72" t="n"/>
      <c r="AG225" s="163" t="n"/>
    </row>
    <row r="226">
      <c r="A226" s="272" t="n"/>
      <c r="B226" s="698" t="n"/>
      <c r="C226" s="269" t="n">
        <v>86</v>
      </c>
      <c r="D226" s="257" t="inlineStr">
        <is>
          <t>Kagara</t>
        </is>
      </c>
      <c r="E226" s="288" t="inlineStr">
        <is>
          <t>Safo</t>
        </is>
      </c>
      <c r="F226" s="238" t="inlineStr">
        <is>
          <t>Control</t>
        </is>
      </c>
      <c r="G226" s="239" t="n">
        <v>2021</v>
      </c>
      <c r="H226" s="320" t="n">
        <v>2022</v>
      </c>
      <c r="I226" s="237" t="n">
        <v>0</v>
      </c>
      <c r="J226" s="57" t="n">
        <v>0</v>
      </c>
      <c r="K226" s="241" t="n">
        <v>26</v>
      </c>
      <c r="L226" s="405" t="n">
        <v>0</v>
      </c>
      <c r="M226" s="59" t="n"/>
      <c r="N226" s="538" t="n">
        <v>0</v>
      </c>
      <c r="O226" s="538" t="n">
        <v>0.54</v>
      </c>
      <c r="P226" s="538" t="n">
        <v>0.86</v>
      </c>
      <c r="Q226" s="243" t="n">
        <v>8.699999999999999</v>
      </c>
      <c r="R226" s="243" t="n">
        <v>14.3</v>
      </c>
      <c r="S226" s="243" t="n">
        <v>6.4</v>
      </c>
      <c r="T226" s="243" t="n">
        <v>13.9</v>
      </c>
      <c r="U226" s="81" t="n">
        <v>0</v>
      </c>
      <c r="V226" s="81" t="n"/>
      <c r="W226" s="81" t="n"/>
      <c r="X226" s="81" t="n"/>
      <c r="Y226" s="81" t="n"/>
      <c r="Z226" s="81" t="n"/>
      <c r="AA226" s="81" t="n"/>
      <c r="AB226" s="81" t="n"/>
      <c r="AC226" s="81" t="n"/>
      <c r="AD226" s="81" t="n"/>
      <c r="AE226" s="81" t="n"/>
      <c r="AF226" s="81" t="n"/>
      <c r="AG226" s="244" t="n"/>
    </row>
    <row r="227">
      <c r="A227" s="249" t="n"/>
      <c r="B227" s="707" t="n">
        <v>31</v>
      </c>
      <c r="C227" s="245" t="n">
        <v>61</v>
      </c>
      <c r="D227" s="256" t="inlineStr">
        <is>
          <t>Maradou Centre</t>
        </is>
      </c>
      <c r="E227" s="229" t="inlineStr">
        <is>
          <t>Safo</t>
        </is>
      </c>
      <c r="F227" s="229" t="inlineStr">
        <is>
          <t>Intervention</t>
        </is>
      </c>
      <c r="G227" s="305" t="n">
        <v>2021</v>
      </c>
      <c r="H227" s="305" t="n">
        <v>2022</v>
      </c>
      <c r="I227" s="231" t="n">
        <v>1</v>
      </c>
      <c r="J227" s="308" t="n">
        <v>4</v>
      </c>
      <c r="K227" s="229" t="n">
        <v>55</v>
      </c>
      <c r="L227" s="232" t="n">
        <v>1</v>
      </c>
      <c r="M227" s="537" t="n"/>
      <c r="N227" s="559">
        <f>8/K227</f>
        <v/>
      </c>
      <c r="O227" s="559" t="n">
        <v>0.38</v>
      </c>
      <c r="P227" s="559" t="n">
        <v>0.95</v>
      </c>
      <c r="Q227" s="246" t="n">
        <v>4.4</v>
      </c>
      <c r="R227" s="246" t="n">
        <v>9.4</v>
      </c>
      <c r="S227" s="246" t="n">
        <v>2.7</v>
      </c>
      <c r="T227" s="246" t="n">
        <v>7.7</v>
      </c>
      <c r="U227" s="91" t="n">
        <v>0</v>
      </c>
      <c r="V227" s="91" t="n"/>
      <c r="W227" s="91" t="n"/>
      <c r="X227" s="91" t="n"/>
      <c r="Y227" s="91" t="n"/>
      <c r="Z227" s="91" t="n"/>
      <c r="AA227" s="91" t="n"/>
      <c r="AB227" s="91" t="n"/>
      <c r="AC227" s="91" t="n"/>
      <c r="AD227" s="91" t="n"/>
      <c r="AE227" s="91" t="n"/>
      <c r="AF227" s="91" t="n"/>
      <c r="AG227" s="160" t="n"/>
    </row>
    <row r="228">
      <c r="A228" s="272" t="n"/>
      <c r="B228" s="698" t="n"/>
      <c r="C228" s="247" t="n">
        <v>87</v>
      </c>
      <c r="D228" s="257" t="inlineStr">
        <is>
          <t>Radi Quartier</t>
        </is>
      </c>
      <c r="E228" s="288" t="inlineStr">
        <is>
          <t>Safo</t>
        </is>
      </c>
      <c r="F228" s="238" t="inlineStr">
        <is>
          <t>Control</t>
        </is>
      </c>
      <c r="G228" s="239" t="n">
        <v>2021</v>
      </c>
      <c r="H228" s="320" t="n">
        <v>2022</v>
      </c>
      <c r="I228" s="237" t="n">
        <v>0</v>
      </c>
      <c r="J228" s="57" t="n">
        <v>0</v>
      </c>
      <c r="K228" s="241" t="n">
        <v>40</v>
      </c>
      <c r="L228" s="405" t="n">
        <v>0</v>
      </c>
      <c r="M228" s="59" t="n"/>
      <c r="N228" s="562" t="n">
        <v>0</v>
      </c>
      <c r="O228" s="562" t="n">
        <v>0.65</v>
      </c>
      <c r="P228" s="562" t="n">
        <v>0.53</v>
      </c>
      <c r="Q228" s="242" t="n">
        <v>7.1</v>
      </c>
      <c r="R228" s="242" t="n">
        <v>6.5</v>
      </c>
      <c r="S228" s="242" t="n">
        <v>4.7</v>
      </c>
      <c r="T228" s="242" t="n">
        <v>5.9</v>
      </c>
      <c r="U228" s="62" t="n">
        <v>0</v>
      </c>
      <c r="V228" s="62" t="n"/>
      <c r="W228" s="62" t="n"/>
      <c r="X228" s="62" t="n"/>
      <c r="Y228" s="62" t="n"/>
      <c r="Z228" s="62" t="n"/>
      <c r="AA228" s="62" t="n"/>
      <c r="AB228" s="62" t="n"/>
      <c r="AC228" s="62" t="n"/>
      <c r="AD228" s="62" t="n"/>
      <c r="AE228" s="62" t="n"/>
      <c r="AF228" s="62" t="n"/>
      <c r="AG228" s="162" t="n"/>
    </row>
    <row r="229">
      <c r="A229" s="95" t="n"/>
      <c r="B229" s="95" t="n"/>
      <c r="C229" s="95" t="n"/>
      <c r="D229" s="95" t="n"/>
      <c r="E229" s="95" t="n"/>
      <c r="F229" s="95" t="n"/>
      <c r="G229" s="95" t="n"/>
      <c r="H229" s="95" t="n"/>
      <c r="I229" s="95" t="n"/>
      <c r="J229" s="95" t="n"/>
      <c r="K229" s="95" t="n"/>
      <c r="L229" s="99" t="n"/>
      <c r="M229" s="100" t="n"/>
      <c r="N229" s="100" t="n"/>
      <c r="O229" s="100" t="n"/>
      <c r="P229" s="100" t="n"/>
      <c r="Q229" s="100" t="n"/>
      <c r="R229" s="100" t="n"/>
      <c r="S229" s="100" t="n"/>
      <c r="T229" s="100" t="n"/>
      <c r="U229" s="100" t="n"/>
      <c r="V229" s="100" t="n"/>
      <c r="W229" s="100" t="n"/>
      <c r="X229" s="100" t="n"/>
      <c r="Y229" s="100" t="n"/>
      <c r="Z229" s="100" t="n"/>
      <c r="AA229" s="100" t="n"/>
      <c r="AB229" s="100" t="n"/>
      <c r="AC229" s="100" t="n"/>
      <c r="AD229" s="100" t="n"/>
      <c r="AE229" s="100" t="n"/>
      <c r="AF229" s="100" t="n"/>
      <c r="AG229" s="100" t="n"/>
    </row>
    <row r="230">
      <c r="A230" s="204" t="inlineStr">
        <is>
          <t>COHORT 5 CM2 2022-2023</t>
        </is>
      </c>
      <c r="B230" s="95" t="n"/>
      <c r="C230" s="95" t="n"/>
      <c r="D230" s="95" t="n"/>
      <c r="E230" s="95" t="n"/>
      <c r="F230" s="95" t="n"/>
      <c r="G230" s="95" t="n"/>
      <c r="H230" s="95" t="n"/>
      <c r="I230" s="95" t="n"/>
      <c r="J230" s="95" t="n"/>
      <c r="K230" s="95" t="n"/>
      <c r="L230" s="99" t="n"/>
      <c r="M230" s="100" t="n"/>
      <c r="N230" s="100" t="n"/>
      <c r="O230" s="100" t="n"/>
      <c r="P230" s="100" t="n"/>
      <c r="Q230" s="100" t="n"/>
      <c r="R230" s="100" t="n"/>
      <c r="S230" s="100" t="n"/>
      <c r="T230" s="100" t="n"/>
      <c r="U230" s="207" t="inlineStr">
        <is>
          <t>Hasken Mata cohorte 2</t>
        </is>
      </c>
      <c r="V230" s="100" t="n"/>
      <c r="W230" s="100" t="n"/>
      <c r="X230" s="100" t="n"/>
      <c r="Y230" s="100" t="n"/>
      <c r="Z230" s="100" t="n"/>
      <c r="AA230" s="100" t="n"/>
      <c r="AB230" s="100" t="n"/>
      <c r="AC230" s="100" t="n"/>
      <c r="AD230" s="100" t="n"/>
      <c r="AE230" s="100" t="n"/>
      <c r="AF230" s="100" t="n"/>
      <c r="AG230" s="100" t="n"/>
    </row>
    <row r="231">
      <c r="A231" s="221" t="n"/>
      <c r="B231" s="335" t="n">
        <v>1</v>
      </c>
      <c r="C231" s="336" t="n">
        <v>88</v>
      </c>
      <c r="D231" s="336" t="inlineStr">
        <is>
          <t>Louloubi</t>
        </is>
      </c>
      <c r="E231" s="221" t="inlineStr">
        <is>
          <t>Sae Saboua</t>
        </is>
      </c>
      <c r="F231" s="221" t="inlineStr">
        <is>
          <t>Intervention</t>
        </is>
      </c>
      <c r="G231" s="222" t="n">
        <v>2021</v>
      </c>
      <c r="H231" s="222" t="n">
        <v>2022</v>
      </c>
      <c r="I231" s="104" t="n">
        <v>0</v>
      </c>
      <c r="J231" s="104" t="n">
        <v>0</v>
      </c>
      <c r="K231" s="104" t="inlineStr">
        <is>
          <t>NR</t>
        </is>
      </c>
      <c r="L231" s="104" t="inlineStr">
        <is>
          <t>NR</t>
        </is>
      </c>
      <c r="M231" s="105" t="inlineStr">
        <is>
          <t>NR</t>
        </is>
      </c>
      <c r="N231" s="699" t="inlineStr">
        <is>
          <t>NR</t>
        </is>
      </c>
      <c r="O231" s="699" t="inlineStr">
        <is>
          <t>NR</t>
        </is>
      </c>
      <c r="P231" s="699" t="inlineStr">
        <is>
          <t>NR</t>
        </is>
      </c>
      <c r="Q231" s="105" t="inlineStr">
        <is>
          <t>NA</t>
        </is>
      </c>
      <c r="R231" s="105" t="inlineStr">
        <is>
          <t>NA</t>
        </is>
      </c>
      <c r="S231" s="105" t="inlineStr">
        <is>
          <t>NA</t>
        </is>
      </c>
      <c r="T231" s="105" t="inlineStr">
        <is>
          <t>NA</t>
        </is>
      </c>
      <c r="U231" s="105" t="inlineStr">
        <is>
          <t>NR</t>
        </is>
      </c>
      <c r="V231" s="520" t="inlineStr">
        <is>
          <t>2021-2022</t>
        </is>
      </c>
    </row>
    <row r="232">
      <c r="A232" s="212" t="n"/>
      <c r="C232" s="290" t="n">
        <v>89</v>
      </c>
      <c r="D232" s="290" t="inlineStr">
        <is>
          <t>Karambi Sofoua</t>
        </is>
      </c>
      <c r="E232" s="212" t="inlineStr">
        <is>
          <t>Sae Saboua</t>
        </is>
      </c>
      <c r="F232" s="212" t="inlineStr">
        <is>
          <t>Control</t>
        </is>
      </c>
      <c r="G232" s="213" t="n">
        <v>2021</v>
      </c>
      <c r="H232" s="213" t="n">
        <v>2022</v>
      </c>
      <c r="I232" s="224" t="n">
        <v>0</v>
      </c>
      <c r="J232" s="104" t="n">
        <v>0</v>
      </c>
      <c r="K232" s="224" t="inlineStr">
        <is>
          <t>NR</t>
        </is>
      </c>
      <c r="L232" s="224" t="inlineStr">
        <is>
          <t>NR</t>
        </is>
      </c>
      <c r="M232" s="105" t="inlineStr">
        <is>
          <t>NR</t>
        </is>
      </c>
      <c r="N232" s="699" t="inlineStr">
        <is>
          <t>NR</t>
        </is>
      </c>
      <c r="O232" s="699" t="inlineStr">
        <is>
          <t>NR</t>
        </is>
      </c>
      <c r="P232" s="699" t="inlineStr">
        <is>
          <t>NR</t>
        </is>
      </c>
      <c r="Q232" s="105" t="inlineStr">
        <is>
          <t>NA</t>
        </is>
      </c>
      <c r="R232" s="105" t="inlineStr">
        <is>
          <t>NA</t>
        </is>
      </c>
      <c r="S232" s="105" t="inlineStr">
        <is>
          <t>NA</t>
        </is>
      </c>
      <c r="T232" s="105" t="inlineStr">
        <is>
          <t>NA</t>
        </is>
      </c>
      <c r="U232" s="105" t="inlineStr">
        <is>
          <t>NR</t>
        </is>
      </c>
      <c r="V232" s="520" t="inlineStr">
        <is>
          <t>2021-2022</t>
        </is>
      </c>
    </row>
    <row r="233">
      <c r="A233" s="221" t="n"/>
      <c r="B233" s="335" t="n">
        <v>2</v>
      </c>
      <c r="C233" s="336" t="n">
        <v>90</v>
      </c>
      <c r="D233" s="336" t="inlineStr">
        <is>
          <t>Kadata</t>
        </is>
      </c>
      <c r="E233" s="221" t="inlineStr">
        <is>
          <t>Sae Saboua</t>
        </is>
      </c>
      <c r="F233" s="221" t="inlineStr">
        <is>
          <t>Intervention</t>
        </is>
      </c>
      <c r="G233" s="222" t="n">
        <v>2021</v>
      </c>
      <c r="H233" s="222" t="n">
        <v>2022</v>
      </c>
      <c r="I233" s="104" t="n">
        <v>0</v>
      </c>
      <c r="J233" s="104" t="n">
        <v>0</v>
      </c>
      <c r="K233" s="104" t="inlineStr">
        <is>
          <t>NR</t>
        </is>
      </c>
      <c r="L233" s="104" t="inlineStr">
        <is>
          <t>NR</t>
        </is>
      </c>
      <c r="M233" s="105" t="inlineStr">
        <is>
          <t>NR</t>
        </is>
      </c>
      <c r="N233" s="699" t="inlineStr">
        <is>
          <t>NR</t>
        </is>
      </c>
      <c r="O233" s="699" t="inlineStr">
        <is>
          <t>NR</t>
        </is>
      </c>
      <c r="P233" s="699" t="inlineStr">
        <is>
          <t>NR</t>
        </is>
      </c>
      <c r="Q233" s="105" t="inlineStr">
        <is>
          <t>NA</t>
        </is>
      </c>
      <c r="R233" s="105" t="inlineStr">
        <is>
          <t>NA</t>
        </is>
      </c>
      <c r="S233" s="105" t="inlineStr">
        <is>
          <t>NA</t>
        </is>
      </c>
      <c r="T233" s="105" t="inlineStr">
        <is>
          <t>NA</t>
        </is>
      </c>
      <c r="U233" s="105" t="inlineStr">
        <is>
          <t>NR</t>
        </is>
      </c>
      <c r="V233" s="520" t="inlineStr">
        <is>
          <t>2021-2022</t>
        </is>
      </c>
    </row>
    <row r="234">
      <c r="A234" s="212" t="n"/>
      <c r="C234" s="290" t="n">
        <v>91</v>
      </c>
      <c r="D234" s="290" t="inlineStr">
        <is>
          <t>Mountarou 1</t>
        </is>
      </c>
      <c r="E234" s="212" t="inlineStr">
        <is>
          <t>Sae Saboua</t>
        </is>
      </c>
      <c r="F234" s="212" t="inlineStr">
        <is>
          <t>Control</t>
        </is>
      </c>
      <c r="G234" s="213" t="n">
        <v>2021</v>
      </c>
      <c r="H234" s="213" t="n">
        <v>2022</v>
      </c>
      <c r="I234" s="224" t="n">
        <v>0</v>
      </c>
      <c r="J234" s="104" t="n">
        <v>0</v>
      </c>
      <c r="K234" s="224" t="inlineStr">
        <is>
          <t>NR</t>
        </is>
      </c>
      <c r="L234" s="224" t="inlineStr">
        <is>
          <t>NR</t>
        </is>
      </c>
      <c r="M234" s="105" t="inlineStr">
        <is>
          <t>NR</t>
        </is>
      </c>
      <c r="N234" s="699" t="inlineStr">
        <is>
          <t>NR</t>
        </is>
      </c>
      <c r="O234" s="699" t="inlineStr">
        <is>
          <t>NR</t>
        </is>
      </c>
      <c r="P234" s="699" t="inlineStr">
        <is>
          <t>NR</t>
        </is>
      </c>
      <c r="Q234" s="105" t="inlineStr">
        <is>
          <t>NA</t>
        </is>
      </c>
      <c r="R234" s="105" t="inlineStr">
        <is>
          <t>NA</t>
        </is>
      </c>
      <c r="S234" s="105" t="inlineStr">
        <is>
          <t>NA</t>
        </is>
      </c>
      <c r="T234" s="105" t="inlineStr">
        <is>
          <t>NA</t>
        </is>
      </c>
      <c r="U234" s="105" t="inlineStr">
        <is>
          <t>NR</t>
        </is>
      </c>
      <c r="V234" s="520" t="inlineStr">
        <is>
          <t>2021-2022</t>
        </is>
      </c>
    </row>
    <row r="235">
      <c r="A235" s="221" t="n"/>
      <c r="B235" s="335" t="n">
        <v>3</v>
      </c>
      <c r="C235" s="336" t="n">
        <v>92</v>
      </c>
      <c r="D235" s="336" t="inlineStr">
        <is>
          <t>Barouana</t>
        </is>
      </c>
      <c r="E235" s="221" t="inlineStr">
        <is>
          <t>Sae Saboua</t>
        </is>
      </c>
      <c r="F235" s="221" t="inlineStr">
        <is>
          <t>Intervention</t>
        </is>
      </c>
      <c r="G235" s="222" t="n">
        <v>2021</v>
      </c>
      <c r="H235" s="222" t="n">
        <v>2022</v>
      </c>
      <c r="I235" s="104" t="n">
        <v>0</v>
      </c>
      <c r="J235" s="104" t="n">
        <v>0</v>
      </c>
      <c r="K235" s="104" t="inlineStr">
        <is>
          <t>NR</t>
        </is>
      </c>
      <c r="L235" s="104" t="inlineStr">
        <is>
          <t>NR</t>
        </is>
      </c>
      <c r="M235" s="105" t="inlineStr">
        <is>
          <t>NR</t>
        </is>
      </c>
      <c r="N235" s="699" t="inlineStr">
        <is>
          <t>NR</t>
        </is>
      </c>
      <c r="O235" s="699" t="inlineStr">
        <is>
          <t>NR</t>
        </is>
      </c>
      <c r="P235" s="699" t="inlineStr">
        <is>
          <t>NR</t>
        </is>
      </c>
      <c r="Q235" s="105" t="inlineStr">
        <is>
          <t>NA</t>
        </is>
      </c>
      <c r="R235" s="105" t="inlineStr">
        <is>
          <t>NA</t>
        </is>
      </c>
      <c r="S235" s="105" t="inlineStr">
        <is>
          <t>NA</t>
        </is>
      </c>
      <c r="T235" s="105" t="inlineStr">
        <is>
          <t>NA</t>
        </is>
      </c>
      <c r="U235" s="105" t="inlineStr">
        <is>
          <t>NR</t>
        </is>
      </c>
      <c r="V235" s="520" t="inlineStr">
        <is>
          <t>2021-2022</t>
        </is>
      </c>
    </row>
    <row r="236">
      <c r="A236" s="212" t="n"/>
      <c r="C236" s="290" t="n">
        <v>93</v>
      </c>
      <c r="D236" s="290" t="inlineStr">
        <is>
          <t>Mata Milki</t>
        </is>
      </c>
      <c r="E236" s="212" t="inlineStr">
        <is>
          <t>Sae Saboua</t>
        </is>
      </c>
      <c r="F236" s="212" t="inlineStr">
        <is>
          <t>Control</t>
        </is>
      </c>
      <c r="G236" s="213" t="n">
        <v>2021</v>
      </c>
      <c r="H236" s="213" t="n">
        <v>2022</v>
      </c>
      <c r="I236" s="224" t="n">
        <v>0</v>
      </c>
      <c r="J236" s="104" t="n">
        <v>0</v>
      </c>
      <c r="K236" s="224" t="inlineStr">
        <is>
          <t>NR</t>
        </is>
      </c>
      <c r="L236" s="224" t="inlineStr">
        <is>
          <t>NR</t>
        </is>
      </c>
      <c r="M236" s="105" t="inlineStr">
        <is>
          <t>NR</t>
        </is>
      </c>
      <c r="N236" s="699" t="inlineStr">
        <is>
          <t>NR</t>
        </is>
      </c>
      <c r="O236" s="699" t="inlineStr">
        <is>
          <t>NR</t>
        </is>
      </c>
      <c r="P236" s="699" t="inlineStr">
        <is>
          <t>NR</t>
        </is>
      </c>
      <c r="Q236" s="105" t="inlineStr">
        <is>
          <t>NA</t>
        </is>
      </c>
      <c r="R236" s="105" t="inlineStr">
        <is>
          <t>NA</t>
        </is>
      </c>
      <c r="S236" s="105" t="inlineStr">
        <is>
          <t>NA</t>
        </is>
      </c>
      <c r="T236" s="105" t="inlineStr">
        <is>
          <t>NA</t>
        </is>
      </c>
      <c r="U236" s="105" t="inlineStr">
        <is>
          <t>NR</t>
        </is>
      </c>
      <c r="V236" s="520" t="inlineStr">
        <is>
          <t>2021-2022</t>
        </is>
      </c>
    </row>
    <row r="237">
      <c r="A237" s="338" t="n"/>
      <c r="B237" s="339" t="n"/>
      <c r="C237" s="336" t="n"/>
      <c r="D237" s="336" t="n"/>
      <c r="E237" s="338" t="n"/>
      <c r="F237" s="338" t="n"/>
      <c r="G237" s="102" t="n"/>
      <c r="H237" s="102" t="n"/>
      <c r="I237" s="340" t="n"/>
      <c r="J237" s="104" t="n"/>
      <c r="K237" s="219" t="n"/>
      <c r="L237" s="219" t="n"/>
      <c r="M237" s="12" t="n"/>
      <c r="N237" s="106" t="n"/>
      <c r="O237" s="106" t="n"/>
      <c r="P237" s="106" t="n"/>
      <c r="Q237" s="216" t="n"/>
      <c r="R237" s="216" t="n"/>
      <c r="S237" s="216" t="n"/>
      <c r="T237" s="216" t="n"/>
      <c r="U237" s="216" t="n"/>
      <c r="V237" s="520" t="n"/>
    </row>
    <row r="238">
      <c r="A238" s="597" t="n"/>
      <c r="B238" s="712" t="n">
        <v>1</v>
      </c>
      <c r="C238" s="336" t="n">
        <v>88</v>
      </c>
      <c r="D238" s="336" t="inlineStr">
        <is>
          <t>Louloubi</t>
        </is>
      </c>
      <c r="E238" s="338" t="inlineStr">
        <is>
          <t>Sae Saboua</t>
        </is>
      </c>
      <c r="F238" s="343" t="inlineStr">
        <is>
          <t>Intervention</t>
        </is>
      </c>
      <c r="G238" s="641" t="n">
        <v>2022</v>
      </c>
      <c r="H238" s="641" t="n">
        <v>2023</v>
      </c>
      <c r="I238" s="456" t="n">
        <v>1</v>
      </c>
      <c r="J238" s="456" t="n">
        <v>2</v>
      </c>
      <c r="K238" s="343" t="n">
        <v>25</v>
      </c>
      <c r="L238" s="346" t="n">
        <v>2</v>
      </c>
      <c r="M238" s="537" t="n"/>
      <c r="N238" s="708" t="inlineStr">
        <is>
          <t>NR</t>
        </is>
      </c>
      <c r="O238" s="708" t="inlineStr">
        <is>
          <t>NR</t>
        </is>
      </c>
      <c r="P238" s="708" t="inlineStr">
        <is>
          <t>NR</t>
        </is>
      </c>
      <c r="Q238" s="246" t="n">
        <v>4.7</v>
      </c>
      <c r="R238" s="246" t="n">
        <v>14.7</v>
      </c>
      <c r="S238" s="246" t="n">
        <v>7.4</v>
      </c>
      <c r="T238" s="246" t="n">
        <v>14.6</v>
      </c>
      <c r="U238" s="520" t="n">
        <v>1</v>
      </c>
    </row>
    <row r="239">
      <c r="A239" s="600" t="n"/>
      <c r="B239" s="698" t="n"/>
      <c r="C239" s="348" t="n">
        <v>89</v>
      </c>
      <c r="D239" s="349" t="inlineStr">
        <is>
          <t xml:space="preserve">Karambi Sofoua </t>
        </is>
      </c>
      <c r="E239" s="338" t="inlineStr">
        <is>
          <t>Sae Saboua</t>
        </is>
      </c>
      <c r="F239" s="350" t="inlineStr">
        <is>
          <t>Control</t>
        </is>
      </c>
      <c r="G239" s="55" t="n">
        <v>2022</v>
      </c>
      <c r="H239" s="649" t="n">
        <v>2023</v>
      </c>
      <c r="I239" s="652" t="n">
        <v>0</v>
      </c>
      <c r="J239" s="652" t="n">
        <v>0</v>
      </c>
      <c r="K239" s="350" t="n">
        <v>18</v>
      </c>
      <c r="L239" s="405" t="n">
        <v>0</v>
      </c>
      <c r="M239" s="59" t="n"/>
      <c r="N239" s="708" t="inlineStr">
        <is>
          <t>NR</t>
        </is>
      </c>
      <c r="O239" s="708" t="inlineStr">
        <is>
          <t>NR</t>
        </is>
      </c>
      <c r="P239" s="708" t="inlineStr">
        <is>
          <t>NR</t>
        </is>
      </c>
      <c r="Q239" s="242" t="n">
        <v>7.5</v>
      </c>
      <c r="R239" s="242" t="n">
        <v>6.3</v>
      </c>
      <c r="S239" s="242" t="n">
        <v>3.8</v>
      </c>
      <c r="T239" s="242" t="n">
        <v>4.5</v>
      </c>
      <c r="U239" s="520" t="n">
        <v>0</v>
      </c>
    </row>
    <row r="240">
      <c r="A240" s="353" t="n"/>
      <c r="B240" s="713" t="n">
        <v>2</v>
      </c>
      <c r="C240" s="355" t="n">
        <v>90</v>
      </c>
      <c r="D240" s="622" t="inlineStr">
        <is>
          <t xml:space="preserve">Kadata </t>
        </is>
      </c>
      <c r="E240" s="357" t="inlineStr">
        <is>
          <t>Sae Saboua</t>
        </is>
      </c>
      <c r="F240" s="357" t="inlineStr">
        <is>
          <t>Intervention</t>
        </is>
      </c>
      <c r="G240" s="546" t="n">
        <v>2022</v>
      </c>
      <c r="H240" s="546" t="n">
        <v>2023</v>
      </c>
      <c r="I240" s="359" t="n">
        <v>1</v>
      </c>
      <c r="J240" s="359" t="n">
        <v>1</v>
      </c>
      <c r="K240" s="357" t="n">
        <v>17</v>
      </c>
      <c r="L240" s="360" t="n">
        <v>2</v>
      </c>
      <c r="M240" s="537" t="n"/>
      <c r="N240" s="708" t="inlineStr">
        <is>
          <t>NR</t>
        </is>
      </c>
      <c r="O240" s="708" t="inlineStr">
        <is>
          <t>NR</t>
        </is>
      </c>
      <c r="P240" s="708" t="inlineStr">
        <is>
          <t>NR</t>
        </is>
      </c>
      <c r="Q240" s="255" t="n">
        <v>8</v>
      </c>
      <c r="R240" s="255" t="n">
        <v>15.4</v>
      </c>
      <c r="S240" s="255" t="n">
        <v>5.1</v>
      </c>
      <c r="T240" s="255" t="n">
        <v>17.7</v>
      </c>
      <c r="U240" s="520" t="n">
        <v>1</v>
      </c>
    </row>
    <row r="241">
      <c r="A241" s="659" t="n"/>
      <c r="B241" s="698" t="n"/>
      <c r="C241" s="362" t="n">
        <v>91</v>
      </c>
      <c r="D241" s="623" t="inlineStr">
        <is>
          <t>Mountarou 1</t>
        </is>
      </c>
      <c r="E241" s="364" t="inlineStr">
        <is>
          <t>Sae Saboua</t>
        </is>
      </c>
      <c r="F241" s="364" t="inlineStr">
        <is>
          <t>Control</t>
        </is>
      </c>
      <c r="G241" s="77" t="n">
        <v>2022</v>
      </c>
      <c r="H241" s="549" t="n">
        <v>2023</v>
      </c>
      <c r="I241" s="78" t="n">
        <v>0</v>
      </c>
      <c r="J241" s="78" t="n">
        <v>0</v>
      </c>
      <c r="K241" s="364" t="n">
        <v>17</v>
      </c>
      <c r="L241" s="497" t="n">
        <v>0</v>
      </c>
      <c r="M241" s="59" t="n"/>
      <c r="N241" s="708" t="inlineStr">
        <is>
          <t>NR</t>
        </is>
      </c>
      <c r="O241" s="708" t="inlineStr">
        <is>
          <t>NR</t>
        </is>
      </c>
      <c r="P241" s="708" t="inlineStr">
        <is>
          <t>NR</t>
        </is>
      </c>
      <c r="Q241" s="243" t="n">
        <v>8</v>
      </c>
      <c r="R241" s="243" t="n">
        <v>5.9</v>
      </c>
      <c r="S241" s="243" t="n">
        <v>5.3</v>
      </c>
      <c r="T241" s="243" t="n">
        <v>6.2</v>
      </c>
      <c r="U241" s="520" t="n">
        <v>1</v>
      </c>
    </row>
    <row r="242">
      <c r="A242" s="597" t="n"/>
      <c r="B242" s="714" t="n">
        <v>3</v>
      </c>
      <c r="C242" s="368" t="n">
        <v>92</v>
      </c>
      <c r="D242" s="603" t="inlineStr">
        <is>
          <t xml:space="preserve">Barouana </t>
        </is>
      </c>
      <c r="E242" s="343" t="inlineStr">
        <is>
          <t>Sae Saboua</t>
        </is>
      </c>
      <c r="F242" s="343" t="inlineStr">
        <is>
          <t>Intervention</t>
        </is>
      </c>
      <c r="G242" s="641" t="n">
        <v>2022</v>
      </c>
      <c r="H242" s="641" t="n">
        <v>2023</v>
      </c>
      <c r="I242" s="456" t="n">
        <v>1</v>
      </c>
      <c r="J242" s="456" t="n">
        <v>2</v>
      </c>
      <c r="K242" s="343" t="n">
        <v>35</v>
      </c>
      <c r="L242" s="346" t="n">
        <v>2</v>
      </c>
      <c r="M242" s="537" t="n"/>
      <c r="N242" s="708" t="inlineStr">
        <is>
          <t>NR</t>
        </is>
      </c>
      <c r="O242" s="708" t="inlineStr">
        <is>
          <t>NR</t>
        </is>
      </c>
      <c r="P242" s="708" t="inlineStr">
        <is>
          <t>NR</t>
        </is>
      </c>
      <c r="Q242" s="246" t="n">
        <v>3.3</v>
      </c>
      <c r="R242" s="246" t="n">
        <v>13.9</v>
      </c>
      <c r="S242" s="246" t="n">
        <v>5.8</v>
      </c>
      <c r="T242" s="246" t="n">
        <v>13.8</v>
      </c>
      <c r="U242" s="520" t="n">
        <v>0</v>
      </c>
    </row>
    <row r="243">
      <c r="A243" s="618" t="n"/>
      <c r="B243" s="698" t="n"/>
      <c r="C243" s="371" t="n">
        <v>93</v>
      </c>
      <c r="D243" s="600" t="inlineStr">
        <is>
          <t>Mata Milki</t>
        </is>
      </c>
      <c r="E243" s="343" t="inlineStr">
        <is>
          <t>Sae Saboua</t>
        </is>
      </c>
      <c r="F243" s="350" t="inlineStr">
        <is>
          <t>Control</t>
        </is>
      </c>
      <c r="G243" s="55" t="n">
        <v>2022</v>
      </c>
      <c r="H243" s="649" t="n">
        <v>2023</v>
      </c>
      <c r="I243" s="56" t="n">
        <v>0</v>
      </c>
      <c r="J243" s="56" t="n">
        <v>0</v>
      </c>
      <c r="K243" s="350" t="n">
        <v>31</v>
      </c>
      <c r="L243" s="405" t="n">
        <v>0</v>
      </c>
      <c r="M243" s="59" t="n"/>
      <c r="N243" s="708" t="inlineStr">
        <is>
          <t>NR</t>
        </is>
      </c>
      <c r="O243" s="708" t="inlineStr">
        <is>
          <t>NR</t>
        </is>
      </c>
      <c r="P243" s="708" t="inlineStr">
        <is>
          <t>NR</t>
        </is>
      </c>
      <c r="Q243" s="242" t="n">
        <v>9.5</v>
      </c>
      <c r="R243" s="242" t="n">
        <v>6</v>
      </c>
      <c r="S243" s="242" t="n">
        <v>5</v>
      </c>
      <c r="T243" s="242" t="n">
        <v>4.6</v>
      </c>
      <c r="U243" s="520" t="n">
        <v>0</v>
      </c>
    </row>
    <row r="244">
      <c r="A244" s="372" t="inlineStr">
        <is>
          <t>synthetic' controls:  control schools from Hilin Mu Cohort 5 schools which had girls in CM1.</t>
        </is>
      </c>
      <c r="B244" s="95" t="n"/>
      <c r="C244" s="95" t="n"/>
      <c r="D244" s="95" t="n"/>
      <c r="E244" s="95" t="n"/>
      <c r="F244" s="95" t="n"/>
      <c r="G244" s="95" t="n"/>
      <c r="H244" s="95" t="n"/>
      <c r="I244" s="95" t="n"/>
      <c r="J244" s="95" t="n"/>
      <c r="K244" s="95" t="n"/>
      <c r="L244" s="99" t="n"/>
      <c r="M244" s="100" t="n"/>
      <c r="N244" s="100" t="n"/>
      <c r="O244" s="100" t="n"/>
      <c r="P244" s="100" t="n"/>
      <c r="Q244" s="100" t="n"/>
      <c r="R244" s="100" t="n"/>
      <c r="S244" s="100" t="n"/>
      <c r="T244" s="100" t="n"/>
      <c r="U244" s="100" t="n"/>
      <c r="V244" s="100" t="n"/>
      <c r="W244" s="100" t="n"/>
      <c r="X244" s="100" t="n"/>
      <c r="Y244" s="100" t="n"/>
      <c r="Z244" s="100" t="n"/>
      <c r="AA244" s="100" t="n"/>
      <c r="AB244" s="100" t="n"/>
      <c r="AC244" s="100" t="n"/>
    </row>
    <row r="245" ht="28.5" customHeight="1" s="695">
      <c r="A245" s="204" t="inlineStr">
        <is>
          <t>COHORT 6 CM2 2023-2024</t>
        </is>
      </c>
      <c r="B245" s="95" t="n"/>
      <c r="C245" s="95" t="n"/>
      <c r="D245" s="95" t="n"/>
      <c r="E245" s="95" t="n"/>
      <c r="F245" s="95" t="n"/>
      <c r="G245" s="95" t="n"/>
      <c r="H245" s="95" t="n"/>
      <c r="I245" s="95" t="n"/>
      <c r="J245" s="95" t="n"/>
      <c r="K245" s="95" t="n"/>
      <c r="L245" s="99" t="n"/>
      <c r="M245" s="100" t="n"/>
      <c r="N245" s="100" t="n"/>
      <c r="O245" s="100" t="n"/>
      <c r="P245" s="100" t="n"/>
      <c r="Q245" s="100" t="n"/>
      <c r="R245" s="100" t="n"/>
      <c r="S245" s="100" t="n"/>
      <c r="T245" s="100" t="n"/>
      <c r="U245" s="207" t="inlineStr">
        <is>
          <t xml:space="preserve">Hasken Mata cohorte 3 </t>
        </is>
      </c>
      <c r="V245" s="100" t="n"/>
      <c r="W245" s="100" t="n"/>
      <c r="X245" s="100" t="n"/>
      <c r="Y245" s="100" t="n"/>
      <c r="Z245" s="100" t="n"/>
      <c r="AA245" s="100" t="n"/>
      <c r="AB245" s="100" t="n"/>
      <c r="AC245" s="100" t="n"/>
    </row>
    <row r="246">
      <c r="A246" s="378" t="n"/>
      <c r="B246" s="374" t="n"/>
      <c r="C246" s="380" t="n">
        <v>98</v>
      </c>
      <c r="D246" s="380" t="inlineStr">
        <is>
          <t>Mountarou Bermo</t>
        </is>
      </c>
      <c r="E246" s="376" t="inlineStr">
        <is>
          <t>Sae Saboua</t>
        </is>
      </c>
      <c r="F246" s="377" t="inlineStr">
        <is>
          <t>Intervention</t>
        </is>
      </c>
      <c r="G246" s="378" t="n">
        <v>2022</v>
      </c>
      <c r="H246" s="378" t="n">
        <v>2023</v>
      </c>
      <c r="I246" s="380" t="n">
        <v>0</v>
      </c>
      <c r="J246" s="380" t="n">
        <v>0</v>
      </c>
      <c r="K246" s="489" t="inlineStr">
        <is>
          <t>NR</t>
        </is>
      </c>
      <c r="L246" s="489" t="inlineStr">
        <is>
          <t>NR</t>
        </is>
      </c>
      <c r="M246" s="489" t="inlineStr">
        <is>
          <t>NR</t>
        </is>
      </c>
      <c r="N246" s="696" t="inlineStr">
        <is>
          <t>NR</t>
        </is>
      </c>
      <c r="O246" s="696" t="inlineStr">
        <is>
          <t>NR</t>
        </is>
      </c>
      <c r="P246" s="696" t="inlineStr">
        <is>
          <t>NR</t>
        </is>
      </c>
      <c r="Q246" s="105" t="inlineStr">
        <is>
          <t>NA</t>
        </is>
      </c>
      <c r="R246" s="105" t="inlineStr">
        <is>
          <t>NA</t>
        </is>
      </c>
      <c r="S246" s="105" t="inlineStr">
        <is>
          <t>NA</t>
        </is>
      </c>
      <c r="T246" s="105" t="inlineStr">
        <is>
          <t>NA</t>
        </is>
      </c>
      <c r="U246" s="379" t="inlineStr">
        <is>
          <t>NR</t>
        </is>
      </c>
      <c r="V246" s="380" t="inlineStr">
        <is>
          <t>2022-2023</t>
        </is>
      </c>
      <c r="W246" s="380" t="n"/>
      <c r="X246" s="380" t="n"/>
      <c r="Y246" s="380" t="n"/>
      <c r="Z246" s="380" t="n"/>
      <c r="AA246" s="380" t="n"/>
      <c r="AB246" s="380" t="n"/>
      <c r="AC246" s="380" t="n"/>
      <c r="AD246" s="380" t="n"/>
      <c r="AE246" s="380" t="n"/>
      <c r="AF246" s="380" t="n"/>
      <c r="AG246" s="380" t="n"/>
    </row>
    <row r="247">
      <c r="A247" s="381" t="n"/>
      <c r="B247" s="27" t="n"/>
      <c r="C247" s="387" t="n"/>
      <c r="D247" s="382" t="inlineStr">
        <is>
          <t>Alssaoua</t>
        </is>
      </c>
      <c r="E247" s="383" t="inlineStr">
        <is>
          <t>Sae Saboua</t>
        </is>
      </c>
      <c r="F247" s="384" t="inlineStr">
        <is>
          <t>Control</t>
        </is>
      </c>
      <c r="G247" s="385" t="n">
        <v>2022</v>
      </c>
      <c r="H247" s="385" t="n">
        <v>2023</v>
      </c>
      <c r="I247" s="467" t="n">
        <v>0</v>
      </c>
      <c r="J247" s="467" t="n">
        <v>0</v>
      </c>
      <c r="K247" s="489" t="inlineStr">
        <is>
          <t>NR</t>
        </is>
      </c>
      <c r="L247" s="489" t="inlineStr">
        <is>
          <t>NR</t>
        </is>
      </c>
      <c r="M247" s="489" t="inlineStr">
        <is>
          <t>NR</t>
        </is>
      </c>
      <c r="N247" s="696" t="inlineStr">
        <is>
          <t>NR</t>
        </is>
      </c>
      <c r="O247" s="696" t="inlineStr">
        <is>
          <t>NR</t>
        </is>
      </c>
      <c r="P247" s="696" t="inlineStr">
        <is>
          <t>NR</t>
        </is>
      </c>
      <c r="Q247" s="105" t="inlineStr">
        <is>
          <t>NA</t>
        </is>
      </c>
      <c r="R247" s="105" t="inlineStr">
        <is>
          <t>NA</t>
        </is>
      </c>
      <c r="S247" s="105" t="inlineStr">
        <is>
          <t>NA</t>
        </is>
      </c>
      <c r="T247" s="105" t="inlineStr">
        <is>
          <t>NA</t>
        </is>
      </c>
      <c r="U247" s="379" t="inlineStr">
        <is>
          <t>NR</t>
        </is>
      </c>
      <c r="V247" s="387" t="n"/>
      <c r="W247" s="387" t="n"/>
      <c r="X247" s="387" t="n"/>
      <c r="Y247" s="387" t="n"/>
      <c r="Z247" s="387" t="n"/>
      <c r="AA247" s="387" t="n"/>
      <c r="AB247" s="387" t="n"/>
      <c r="AC247" s="387" t="n"/>
      <c r="AD247" s="387" t="n"/>
      <c r="AE247" s="387" t="n"/>
      <c r="AF247" s="387" t="n"/>
      <c r="AG247" s="387" t="n"/>
    </row>
    <row r="248">
      <c r="A248" s="381" t="n"/>
      <c r="B248" s="27" t="n"/>
      <c r="C248" s="387" t="n"/>
      <c r="D248" s="387" t="n"/>
      <c r="E248" s="383" t="n"/>
      <c r="F248" s="338" t="n"/>
      <c r="G248" s="381" t="n"/>
      <c r="H248" s="381" t="n"/>
      <c r="I248" s="387" t="n"/>
      <c r="J248" s="387" t="n"/>
      <c r="K248" s="381" t="n"/>
      <c r="L248" s="387" t="n"/>
      <c r="M248" s="388" t="n"/>
      <c r="N248" s="389" t="n"/>
      <c r="O248" s="389" t="n"/>
      <c r="P248" s="405" t="n"/>
      <c r="Q248" s="387" t="n"/>
      <c r="R248" s="387" t="n"/>
      <c r="S248" s="387" t="n"/>
      <c r="T248" s="387" t="n"/>
      <c r="U248" s="387" t="n"/>
      <c r="V248" s="387" t="n"/>
      <c r="W248" s="387" t="n"/>
      <c r="X248" s="387" t="n"/>
      <c r="Y248" s="387" t="n"/>
      <c r="Z248" s="387" t="n"/>
      <c r="AA248" s="387" t="n"/>
      <c r="AB248" s="387" t="n"/>
      <c r="AC248" s="387" t="n"/>
      <c r="AD248" s="387" t="n"/>
      <c r="AE248" s="387" t="n"/>
      <c r="AF248" s="387" t="n"/>
      <c r="AG248" s="387" t="n"/>
    </row>
    <row r="249">
      <c r="A249" s="395" t="n"/>
      <c r="B249" s="715" t="n">
        <v>1</v>
      </c>
      <c r="C249" s="399" t="n">
        <v>1</v>
      </c>
      <c r="D249" s="399" t="inlineStr">
        <is>
          <t>Katare Guidan Ousmane 1</t>
        </is>
      </c>
      <c r="E249" s="393" t="inlineStr">
        <is>
          <t>Tibiri</t>
        </is>
      </c>
      <c r="F249" s="394" t="inlineStr">
        <is>
          <t>Intervention</t>
        </is>
      </c>
      <c r="G249" s="395" t="n">
        <v>2023</v>
      </c>
      <c r="H249" s="395" t="n">
        <v>2024</v>
      </c>
      <c r="I249" s="399" t="n">
        <v>6</v>
      </c>
      <c r="J249" s="399" t="n">
        <v>2</v>
      </c>
      <c r="K249" s="395" t="n">
        <v>34</v>
      </c>
      <c r="L249" s="399" t="n">
        <v>2</v>
      </c>
      <c r="M249" s="396" t="n"/>
      <c r="N249" s="397" t="n">
        <v>0</v>
      </c>
      <c r="O249" s="397" t="n">
        <v>1</v>
      </c>
      <c r="P249" s="398" t="n">
        <v>1</v>
      </c>
      <c r="Q249" s="399" t="n">
        <v>5.9</v>
      </c>
      <c r="R249" s="399" t="n">
        <v>16</v>
      </c>
      <c r="S249" s="399" t="n">
        <v>3.8</v>
      </c>
      <c r="T249" s="399" t="n">
        <v>16.8</v>
      </c>
      <c r="U249" s="399" t="n">
        <v>0</v>
      </c>
      <c r="V249" s="399" t="n"/>
      <c r="W249" s="399" t="n"/>
      <c r="X249" s="399" t="n"/>
      <c r="Y249" s="399" t="n"/>
      <c r="Z249" s="399" t="n"/>
      <c r="AA249" s="399" t="n"/>
      <c r="AB249" s="399" t="n"/>
      <c r="AC249" s="399" t="n"/>
      <c r="AD249" s="399" t="n"/>
      <c r="AE249" s="399" t="n"/>
      <c r="AF249" s="399" t="n"/>
      <c r="AG249" s="399" t="n"/>
    </row>
    <row r="250">
      <c r="A250" s="399" t="n"/>
      <c r="B250" s="706" t="n"/>
      <c r="C250" s="395" t="n"/>
      <c r="D250" s="395" t="inlineStr">
        <is>
          <t>Kara Kara 3</t>
        </is>
      </c>
      <c r="E250" s="393" t="inlineStr">
        <is>
          <t>Tibiri</t>
        </is>
      </c>
      <c r="F250" s="395" t="inlineStr">
        <is>
          <t>Control</t>
        </is>
      </c>
      <c r="G250" s="395" t="n">
        <v>2023</v>
      </c>
      <c r="H250" s="395" t="n">
        <v>2024</v>
      </c>
      <c r="I250" s="401" t="n">
        <v>0</v>
      </c>
      <c r="J250" s="395" t="n">
        <v>0</v>
      </c>
      <c r="K250" s="395" t="n">
        <v>46</v>
      </c>
      <c r="L250" s="471" t="n">
        <v>0</v>
      </c>
      <c r="M250" s="403" t="n"/>
      <c r="N250" s="404" t="n">
        <v>0.0435</v>
      </c>
      <c r="O250" s="404" t="n">
        <v>0.2045</v>
      </c>
      <c r="P250" s="470" t="inlineStr">
        <is>
          <t>NA</t>
        </is>
      </c>
      <c r="Q250" s="470" t="inlineStr">
        <is>
          <t>NA</t>
        </is>
      </c>
      <c r="R250" s="470" t="inlineStr">
        <is>
          <t>NA</t>
        </is>
      </c>
      <c r="S250" s="470" t="inlineStr">
        <is>
          <t>NA</t>
        </is>
      </c>
      <c r="T250" s="470" t="inlineStr">
        <is>
          <t>NA</t>
        </is>
      </c>
      <c r="U250" s="399" t="n">
        <v>0</v>
      </c>
      <c r="V250" s="399" t="n"/>
      <c r="W250" s="399" t="n"/>
      <c r="X250" s="399" t="n"/>
      <c r="Y250" s="399" t="n"/>
      <c r="Z250" s="399" t="n"/>
      <c r="AA250" s="399" t="n"/>
      <c r="AB250" s="399" t="n"/>
      <c r="AC250" s="399" t="n"/>
      <c r="AD250" s="399" t="n"/>
      <c r="AE250" s="399" t="n"/>
      <c r="AF250" s="399" t="n"/>
      <c r="AG250" s="399" t="n"/>
    </row>
    <row r="251">
      <c r="A251" s="406" t="n"/>
      <c r="B251" s="407" t="n">
        <v>2</v>
      </c>
      <c r="C251" s="411" t="n">
        <v>2</v>
      </c>
      <c r="D251" s="411" t="inlineStr">
        <is>
          <t xml:space="preserve">Soura 3 </t>
        </is>
      </c>
      <c r="E251" s="357" t="inlineStr">
        <is>
          <t>Tibiri</t>
        </is>
      </c>
      <c r="F251" s="357" t="inlineStr">
        <is>
          <t>Intervention</t>
        </is>
      </c>
      <c r="G251" s="68" t="n">
        <v>2023</v>
      </c>
      <c r="H251" s="68" t="n">
        <v>2024</v>
      </c>
      <c r="I251" s="411" t="n">
        <v>5</v>
      </c>
      <c r="J251" s="411" t="n">
        <v>1</v>
      </c>
      <c r="K251" s="68" t="n">
        <v>16</v>
      </c>
      <c r="L251" s="411" t="n">
        <v>2</v>
      </c>
      <c r="M251" s="408" t="n"/>
      <c r="N251" s="409">
        <f>1/16</f>
        <v/>
      </c>
      <c r="O251" s="409">
        <f>15/16</f>
        <v/>
      </c>
      <c r="P251" s="410" t="n">
        <v>1</v>
      </c>
      <c r="Q251" s="411" t="n">
        <v>9.699999999999999</v>
      </c>
      <c r="R251" s="411" t="n">
        <v>15.6</v>
      </c>
      <c r="S251" s="411" t="n">
        <v>4.3</v>
      </c>
      <c r="T251" s="411" t="n">
        <v>15.5</v>
      </c>
      <c r="U251" s="411" t="n">
        <v>0</v>
      </c>
      <c r="V251" s="411" t="n"/>
      <c r="W251" s="411" t="n"/>
      <c r="X251" s="411" t="n"/>
      <c r="Y251" s="411" t="n"/>
      <c r="Z251" s="411" t="n"/>
      <c r="AA251" s="411" t="n"/>
      <c r="AB251" s="411" t="n"/>
      <c r="AC251" s="411" t="n"/>
      <c r="AD251" s="411" t="n"/>
      <c r="AE251" s="411" t="n"/>
      <c r="AF251" s="411" t="n"/>
      <c r="AG251" s="412" t="n"/>
    </row>
    <row r="252">
      <c r="A252" s="420" t="n"/>
      <c r="B252" s="710" t="n"/>
      <c r="C252" s="423" t="n"/>
      <c r="D252" s="423" t="inlineStr">
        <is>
          <t>Yan Zango</t>
        </is>
      </c>
      <c r="E252" s="416" t="inlineStr">
        <is>
          <t>Tibiri</t>
        </is>
      </c>
      <c r="F252" s="423" t="inlineStr">
        <is>
          <t>Control</t>
        </is>
      </c>
      <c r="G252" s="423" t="n">
        <v>2023</v>
      </c>
      <c r="H252" s="423" t="n">
        <v>2024</v>
      </c>
      <c r="I252" s="423" t="n">
        <v>0</v>
      </c>
      <c r="J252" s="423" t="n">
        <v>0</v>
      </c>
      <c r="K252" s="423" t="n">
        <v>14</v>
      </c>
      <c r="L252" s="420" t="n">
        <v>0</v>
      </c>
      <c r="M252" s="403" t="n"/>
      <c r="N252" s="417" t="n">
        <v>0</v>
      </c>
      <c r="O252" s="418" t="n">
        <v>0.2143</v>
      </c>
      <c r="P252" s="470" t="inlineStr">
        <is>
          <t>NA</t>
        </is>
      </c>
      <c r="Q252" s="470" t="inlineStr">
        <is>
          <t>NA</t>
        </is>
      </c>
      <c r="R252" s="470" t="inlineStr">
        <is>
          <t>NA</t>
        </is>
      </c>
      <c r="S252" s="470" t="inlineStr">
        <is>
          <t>NA</t>
        </is>
      </c>
      <c r="T252" s="470" t="inlineStr">
        <is>
          <t>NA</t>
        </is>
      </c>
      <c r="U252" s="420" t="n">
        <v>0</v>
      </c>
      <c r="V252" s="420" t="n"/>
      <c r="W252" s="420" t="n"/>
      <c r="X252" s="420" t="n"/>
      <c r="Y252" s="420" t="n"/>
      <c r="Z252" s="420" t="n"/>
      <c r="AA252" s="420" t="n"/>
      <c r="AB252" s="420" t="n"/>
      <c r="AC252" s="420" t="n"/>
      <c r="AD252" s="420" t="n"/>
      <c r="AE252" s="420" t="n"/>
      <c r="AF252" s="420" t="n"/>
      <c r="AG252" s="420" t="n"/>
    </row>
    <row r="253">
      <c r="A253" s="395" t="n"/>
      <c r="B253" s="715" t="n">
        <v>3</v>
      </c>
      <c r="C253" s="399" t="n">
        <v>3</v>
      </c>
      <c r="D253" s="399" t="inlineStr">
        <is>
          <t xml:space="preserve">Katare Guidan Ousmane 2 </t>
        </is>
      </c>
      <c r="E253" s="416" t="inlineStr">
        <is>
          <t>Tibiri</t>
        </is>
      </c>
      <c r="F253" s="394" t="inlineStr">
        <is>
          <t>Intervention</t>
        </is>
      </c>
      <c r="G253" s="395" t="n">
        <v>2023</v>
      </c>
      <c r="H253" s="395" t="n">
        <v>2024</v>
      </c>
      <c r="I253" s="399" t="n">
        <v>6</v>
      </c>
      <c r="J253" s="399" t="n">
        <v>2</v>
      </c>
      <c r="K253" s="395" t="n">
        <v>27</v>
      </c>
      <c r="L253" s="399" t="n">
        <v>2</v>
      </c>
      <c r="M253" s="396" t="n"/>
      <c r="N253" s="397" t="n">
        <v>0</v>
      </c>
      <c r="O253" s="397" t="n">
        <v>1</v>
      </c>
      <c r="P253" s="398" t="n">
        <v>0.91</v>
      </c>
      <c r="Q253" s="470" t="inlineStr">
        <is>
          <t>NA</t>
        </is>
      </c>
      <c r="R253" s="470" t="inlineStr">
        <is>
          <t>NA</t>
        </is>
      </c>
      <c r="S253" s="470" t="inlineStr">
        <is>
          <t>NA</t>
        </is>
      </c>
      <c r="T253" s="470" t="inlineStr">
        <is>
          <t>NA</t>
        </is>
      </c>
      <c r="U253" s="399" t="n">
        <v>0</v>
      </c>
      <c r="V253" s="399" t="n"/>
      <c r="W253" s="399" t="n"/>
      <c r="X253" s="399" t="n"/>
      <c r="Y253" s="399" t="n"/>
      <c r="Z253" s="399" t="n"/>
      <c r="AA253" s="399" t="n"/>
      <c r="AB253" s="399" t="n"/>
      <c r="AC253" s="399" t="n"/>
      <c r="AD253" s="399" t="n"/>
      <c r="AE253" s="399" t="n"/>
      <c r="AF253" s="399" t="n"/>
      <c r="AG253" s="399" t="n"/>
    </row>
    <row r="254">
      <c r="A254" s="399" t="n"/>
      <c r="B254" s="706" t="n"/>
      <c r="C254" s="395" t="n"/>
      <c r="D254" s="395" t="inlineStr">
        <is>
          <t>Garin Malan Hamza</t>
        </is>
      </c>
      <c r="E254" s="393" t="inlineStr">
        <is>
          <t>Tibiri</t>
        </is>
      </c>
      <c r="F254" s="395" t="inlineStr">
        <is>
          <t>Control</t>
        </is>
      </c>
      <c r="G254" s="395" t="n">
        <v>2023</v>
      </c>
      <c r="H254" s="395" t="n">
        <v>2024</v>
      </c>
      <c r="I254" s="421" t="n">
        <v>0</v>
      </c>
      <c r="J254" s="421" t="n">
        <v>0</v>
      </c>
      <c r="K254" s="405" t="inlineStr">
        <is>
          <t>NA</t>
        </is>
      </c>
      <c r="L254" s="399" t="n">
        <v>0</v>
      </c>
      <c r="M254" s="422" t="n"/>
      <c r="N254" s="470" t="inlineStr">
        <is>
          <t>NA</t>
        </is>
      </c>
      <c r="O254" s="470" t="inlineStr">
        <is>
          <t>NA</t>
        </is>
      </c>
      <c r="P254" s="470" t="inlineStr">
        <is>
          <t>NA</t>
        </is>
      </c>
      <c r="Q254" s="470" t="inlineStr">
        <is>
          <t>NA</t>
        </is>
      </c>
      <c r="R254" s="470" t="inlineStr">
        <is>
          <t>NA</t>
        </is>
      </c>
      <c r="S254" s="470" t="inlineStr">
        <is>
          <t>NA</t>
        </is>
      </c>
      <c r="T254" s="470" t="inlineStr">
        <is>
          <t>NA</t>
        </is>
      </c>
      <c r="U254" s="399" t="n">
        <v>0</v>
      </c>
      <c r="V254" s="399" t="n"/>
      <c r="W254" s="399" t="n"/>
      <c r="X254" s="399" t="n"/>
      <c r="Y254" s="399" t="n"/>
      <c r="Z254" s="399" t="n"/>
      <c r="AA254" s="399" t="n"/>
      <c r="AB254" s="399" t="n"/>
      <c r="AC254" s="399" t="n"/>
      <c r="AD254" s="399" t="n"/>
      <c r="AE254" s="399" t="n"/>
      <c r="AF254" s="399" t="n"/>
      <c r="AG254" s="399" t="n"/>
    </row>
    <row r="255">
      <c r="A255" s="423" t="n"/>
      <c r="B255" s="716" t="n">
        <v>4</v>
      </c>
      <c r="C255" s="420" t="n">
        <v>5</v>
      </c>
      <c r="D255" s="420" t="inlineStr">
        <is>
          <t xml:space="preserve">Tibiri Nord 3 </t>
        </is>
      </c>
      <c r="E255" s="424" t="inlineStr">
        <is>
          <t>Tibiri</t>
        </is>
      </c>
      <c r="F255" s="424" t="inlineStr">
        <is>
          <t>Intervention</t>
        </is>
      </c>
      <c r="G255" s="423" t="n">
        <v>2023</v>
      </c>
      <c r="H255" s="423" t="n">
        <v>2024</v>
      </c>
      <c r="I255" s="420" t="n">
        <v>6</v>
      </c>
      <c r="J255" s="420" t="n">
        <v>2</v>
      </c>
      <c r="K255" s="423" t="n">
        <v>24</v>
      </c>
      <c r="L255" s="420" t="n">
        <v>2</v>
      </c>
      <c r="M255" s="396" t="n"/>
      <c r="N255" s="425" t="n">
        <v>0</v>
      </c>
      <c r="O255" s="425" t="n">
        <v>1</v>
      </c>
      <c r="P255" s="425" t="n">
        <v>1</v>
      </c>
      <c r="Q255" s="420" t="n">
        <v>7.5</v>
      </c>
      <c r="R255" s="420" t="n">
        <v>15.4</v>
      </c>
      <c r="S255" s="420" t="n">
        <v>7.3</v>
      </c>
      <c r="T255" s="420" t="n">
        <v>17</v>
      </c>
      <c r="U255" s="420" t="n">
        <v>0</v>
      </c>
      <c r="V255" s="420" t="n"/>
      <c r="W255" s="420" t="n"/>
      <c r="X255" s="420" t="n"/>
      <c r="Y255" s="420" t="n"/>
      <c r="Z255" s="420" t="n"/>
      <c r="AA255" s="420" t="n"/>
      <c r="AB255" s="420" t="n"/>
      <c r="AC255" s="420" t="n"/>
      <c r="AD255" s="420" t="n"/>
      <c r="AE255" s="420" t="n"/>
      <c r="AF255" s="420" t="n"/>
      <c r="AG255" s="420" t="n"/>
    </row>
    <row r="256">
      <c r="A256" s="426" t="n"/>
      <c r="B256" s="706" t="n"/>
      <c r="C256" s="78" t="n"/>
      <c r="D256" s="78" t="inlineStr">
        <is>
          <t>Garin Daoure 1</t>
        </is>
      </c>
      <c r="E256" s="357" t="inlineStr">
        <is>
          <t>Tibiri</t>
        </is>
      </c>
      <c r="F256" s="78" t="inlineStr">
        <is>
          <t>Control</t>
        </is>
      </c>
      <c r="G256" s="78" t="n">
        <v>2023</v>
      </c>
      <c r="H256" s="78" t="n">
        <v>2024</v>
      </c>
      <c r="I256" s="78" t="n">
        <v>0</v>
      </c>
      <c r="J256" s="78" t="n">
        <v>0</v>
      </c>
      <c r="K256" s="78" t="n">
        <v>14</v>
      </c>
      <c r="L256" s="427" t="n">
        <v>0</v>
      </c>
      <c r="M256" s="428" t="n"/>
      <c r="N256" s="429" t="n">
        <v>0</v>
      </c>
      <c r="O256" s="430" t="n">
        <v>0.2143</v>
      </c>
      <c r="P256" s="470" t="inlineStr">
        <is>
          <t>NA</t>
        </is>
      </c>
      <c r="Q256" s="470" t="inlineStr">
        <is>
          <t>NA</t>
        </is>
      </c>
      <c r="R256" s="470" t="inlineStr">
        <is>
          <t>NA</t>
        </is>
      </c>
      <c r="S256" s="470" t="inlineStr">
        <is>
          <t>NA</t>
        </is>
      </c>
      <c r="T256" s="470" t="inlineStr">
        <is>
          <t>NA</t>
        </is>
      </c>
      <c r="U256" s="432" t="n">
        <v>1</v>
      </c>
      <c r="V256" s="432" t="n"/>
      <c r="W256" s="432" t="n"/>
      <c r="X256" s="432" t="n"/>
      <c r="Y256" s="432" t="n"/>
      <c r="Z256" s="432" t="n"/>
      <c r="AA256" s="432" t="n"/>
      <c r="AB256" s="432" t="n"/>
      <c r="AC256" s="432" t="n"/>
      <c r="AD256" s="432" t="n"/>
      <c r="AE256" s="432" t="n"/>
      <c r="AF256" s="432" t="n"/>
      <c r="AG256" s="433" t="n"/>
    </row>
    <row r="257">
      <c r="A257" s="434" t="n"/>
      <c r="B257" s="717" t="n">
        <v>5</v>
      </c>
      <c r="C257" s="463" t="n">
        <v>12</v>
      </c>
      <c r="D257" s="463" t="inlineStr">
        <is>
          <t>Soura 2</t>
        </is>
      </c>
      <c r="E257" s="343" t="inlineStr">
        <is>
          <t>Tibiri</t>
        </is>
      </c>
      <c r="F257" s="343" t="inlineStr">
        <is>
          <t>Intervention</t>
        </is>
      </c>
      <c r="G257" s="87" t="n">
        <v>2023</v>
      </c>
      <c r="H257" s="87" t="n">
        <v>2024</v>
      </c>
      <c r="I257" s="439" t="n">
        <v>5</v>
      </c>
      <c r="J257" s="439" t="n">
        <v>2</v>
      </c>
      <c r="K257" s="87" t="n">
        <v>28</v>
      </c>
      <c r="L257" s="439" t="n">
        <v>2</v>
      </c>
      <c r="M257" s="408" t="n"/>
      <c r="N257" s="436" t="n">
        <v>0</v>
      </c>
      <c r="O257" s="680">
        <f>27/28</f>
        <v/>
      </c>
      <c r="P257" s="438" t="n">
        <v>1</v>
      </c>
      <c r="Q257" s="439" t="n">
        <v>8</v>
      </c>
      <c r="R257" s="439" t="n">
        <v>16.7</v>
      </c>
      <c r="S257" s="439" t="n">
        <v>6.2</v>
      </c>
      <c r="T257" s="439" t="n">
        <v>16.3</v>
      </c>
      <c r="U257" s="439" t="n">
        <v>0</v>
      </c>
      <c r="V257" s="439" t="n"/>
      <c r="W257" s="439" t="n"/>
      <c r="X257" s="439" t="n"/>
      <c r="Y257" s="439" t="n"/>
      <c r="Z257" s="439" t="n"/>
      <c r="AA257" s="439" t="n"/>
      <c r="AB257" s="439" t="n"/>
      <c r="AC257" s="439" t="n"/>
      <c r="AD257" s="439" t="n"/>
      <c r="AE257" s="439" t="n"/>
      <c r="AF257" s="439" t="n"/>
      <c r="AG257" s="440" t="n"/>
    </row>
    <row r="258">
      <c r="A258" s="441" t="n"/>
      <c r="B258" s="698" t="n"/>
      <c r="C258" s="56" t="n"/>
      <c r="D258" s="56" t="inlineStr">
        <is>
          <t>Garin Madji</t>
        </is>
      </c>
      <c r="E258" s="343" t="inlineStr">
        <is>
          <t>Tibiri</t>
        </is>
      </c>
      <c r="F258" s="56" t="inlineStr">
        <is>
          <t>Control</t>
        </is>
      </c>
      <c r="G258" s="56" t="n">
        <v>2023</v>
      </c>
      <c r="H258" s="56" t="n">
        <v>2024</v>
      </c>
      <c r="I258" s="442" t="n">
        <v>0</v>
      </c>
      <c r="J258" s="443" t="n">
        <v>0</v>
      </c>
      <c r="K258" s="401" t="n">
        <v>15</v>
      </c>
      <c r="L258" s="399" t="n">
        <v>0</v>
      </c>
      <c r="M258" s="444" t="n"/>
      <c r="N258" s="470" t="inlineStr">
        <is>
          <t>NA</t>
        </is>
      </c>
      <c r="O258" s="470" t="inlineStr">
        <is>
          <t>NA</t>
        </is>
      </c>
      <c r="P258" s="470" t="inlineStr">
        <is>
          <t>NA</t>
        </is>
      </c>
      <c r="Q258" s="470" t="inlineStr">
        <is>
          <t>NA</t>
        </is>
      </c>
      <c r="R258" s="470" t="inlineStr">
        <is>
          <t>NA</t>
        </is>
      </c>
      <c r="S258" s="470" t="inlineStr">
        <is>
          <t>NA</t>
        </is>
      </c>
      <c r="T258" s="470" t="inlineStr">
        <is>
          <t>NA</t>
        </is>
      </c>
      <c r="U258" s="445" t="n">
        <v>0</v>
      </c>
      <c r="V258" s="445" t="n"/>
      <c r="W258" s="445" t="n"/>
      <c r="X258" s="445" t="n"/>
      <c r="Y258" s="445" t="n"/>
      <c r="Z258" s="445" t="n"/>
      <c r="AA258" s="445" t="n"/>
      <c r="AB258" s="445" t="n"/>
      <c r="AC258" s="445" t="n"/>
      <c r="AD258" s="445" t="n"/>
      <c r="AE258" s="445" t="n"/>
      <c r="AF258" s="445" t="n"/>
      <c r="AG258" s="446" t="n"/>
    </row>
    <row r="259">
      <c r="A259" s="406" t="n"/>
      <c r="B259" s="718" t="n">
        <v>6</v>
      </c>
      <c r="C259" s="464" t="n">
        <v>13</v>
      </c>
      <c r="D259" s="464" t="inlineStr">
        <is>
          <t xml:space="preserve">Katare Guidan Ousmane 2 </t>
        </is>
      </c>
      <c r="E259" s="343" t="inlineStr">
        <is>
          <t>Tibiri</t>
        </is>
      </c>
      <c r="F259" s="357" t="inlineStr">
        <is>
          <t>Intervention</t>
        </is>
      </c>
      <c r="G259" s="68" t="n">
        <v>2023</v>
      </c>
      <c r="H259" s="68" t="n">
        <v>2024</v>
      </c>
      <c r="I259" s="411" t="n">
        <v>6</v>
      </c>
      <c r="J259" s="411" t="n">
        <v>2</v>
      </c>
      <c r="K259" s="68" t="n">
        <v>32</v>
      </c>
      <c r="L259" s="411" t="n">
        <v>2</v>
      </c>
      <c r="M259" s="408" t="n"/>
      <c r="N259" s="410" t="n">
        <v>0</v>
      </c>
      <c r="O259" s="410" t="n">
        <v>1</v>
      </c>
      <c r="P259" s="470" t="inlineStr">
        <is>
          <t>NA</t>
        </is>
      </c>
      <c r="Q259" s="411" t="n">
        <v>5.4</v>
      </c>
      <c r="R259" s="411" t="n">
        <v>16</v>
      </c>
      <c r="S259" s="411" t="n">
        <v>4.4</v>
      </c>
      <c r="T259" s="411" t="n">
        <v>16.4</v>
      </c>
      <c r="U259" s="411" t="n">
        <v>0</v>
      </c>
      <c r="V259" s="411" t="n"/>
      <c r="W259" s="411" t="n"/>
      <c r="X259" s="411" t="n"/>
      <c r="Y259" s="411" t="n"/>
      <c r="Z259" s="411" t="n"/>
      <c r="AA259" s="411" t="n"/>
      <c r="AB259" s="411" t="n"/>
      <c r="AC259" s="411" t="n"/>
      <c r="AD259" s="411" t="n"/>
      <c r="AE259" s="411" t="n"/>
      <c r="AF259" s="411" t="n"/>
      <c r="AG259" s="412" t="n"/>
    </row>
    <row r="260">
      <c r="A260" s="426" t="n"/>
      <c r="B260" s="698" t="n"/>
      <c r="C260" s="78" t="n"/>
      <c r="D260" s="448" t="inlineStr">
        <is>
          <t>Garin Malan Hamza</t>
        </is>
      </c>
      <c r="E260" s="343" t="inlineStr">
        <is>
          <t>Tibiri</t>
        </is>
      </c>
      <c r="F260" s="78" t="inlineStr">
        <is>
          <t>Control</t>
        </is>
      </c>
      <c r="G260" s="78" t="n">
        <v>2023</v>
      </c>
      <c r="H260" s="449" t="n">
        <v>2024</v>
      </c>
      <c r="I260" s="78" t="n">
        <v>0</v>
      </c>
      <c r="J260" s="78" t="n">
        <v>0</v>
      </c>
      <c r="K260" s="405" t="inlineStr">
        <is>
          <t>NA</t>
        </is>
      </c>
      <c r="L260" s="420" t="n">
        <v>0</v>
      </c>
      <c r="M260" s="444" t="n"/>
      <c r="N260" s="470" t="inlineStr">
        <is>
          <t>NA</t>
        </is>
      </c>
      <c r="O260" s="470" t="inlineStr">
        <is>
          <t>NA</t>
        </is>
      </c>
      <c r="P260" s="470" t="inlineStr">
        <is>
          <t>NA</t>
        </is>
      </c>
      <c r="Q260" s="470" t="inlineStr">
        <is>
          <t>NA</t>
        </is>
      </c>
      <c r="R260" s="470" t="inlineStr">
        <is>
          <t>NA</t>
        </is>
      </c>
      <c r="S260" s="470" t="inlineStr">
        <is>
          <t>NA</t>
        </is>
      </c>
      <c r="T260" s="470" t="inlineStr">
        <is>
          <t>NA</t>
        </is>
      </c>
      <c r="U260" s="432" t="n">
        <v>0</v>
      </c>
      <c r="V260" s="432" t="n"/>
      <c r="W260" s="432" t="n"/>
      <c r="X260" s="432" t="n"/>
      <c r="Y260" s="432" t="n"/>
      <c r="Z260" s="432" t="n"/>
      <c r="AA260" s="432" t="n"/>
      <c r="AB260" s="432" t="n"/>
      <c r="AC260" s="432" t="n"/>
      <c r="AD260" s="432" t="n"/>
      <c r="AE260" s="432" t="n"/>
      <c r="AF260" s="432" t="n"/>
      <c r="AG260" s="433" t="n"/>
    </row>
    <row r="261">
      <c r="A261" s="434" t="n"/>
      <c r="B261" s="717" t="n">
        <v>7</v>
      </c>
      <c r="C261" s="463" t="n">
        <v>31</v>
      </c>
      <c r="D261" s="450" t="inlineStr">
        <is>
          <t>Soura Sarkin Galma 1</t>
        </is>
      </c>
      <c r="E261" s="343" t="inlineStr">
        <is>
          <t>Tibiri</t>
        </is>
      </c>
      <c r="F261" s="343" t="inlineStr">
        <is>
          <t>Intervention</t>
        </is>
      </c>
      <c r="G261" s="87" t="n">
        <v>2023</v>
      </c>
      <c r="H261" s="87" t="n">
        <v>2024</v>
      </c>
      <c r="I261" s="439" t="n">
        <v>4</v>
      </c>
      <c r="J261" s="439" t="n">
        <v>2</v>
      </c>
      <c r="K261" s="395" t="n">
        <v>24</v>
      </c>
      <c r="L261" s="439" t="n">
        <v>2</v>
      </c>
      <c r="M261" s="408" t="n"/>
      <c r="N261" s="436" t="n">
        <v>0</v>
      </c>
      <c r="O261" s="436" t="n">
        <v>1</v>
      </c>
      <c r="P261" s="438" t="n">
        <v>1</v>
      </c>
      <c r="Q261" s="439" t="n">
        <v>5.4</v>
      </c>
      <c r="R261" s="439" t="n">
        <v>15.9</v>
      </c>
      <c r="S261" s="439" t="n">
        <v>4.5</v>
      </c>
      <c r="T261" s="439" t="n">
        <v>15.4</v>
      </c>
      <c r="U261" s="439" t="n">
        <v>2</v>
      </c>
      <c r="V261" s="439" t="n"/>
      <c r="W261" s="439" t="n"/>
      <c r="X261" s="439" t="n"/>
      <c r="Y261" s="439" t="n"/>
      <c r="Z261" s="439" t="n"/>
      <c r="AA261" s="439" t="n"/>
      <c r="AB261" s="439" t="n"/>
      <c r="AC261" s="439" t="n"/>
      <c r="AD261" s="439" t="n"/>
      <c r="AE261" s="439" t="n"/>
      <c r="AF261" s="439" t="n"/>
      <c r="AG261" s="440" t="n"/>
    </row>
    <row r="262">
      <c r="A262" s="441" t="n"/>
      <c r="B262" s="698" t="n"/>
      <c r="C262" s="56" t="n"/>
      <c r="D262" s="56" t="inlineStr">
        <is>
          <t>Imbelbelou 3</t>
        </is>
      </c>
      <c r="E262" s="343" t="inlineStr">
        <is>
          <t>Tibiri</t>
        </is>
      </c>
      <c r="F262" s="56" t="inlineStr">
        <is>
          <t>Control</t>
        </is>
      </c>
      <c r="G262" s="56" t="n">
        <v>2023</v>
      </c>
      <c r="H262" s="56" t="n">
        <v>2024</v>
      </c>
      <c r="I262" s="56" t="n">
        <v>0</v>
      </c>
      <c r="J262" s="56" t="n">
        <v>0</v>
      </c>
      <c r="K262" s="56" t="n">
        <v>57</v>
      </c>
      <c r="L262" s="146" t="n">
        <v>0</v>
      </c>
      <c r="M262" s="428" t="n"/>
      <c r="N262" s="451" t="n">
        <v>0.0526</v>
      </c>
      <c r="O262" s="451" t="n">
        <v>0.0926</v>
      </c>
      <c r="P262" s="470" t="inlineStr">
        <is>
          <t>NA</t>
        </is>
      </c>
      <c r="Q262" s="470" t="inlineStr">
        <is>
          <t>NA</t>
        </is>
      </c>
      <c r="R262" s="470" t="inlineStr">
        <is>
          <t>NA</t>
        </is>
      </c>
      <c r="S262" s="470" t="inlineStr">
        <is>
          <t>NA</t>
        </is>
      </c>
      <c r="T262" s="470" t="inlineStr">
        <is>
          <t>NA</t>
        </is>
      </c>
      <c r="U262" s="445" t="n">
        <v>0</v>
      </c>
      <c r="V262" s="445" t="n"/>
      <c r="W262" s="445" t="n"/>
      <c r="X262" s="445" t="n"/>
      <c r="Y262" s="445" t="n"/>
      <c r="Z262" s="445" t="n"/>
      <c r="AA262" s="445" t="n"/>
      <c r="AB262" s="445" t="n"/>
      <c r="AC262" s="445" t="n"/>
      <c r="AD262" s="445" t="n"/>
      <c r="AE262" s="445" t="n"/>
      <c r="AF262" s="445" t="n"/>
      <c r="AG262" s="446" t="n"/>
    </row>
    <row r="263">
      <c r="A263" s="406" t="n"/>
      <c r="B263" s="718" t="n">
        <v>8</v>
      </c>
      <c r="C263" s="359" t="n">
        <v>15</v>
      </c>
      <c r="D263" s="359" t="inlineStr">
        <is>
          <t>Warou</t>
        </is>
      </c>
      <c r="E263" s="357" t="inlineStr">
        <is>
          <t>Tibiri</t>
        </is>
      </c>
      <c r="F263" s="357" t="inlineStr">
        <is>
          <t>Intervention</t>
        </is>
      </c>
      <c r="G263" s="68" t="n">
        <v>2023</v>
      </c>
      <c r="H263" s="68" t="n">
        <v>2024</v>
      </c>
      <c r="I263" s="411" t="n">
        <v>4</v>
      </c>
      <c r="J263" s="411" t="n">
        <v>2</v>
      </c>
      <c r="K263" s="68" t="n">
        <v>28</v>
      </c>
      <c r="L263" s="411" t="n">
        <v>2</v>
      </c>
      <c r="M263" s="408" t="n"/>
      <c r="N263" s="410" t="n">
        <v>0</v>
      </c>
      <c r="O263" s="410" t="n">
        <v>1</v>
      </c>
      <c r="P263" s="410" t="n">
        <v>1</v>
      </c>
      <c r="Q263" s="411" t="n">
        <v>5.7</v>
      </c>
      <c r="R263" s="411" t="n">
        <v>16</v>
      </c>
      <c r="S263" s="411" t="n">
        <v>4.7</v>
      </c>
      <c r="T263" s="411" t="n">
        <v>16.6</v>
      </c>
      <c r="U263" s="411" t="n">
        <v>0</v>
      </c>
      <c r="V263" s="411" t="n"/>
      <c r="W263" s="411" t="n"/>
      <c r="X263" s="411" t="n"/>
      <c r="Y263" s="411" t="n"/>
      <c r="Z263" s="411" t="n"/>
      <c r="AA263" s="411" t="n"/>
      <c r="AB263" s="411" t="n"/>
      <c r="AC263" s="411" t="n"/>
      <c r="AD263" s="411" t="n"/>
      <c r="AE263" s="411" t="n"/>
      <c r="AF263" s="411" t="n"/>
      <c r="AG263" s="412" t="n"/>
    </row>
    <row r="264">
      <c r="A264" s="426" t="n"/>
      <c r="B264" s="698" t="n"/>
      <c r="C264" s="78" t="n"/>
      <c r="D264" s="78" t="inlineStr">
        <is>
          <t>Sarkin Aski</t>
        </is>
      </c>
      <c r="E264" s="357" t="inlineStr">
        <is>
          <t>Tibiri</t>
        </is>
      </c>
      <c r="F264" s="78" t="inlineStr">
        <is>
          <t>Control</t>
        </is>
      </c>
      <c r="G264" s="78" t="n">
        <v>2023</v>
      </c>
      <c r="H264" s="78" t="n">
        <v>2024</v>
      </c>
      <c r="I264" s="78" t="n">
        <v>0</v>
      </c>
      <c r="J264" s="78" t="n">
        <v>0</v>
      </c>
      <c r="K264" s="78" t="n">
        <v>10</v>
      </c>
      <c r="L264" s="420" t="n">
        <v>0</v>
      </c>
      <c r="M264" s="428" t="n"/>
      <c r="N264" s="429" t="n">
        <v>0.1</v>
      </c>
      <c r="O264" s="430" t="n">
        <v>0.2222</v>
      </c>
      <c r="P264" s="470" t="inlineStr">
        <is>
          <t>NA</t>
        </is>
      </c>
      <c r="Q264" s="470" t="inlineStr">
        <is>
          <t>NA</t>
        </is>
      </c>
      <c r="R264" s="470" t="inlineStr">
        <is>
          <t>NA</t>
        </is>
      </c>
      <c r="S264" s="470" t="inlineStr">
        <is>
          <t>NA</t>
        </is>
      </c>
      <c r="T264" s="470" t="inlineStr">
        <is>
          <t>NA</t>
        </is>
      </c>
      <c r="U264" s="432" t="n">
        <v>1</v>
      </c>
      <c r="V264" s="432" t="n"/>
      <c r="W264" s="432" t="n"/>
      <c r="X264" s="432" t="n"/>
      <c r="Y264" s="432" t="n"/>
      <c r="Z264" s="432" t="n"/>
      <c r="AA264" s="432" t="n"/>
      <c r="AB264" s="432" t="n"/>
      <c r="AC264" s="432" t="n"/>
      <c r="AD264" s="432" t="n"/>
      <c r="AE264" s="432" t="n"/>
      <c r="AF264" s="432" t="n"/>
      <c r="AG264" s="433" t="n"/>
    </row>
    <row r="265">
      <c r="A265" s="434" t="n"/>
      <c r="B265" s="717" t="n">
        <v>9</v>
      </c>
      <c r="C265" s="463" t="n">
        <v>16</v>
      </c>
      <c r="D265" s="149" t="inlineStr">
        <is>
          <t>Soura Sarkin Galma  2</t>
        </is>
      </c>
      <c r="E265" s="343" t="inlineStr">
        <is>
          <t>Tibiri</t>
        </is>
      </c>
      <c r="F265" s="343" t="inlineStr">
        <is>
          <t>Intervention</t>
        </is>
      </c>
      <c r="G265" s="87" t="n">
        <v>2023</v>
      </c>
      <c r="H265" s="87" t="n">
        <v>2024</v>
      </c>
      <c r="I265" s="439" t="n">
        <v>4</v>
      </c>
      <c r="J265" s="439" t="n">
        <v>1</v>
      </c>
      <c r="K265" s="87" t="n">
        <v>15</v>
      </c>
      <c r="L265" s="439" t="n">
        <v>2</v>
      </c>
      <c r="M265" s="408" t="n"/>
      <c r="N265" s="436" t="n">
        <v>0</v>
      </c>
      <c r="O265" s="436" t="n">
        <v>1</v>
      </c>
      <c r="P265" s="438" t="n">
        <v>1</v>
      </c>
      <c r="Q265" s="452" t="n">
        <v>4.2</v>
      </c>
      <c r="R265" s="452" t="n">
        <v>17.1</v>
      </c>
      <c r="S265" s="452" t="n">
        <v>3</v>
      </c>
      <c r="T265" s="452" t="n">
        <v>14.9</v>
      </c>
      <c r="U265" s="159" t="n">
        <v>1</v>
      </c>
      <c r="V265" s="439" t="n"/>
      <c r="W265" s="439" t="n"/>
      <c r="X265" s="439" t="n"/>
      <c r="Y265" s="439" t="n"/>
      <c r="Z265" s="439" t="n"/>
      <c r="AA265" s="439" t="n"/>
      <c r="AB265" s="439" t="n"/>
      <c r="AC265" s="439" t="n"/>
      <c r="AD265" s="439" t="n"/>
      <c r="AE265" s="439" t="n"/>
      <c r="AF265" s="439" t="n"/>
      <c r="AG265" s="440" t="n"/>
    </row>
    <row r="266">
      <c r="A266" s="441" t="n"/>
      <c r="B266" s="698" t="n"/>
      <c r="C266" s="56" t="n"/>
      <c r="D266" s="56" t="inlineStr">
        <is>
          <t>Guigamaoua Sofoua</t>
        </is>
      </c>
      <c r="E266" s="343" t="inlineStr">
        <is>
          <t>Tibiri</t>
        </is>
      </c>
      <c r="F266" s="56" t="inlineStr">
        <is>
          <t>Control</t>
        </is>
      </c>
      <c r="G266" s="56" t="n">
        <v>2023</v>
      </c>
      <c r="H266" s="449" t="n">
        <v>2024</v>
      </c>
      <c r="I266" s="442" t="n">
        <v>0</v>
      </c>
      <c r="J266" s="442" t="n">
        <v>0</v>
      </c>
      <c r="K266" s="405" t="inlineStr">
        <is>
          <t>NA</t>
        </is>
      </c>
      <c r="L266" s="399" t="n">
        <v>0</v>
      </c>
      <c r="M266" s="444" t="n"/>
      <c r="N266" s="470" t="inlineStr">
        <is>
          <t>NA</t>
        </is>
      </c>
      <c r="O266" s="470" t="inlineStr">
        <is>
          <t>NA</t>
        </is>
      </c>
      <c r="P266" s="470" t="inlineStr">
        <is>
          <t>NA</t>
        </is>
      </c>
      <c r="Q266" s="470" t="inlineStr">
        <is>
          <t>NA</t>
        </is>
      </c>
      <c r="R266" s="470" t="inlineStr">
        <is>
          <t>NA</t>
        </is>
      </c>
      <c r="S266" s="470" t="inlineStr">
        <is>
          <t>NA</t>
        </is>
      </c>
      <c r="T266" s="470" t="inlineStr">
        <is>
          <t>NA</t>
        </is>
      </c>
      <c r="U266" s="445" t="n">
        <v>0</v>
      </c>
      <c r="V266" s="445" t="n"/>
      <c r="W266" s="445" t="n"/>
      <c r="X266" s="445" t="n"/>
      <c r="Y266" s="445" t="n"/>
      <c r="Z266" s="445" t="n"/>
      <c r="AA266" s="445" t="n"/>
      <c r="AB266" s="445" t="n"/>
      <c r="AC266" s="445" t="n"/>
      <c r="AD266" s="445" t="n"/>
      <c r="AE266" s="445" t="n"/>
      <c r="AF266" s="445" t="n"/>
      <c r="AG266" s="446" t="n"/>
    </row>
    <row r="267">
      <c r="A267" s="406" t="n"/>
      <c r="B267" s="718" t="n">
        <v>10</v>
      </c>
      <c r="C267" s="359" t="n">
        <v>25</v>
      </c>
      <c r="D267" s="359" t="inlineStr">
        <is>
          <t>Soura Magagi Rogo</t>
        </is>
      </c>
      <c r="E267" s="357" t="inlineStr">
        <is>
          <t>Tibiri</t>
        </is>
      </c>
      <c r="F267" s="357" t="inlineStr">
        <is>
          <t>Intervention</t>
        </is>
      </c>
      <c r="G267" s="68" t="n">
        <v>2023</v>
      </c>
      <c r="H267" s="68" t="n">
        <v>2024</v>
      </c>
      <c r="I267" s="411" t="n">
        <v>3</v>
      </c>
      <c r="J267" s="411" t="n">
        <v>1</v>
      </c>
      <c r="K267" s="68" t="n">
        <v>14</v>
      </c>
      <c r="L267" s="411" t="n">
        <v>2</v>
      </c>
      <c r="M267" s="408" t="n"/>
      <c r="N267" s="409">
        <f>1/14</f>
        <v/>
      </c>
      <c r="O267" s="409">
        <f>12/14</f>
        <v/>
      </c>
      <c r="P267" s="410" t="n">
        <v>1</v>
      </c>
      <c r="Q267" s="411" t="n">
        <v>10</v>
      </c>
      <c r="R267" s="411" t="n">
        <v>17.6</v>
      </c>
      <c r="S267" s="411" t="n">
        <v>10.7</v>
      </c>
      <c r="T267" s="411" t="n">
        <v>16.8</v>
      </c>
      <c r="U267" s="411" t="n">
        <v>1</v>
      </c>
      <c r="V267" s="411" t="n"/>
      <c r="W267" s="411" t="n"/>
      <c r="X267" s="411" t="n"/>
      <c r="Y267" s="411" t="n"/>
      <c r="Z267" s="411" t="n"/>
      <c r="AA267" s="411" t="n"/>
      <c r="AB267" s="411" t="n"/>
      <c r="AC267" s="411" t="n"/>
      <c r="AD267" s="411" t="n"/>
      <c r="AE267" s="411" t="n"/>
      <c r="AF267" s="411" t="n"/>
      <c r="AG267" s="412" t="n"/>
    </row>
    <row r="268">
      <c r="A268" s="426" t="n"/>
      <c r="B268" s="698" t="n"/>
      <c r="C268" s="78" t="n"/>
      <c r="D268" s="78" t="inlineStr">
        <is>
          <t>Maisso</t>
        </is>
      </c>
      <c r="E268" s="357" t="inlineStr">
        <is>
          <t>Tibiri</t>
        </is>
      </c>
      <c r="F268" s="78" t="inlineStr">
        <is>
          <t>Control</t>
        </is>
      </c>
      <c r="G268" s="78" t="n">
        <v>2023</v>
      </c>
      <c r="H268" s="78" t="n">
        <v>2024</v>
      </c>
      <c r="I268" s="78" t="n">
        <v>0</v>
      </c>
      <c r="J268" s="78" t="n">
        <v>0</v>
      </c>
      <c r="K268" s="405" t="inlineStr">
        <is>
          <t>NA</t>
        </is>
      </c>
      <c r="L268" s="420" t="n">
        <v>0</v>
      </c>
      <c r="M268" s="444" t="n"/>
      <c r="N268" s="470" t="inlineStr">
        <is>
          <t>NA</t>
        </is>
      </c>
      <c r="O268" s="470" t="inlineStr">
        <is>
          <t>NA</t>
        </is>
      </c>
      <c r="P268" s="470" t="inlineStr">
        <is>
          <t>NA</t>
        </is>
      </c>
      <c r="Q268" s="470" t="inlineStr">
        <is>
          <t>NA</t>
        </is>
      </c>
      <c r="R268" s="470" t="inlineStr">
        <is>
          <t>NA</t>
        </is>
      </c>
      <c r="S268" s="470" t="inlineStr">
        <is>
          <t>NA</t>
        </is>
      </c>
      <c r="T268" s="470" t="inlineStr">
        <is>
          <t>NA</t>
        </is>
      </c>
      <c r="U268" s="432" t="n">
        <v>1</v>
      </c>
      <c r="V268" s="432" t="n"/>
      <c r="W268" s="432" t="n"/>
      <c r="X268" s="432" t="n"/>
      <c r="Y268" s="432" t="n"/>
      <c r="Z268" s="432" t="n"/>
      <c r="AA268" s="432" t="n"/>
      <c r="AB268" s="432" t="n"/>
      <c r="AC268" s="432" t="n"/>
      <c r="AD268" s="432" t="n"/>
      <c r="AE268" s="432" t="n"/>
      <c r="AF268" s="432" t="n"/>
      <c r="AG268" s="433" t="n"/>
    </row>
    <row r="269">
      <c r="A269" s="434" t="n"/>
      <c r="B269" s="717" t="n">
        <v>11</v>
      </c>
      <c r="C269" s="456" t="n">
        <v>27</v>
      </c>
      <c r="D269" s="456" t="inlineStr">
        <is>
          <t>Kalgon Waraou</t>
        </is>
      </c>
      <c r="E269" s="343" t="inlineStr">
        <is>
          <t>Tibiri</t>
        </is>
      </c>
      <c r="F269" s="343" t="inlineStr">
        <is>
          <t>Intervention</t>
        </is>
      </c>
      <c r="G269" s="87" t="n">
        <v>2023</v>
      </c>
      <c r="H269" s="87" t="n">
        <v>2024</v>
      </c>
      <c r="I269" s="439" t="n">
        <v>5</v>
      </c>
      <c r="J269" s="439" t="n">
        <v>1</v>
      </c>
      <c r="K269" s="87" t="n">
        <v>15</v>
      </c>
      <c r="L269" s="439" t="n">
        <v>2</v>
      </c>
      <c r="M269" s="408" t="n"/>
      <c r="N269" s="436" t="n">
        <v>0</v>
      </c>
      <c r="O269" s="436" t="n">
        <v>1</v>
      </c>
      <c r="P269" s="438" t="n">
        <v>1</v>
      </c>
      <c r="Q269" s="439" t="n">
        <v>7.7</v>
      </c>
      <c r="R269" s="439" t="n">
        <v>16.3</v>
      </c>
      <c r="S269" s="439" t="n">
        <v>5.8</v>
      </c>
      <c r="T269" s="439" t="n">
        <v>16.7</v>
      </c>
      <c r="U269" s="439" t="n">
        <v>0</v>
      </c>
      <c r="V269" s="439" t="n"/>
      <c r="W269" s="439" t="n"/>
      <c r="X269" s="439" t="n"/>
      <c r="Y269" s="439" t="n"/>
      <c r="Z269" s="439" t="n"/>
      <c r="AA269" s="439" t="n"/>
      <c r="AB269" s="439" t="n"/>
      <c r="AC269" s="439" t="n"/>
      <c r="AD269" s="439" t="n"/>
      <c r="AE269" s="439" t="n"/>
      <c r="AF269" s="439" t="n"/>
      <c r="AG269" s="440" t="n"/>
    </row>
    <row r="270">
      <c r="A270" s="441" t="n"/>
      <c r="B270" s="698" t="n"/>
      <c r="C270" s="56" t="n"/>
      <c r="D270" s="57" t="inlineStr">
        <is>
          <t>Garin Daoure 2</t>
        </is>
      </c>
      <c r="E270" s="343" t="inlineStr">
        <is>
          <t>Tibiri</t>
        </is>
      </c>
      <c r="F270" s="56" t="inlineStr">
        <is>
          <t>Control</t>
        </is>
      </c>
      <c r="G270" s="56" t="n">
        <v>2023</v>
      </c>
      <c r="H270" s="56" t="n">
        <v>2024</v>
      </c>
      <c r="I270" s="56" t="n">
        <v>0</v>
      </c>
      <c r="J270" s="56" t="n">
        <v>0</v>
      </c>
      <c r="K270" s="405" t="inlineStr">
        <is>
          <t>NA</t>
        </is>
      </c>
      <c r="L270" s="146" t="n">
        <v>0</v>
      </c>
      <c r="M270" s="428" t="n"/>
      <c r="N270" s="470" t="inlineStr">
        <is>
          <t>NA</t>
        </is>
      </c>
      <c r="O270" s="470" t="inlineStr">
        <is>
          <t>NA</t>
        </is>
      </c>
      <c r="P270" s="470" t="inlineStr">
        <is>
          <t>NA</t>
        </is>
      </c>
      <c r="Q270" s="470" t="inlineStr">
        <is>
          <t>NA</t>
        </is>
      </c>
      <c r="R270" s="470" t="inlineStr">
        <is>
          <t>NA</t>
        </is>
      </c>
      <c r="S270" s="470" t="inlineStr">
        <is>
          <t>NA</t>
        </is>
      </c>
      <c r="T270" s="470" t="inlineStr">
        <is>
          <t>NA</t>
        </is>
      </c>
      <c r="U270" s="453" t="n">
        <v>1</v>
      </c>
      <c r="V270" s="445" t="n"/>
      <c r="W270" s="445" t="n"/>
      <c r="X270" s="445" t="n"/>
      <c r="Y270" s="445" t="n"/>
      <c r="Z270" s="445" t="n"/>
      <c r="AA270" s="445" t="n"/>
      <c r="AB270" s="445" t="n"/>
      <c r="AC270" s="445" t="n"/>
      <c r="AD270" s="445" t="n"/>
      <c r="AE270" s="445" t="n"/>
      <c r="AF270" s="445" t="n"/>
      <c r="AG270" s="446" t="n"/>
    </row>
    <row r="271">
      <c r="A271" s="454" t="n"/>
      <c r="B271" s="531" t="n">
        <v>12</v>
      </c>
      <c r="C271" s="455" t="n">
        <v>8</v>
      </c>
      <c r="D271" s="455" t="inlineStr">
        <is>
          <t>Tibiri Dan Fillo 3</t>
        </is>
      </c>
      <c r="E271" s="357" t="inlineStr">
        <is>
          <t>Tibiri</t>
        </is>
      </c>
      <c r="F271" s="357" t="inlineStr">
        <is>
          <t>Intervention</t>
        </is>
      </c>
      <c r="G271" s="68" t="n">
        <v>2023</v>
      </c>
      <c r="H271" s="68" t="n">
        <v>2024</v>
      </c>
      <c r="I271" s="411" t="n">
        <v>5</v>
      </c>
      <c r="J271" s="411" t="n">
        <v>2</v>
      </c>
      <c r="K271" s="68" t="n">
        <v>32</v>
      </c>
      <c r="L271" s="411" t="n">
        <v>2</v>
      </c>
      <c r="M271" s="408" t="n"/>
      <c r="N271" s="410" t="n">
        <v>0</v>
      </c>
      <c r="O271" s="410" t="n">
        <v>1</v>
      </c>
      <c r="P271" s="410" t="n">
        <v>1</v>
      </c>
      <c r="Q271" s="411" t="n">
        <v>7.1</v>
      </c>
      <c r="R271" s="411" t="n">
        <v>14.8</v>
      </c>
      <c r="S271" s="411" t="n">
        <v>4.7</v>
      </c>
      <c r="T271" s="411" t="n">
        <v>16.1</v>
      </c>
      <c r="U271" s="411" t="n">
        <v>0</v>
      </c>
      <c r="V271" s="411" t="n"/>
      <c r="W271" s="411" t="n"/>
      <c r="X271" s="411" t="n"/>
      <c r="Y271" s="411" t="n"/>
      <c r="Z271" s="411" t="n"/>
      <c r="AA271" s="411" t="n"/>
      <c r="AB271" s="411" t="n"/>
      <c r="AC271" s="411" t="n"/>
      <c r="AD271" s="411" t="n"/>
      <c r="AE271" s="411" t="n"/>
      <c r="AF271" s="411" t="n"/>
      <c r="AG271" s="412" t="n"/>
    </row>
    <row r="272">
      <c r="A272" s="426" t="n"/>
      <c r="B272" s="698" t="n"/>
      <c r="C272" s="78" t="n"/>
      <c r="D272" s="78" t="inlineStr">
        <is>
          <t>Maza Tsaye II</t>
        </is>
      </c>
      <c r="E272" s="357" t="inlineStr">
        <is>
          <t>Tibiri</t>
        </is>
      </c>
      <c r="F272" s="78" t="inlineStr">
        <is>
          <t>Control</t>
        </is>
      </c>
      <c r="G272" s="78" t="n">
        <v>2023</v>
      </c>
      <c r="H272" s="78" t="n">
        <v>2024</v>
      </c>
      <c r="I272" s="78" t="n">
        <v>0</v>
      </c>
      <c r="J272" s="78" t="n">
        <v>0</v>
      </c>
      <c r="K272" s="405" t="inlineStr">
        <is>
          <t>NA</t>
        </is>
      </c>
      <c r="L272" s="420" t="n">
        <v>0</v>
      </c>
      <c r="M272" s="428" t="n"/>
      <c r="N272" s="470" t="inlineStr">
        <is>
          <t>NA</t>
        </is>
      </c>
      <c r="O272" s="470" t="inlineStr">
        <is>
          <t>NA</t>
        </is>
      </c>
      <c r="P272" s="470" t="inlineStr">
        <is>
          <t>NA</t>
        </is>
      </c>
      <c r="Q272" s="470" t="inlineStr">
        <is>
          <t>NA</t>
        </is>
      </c>
      <c r="R272" s="470" t="inlineStr">
        <is>
          <t>NA</t>
        </is>
      </c>
      <c r="S272" s="470" t="inlineStr">
        <is>
          <t>NA</t>
        </is>
      </c>
      <c r="T272" s="470" t="inlineStr">
        <is>
          <t>NA</t>
        </is>
      </c>
      <c r="U272" s="432" t="n">
        <v>0</v>
      </c>
      <c r="V272" s="432" t="n"/>
      <c r="W272" s="432" t="n"/>
      <c r="X272" s="432" t="n"/>
      <c r="Y272" s="432" t="n"/>
      <c r="Z272" s="432" t="n"/>
      <c r="AA272" s="432" t="n"/>
      <c r="AB272" s="432" t="n"/>
      <c r="AC272" s="432" t="n"/>
      <c r="AD272" s="432" t="n"/>
      <c r="AE272" s="432" t="n"/>
      <c r="AF272" s="432" t="n"/>
      <c r="AG272" s="433" t="n"/>
    </row>
    <row r="273">
      <c r="A273" s="434" t="n"/>
      <c r="B273" s="717" t="n">
        <v>13</v>
      </c>
      <c r="C273" s="456" t="n">
        <v>34</v>
      </c>
      <c r="D273" s="456" t="inlineStr">
        <is>
          <t>Koderaoua</t>
        </is>
      </c>
      <c r="E273" s="343" t="inlineStr">
        <is>
          <t>Djiarataoua</t>
        </is>
      </c>
      <c r="F273" s="343" t="inlineStr">
        <is>
          <t>Intervention</t>
        </is>
      </c>
      <c r="G273" s="87" t="n">
        <v>2023</v>
      </c>
      <c r="H273" s="87" t="n">
        <v>2024</v>
      </c>
      <c r="I273" s="439" t="n">
        <v>4</v>
      </c>
      <c r="J273" s="439" t="n">
        <v>1</v>
      </c>
      <c r="K273" s="87" t="n">
        <v>19</v>
      </c>
      <c r="L273" s="439" t="n">
        <v>2</v>
      </c>
      <c r="M273" s="408" t="n"/>
      <c r="N273" s="436" t="n">
        <v>0</v>
      </c>
      <c r="O273" s="436" t="n">
        <v>1</v>
      </c>
      <c r="P273" s="438" t="n">
        <v>1</v>
      </c>
      <c r="Q273" s="439" t="n">
        <v>6.2</v>
      </c>
      <c r="R273" s="439" t="n">
        <v>15</v>
      </c>
      <c r="S273" s="439" t="n">
        <v>4.5</v>
      </c>
      <c r="T273" s="439" t="n">
        <v>16.1</v>
      </c>
      <c r="U273" s="439" t="n">
        <v>0</v>
      </c>
      <c r="V273" s="439" t="n"/>
      <c r="W273" s="439" t="n"/>
      <c r="X273" s="439" t="n"/>
      <c r="Y273" s="439" t="n"/>
      <c r="Z273" s="439" t="n"/>
      <c r="AA273" s="439" t="n"/>
      <c r="AB273" s="439" t="n"/>
      <c r="AC273" s="439" t="n"/>
      <c r="AD273" s="439" t="n"/>
      <c r="AE273" s="439" t="n"/>
      <c r="AF273" s="439" t="n"/>
      <c r="AG273" s="440" t="n"/>
    </row>
    <row r="274">
      <c r="A274" s="441" t="n"/>
      <c r="B274" s="698" t="n"/>
      <c r="C274" s="56" t="n"/>
      <c r="D274" s="56" t="inlineStr">
        <is>
          <t>Oumarou Lawali Gago</t>
        </is>
      </c>
      <c r="E274" s="343" t="inlineStr">
        <is>
          <t>Djiarataoua</t>
        </is>
      </c>
      <c r="F274" s="56" t="inlineStr">
        <is>
          <t>Control</t>
        </is>
      </c>
      <c r="G274" s="56" t="n">
        <v>2023</v>
      </c>
      <c r="H274" s="56" t="n">
        <v>2024</v>
      </c>
      <c r="I274" s="56" t="n">
        <v>0</v>
      </c>
      <c r="J274" s="56" t="n">
        <v>0</v>
      </c>
      <c r="K274" s="56" t="n">
        <v>30</v>
      </c>
      <c r="L274" s="146" t="n">
        <v>0</v>
      </c>
      <c r="M274" s="428" t="n"/>
      <c r="N274" s="457" t="n">
        <v>0</v>
      </c>
      <c r="O274" s="451" t="n">
        <v>0.2667</v>
      </c>
      <c r="P274" s="458" t="n">
        <v>0.88</v>
      </c>
      <c r="Q274" s="470" t="inlineStr">
        <is>
          <t>NA</t>
        </is>
      </c>
      <c r="R274" s="470" t="inlineStr">
        <is>
          <t>NA</t>
        </is>
      </c>
      <c r="S274" s="470" t="inlineStr">
        <is>
          <t>NA</t>
        </is>
      </c>
      <c r="T274" s="470" t="inlineStr">
        <is>
          <t>NA</t>
        </is>
      </c>
      <c r="U274" s="445" t="n">
        <v>0</v>
      </c>
      <c r="V274" s="445" t="n"/>
      <c r="W274" s="445" t="n"/>
      <c r="X274" s="445" t="n"/>
      <c r="Y274" s="445" t="n"/>
      <c r="Z274" s="445" t="n"/>
      <c r="AA274" s="445" t="n"/>
      <c r="AB274" s="445" t="n"/>
      <c r="AC274" s="445" t="n"/>
      <c r="AD274" s="445" t="n"/>
      <c r="AE274" s="445" t="n"/>
      <c r="AF274" s="445" t="n"/>
      <c r="AG274" s="446" t="n"/>
    </row>
    <row r="275">
      <c r="A275" s="406" t="n"/>
      <c r="B275" s="718" t="n">
        <v>14</v>
      </c>
      <c r="C275" s="359" t="n">
        <v>38</v>
      </c>
      <c r="D275" s="359" t="inlineStr">
        <is>
          <t>Danja 2</t>
        </is>
      </c>
      <c r="E275" s="357" t="inlineStr">
        <is>
          <t>Djirataoua</t>
        </is>
      </c>
      <c r="F275" s="357" t="inlineStr">
        <is>
          <t>Intervention</t>
        </is>
      </c>
      <c r="G275" s="68" t="n">
        <v>2023</v>
      </c>
      <c r="H275" s="68" t="n">
        <v>2024</v>
      </c>
      <c r="I275" s="411" t="n">
        <v>3</v>
      </c>
      <c r="J275" s="411" t="n">
        <v>1</v>
      </c>
      <c r="K275" s="68" t="n">
        <v>16</v>
      </c>
      <c r="L275" s="411" t="n">
        <v>2</v>
      </c>
      <c r="M275" s="408" t="n"/>
      <c r="N275" s="410" t="n">
        <v>0</v>
      </c>
      <c r="O275" s="410" t="n">
        <v>1</v>
      </c>
      <c r="P275" s="410" t="n">
        <v>1</v>
      </c>
      <c r="Q275" s="411" t="n">
        <v>9</v>
      </c>
      <c r="R275" s="411" t="n">
        <v>15.3</v>
      </c>
      <c r="S275" s="411" t="n">
        <v>6.5</v>
      </c>
      <c r="T275" s="411" t="n">
        <v>16.1</v>
      </c>
      <c r="U275" s="411" t="n">
        <v>1</v>
      </c>
      <c r="V275" s="411" t="n"/>
      <c r="W275" s="411" t="n"/>
      <c r="X275" s="411" t="n"/>
      <c r="Y275" s="411" t="n"/>
      <c r="Z275" s="411" t="n"/>
      <c r="AA275" s="411" t="n"/>
      <c r="AB275" s="411" t="n"/>
      <c r="AC275" s="411" t="n"/>
      <c r="AD275" s="411" t="n"/>
      <c r="AE275" s="411" t="n"/>
      <c r="AF275" s="411" t="n"/>
      <c r="AG275" s="412" t="n"/>
    </row>
    <row r="276">
      <c r="A276" s="426" t="n"/>
      <c r="B276" s="698" t="n"/>
      <c r="C276" s="78" t="n"/>
      <c r="D276" s="78" t="inlineStr">
        <is>
          <t>Basaraoua</t>
        </is>
      </c>
      <c r="E276" s="357" t="inlineStr">
        <is>
          <t>Djirataoua</t>
        </is>
      </c>
      <c r="F276" s="78" t="inlineStr">
        <is>
          <t>Control</t>
        </is>
      </c>
      <c r="G276" s="78" t="n">
        <v>2023</v>
      </c>
      <c r="H276" s="78" t="n">
        <v>2024</v>
      </c>
      <c r="I276" s="78" t="n">
        <v>0</v>
      </c>
      <c r="J276" s="78" t="n">
        <v>0</v>
      </c>
      <c r="K276" s="78" t="n">
        <v>17</v>
      </c>
      <c r="L276" s="399" t="n">
        <v>0</v>
      </c>
      <c r="M276" s="428" t="n"/>
      <c r="N276" s="429" t="n">
        <v>0</v>
      </c>
      <c r="O276" s="430" t="n">
        <v>0.1613</v>
      </c>
      <c r="P276" s="429" t="n">
        <v>0.75</v>
      </c>
      <c r="Q276" s="470" t="inlineStr">
        <is>
          <t>NA</t>
        </is>
      </c>
      <c r="R276" s="470" t="inlineStr">
        <is>
          <t>NA</t>
        </is>
      </c>
      <c r="S276" s="470" t="inlineStr">
        <is>
          <t>NA</t>
        </is>
      </c>
      <c r="T276" s="470" t="inlineStr">
        <is>
          <t>NA</t>
        </is>
      </c>
      <c r="U276" s="432" t="n">
        <v>0</v>
      </c>
      <c r="V276" s="432" t="n"/>
      <c r="W276" s="432" t="n"/>
      <c r="X276" s="432" t="n"/>
      <c r="Y276" s="432" t="n"/>
      <c r="Z276" s="432" t="n"/>
      <c r="AA276" s="432" t="n"/>
      <c r="AB276" s="432" t="n"/>
      <c r="AC276" s="432" t="n"/>
      <c r="AD276" s="432" t="n"/>
      <c r="AE276" s="432" t="n"/>
      <c r="AF276" s="432" t="n"/>
      <c r="AG276" s="433" t="n"/>
    </row>
    <row r="277">
      <c r="A277" s="434" t="n"/>
      <c r="B277" s="717" t="n">
        <v>15</v>
      </c>
      <c r="C277" s="463" t="n">
        <v>40</v>
      </c>
      <c r="D277" s="463" t="inlineStr">
        <is>
          <t xml:space="preserve">El kokia </t>
        </is>
      </c>
      <c r="E277" s="357" t="inlineStr">
        <is>
          <t>Djirataoua</t>
        </is>
      </c>
      <c r="F277" s="343" t="inlineStr">
        <is>
          <t>Intervention</t>
        </is>
      </c>
      <c r="G277" s="87" t="n">
        <v>2023</v>
      </c>
      <c r="H277" s="87" t="n">
        <v>2024</v>
      </c>
      <c r="I277" s="439" t="n">
        <v>5</v>
      </c>
      <c r="J277" s="439" t="n">
        <v>2</v>
      </c>
      <c r="K277" s="87" t="n">
        <v>25</v>
      </c>
      <c r="L277" s="439" t="n">
        <v>2</v>
      </c>
      <c r="M277" s="408" t="n"/>
      <c r="N277" s="436" t="n">
        <v>0</v>
      </c>
      <c r="O277" s="436" t="n">
        <v>1</v>
      </c>
      <c r="P277" s="438" t="n">
        <v>1</v>
      </c>
      <c r="Q277" s="439" t="n">
        <v>5</v>
      </c>
      <c r="R277" s="439" t="n">
        <v>14.9</v>
      </c>
      <c r="S277" s="439" t="n">
        <v>1.7</v>
      </c>
      <c r="T277" s="439" t="n">
        <v>15.2</v>
      </c>
      <c r="U277" s="439" t="n">
        <v>0</v>
      </c>
      <c r="V277" s="439" t="n"/>
      <c r="W277" s="439" t="n"/>
      <c r="X277" s="439" t="n"/>
      <c r="Y277" s="439" t="n"/>
      <c r="Z277" s="439" t="n"/>
      <c r="AA277" s="439" t="n"/>
      <c r="AB277" s="439" t="n"/>
      <c r="AC277" s="439" t="n"/>
      <c r="AD277" s="439" t="n"/>
      <c r="AE277" s="439" t="n"/>
      <c r="AF277" s="439" t="n"/>
      <c r="AG277" s="440" t="n"/>
    </row>
    <row r="278">
      <c r="A278" s="441" t="n"/>
      <c r="B278" s="698" t="n"/>
      <c r="C278" s="56" t="n"/>
      <c r="D278" s="428" t="inlineStr">
        <is>
          <t>NA</t>
        </is>
      </c>
      <c r="E278" s="357" t="inlineStr">
        <is>
          <t>Djirataoua</t>
        </is>
      </c>
      <c r="F278" s="57" t="inlineStr">
        <is>
          <t>NA</t>
        </is>
      </c>
      <c r="G278" s="57" t="n">
        <v>2023</v>
      </c>
      <c r="H278" s="57" t="n">
        <v>2024</v>
      </c>
      <c r="I278" s="57" t="n">
        <v>0</v>
      </c>
      <c r="J278" s="57" t="n">
        <v>0</v>
      </c>
      <c r="K278" s="405" t="inlineStr">
        <is>
          <t>NA</t>
        </is>
      </c>
      <c r="L278" s="146" t="n">
        <v>0</v>
      </c>
      <c r="M278" s="444" t="n"/>
      <c r="N278" s="470" t="inlineStr">
        <is>
          <t>NA</t>
        </is>
      </c>
      <c r="O278" s="470" t="inlineStr">
        <is>
          <t>NA</t>
        </is>
      </c>
      <c r="P278" s="470" t="inlineStr">
        <is>
          <t>NA</t>
        </is>
      </c>
      <c r="Q278" s="470" t="inlineStr">
        <is>
          <t>NA</t>
        </is>
      </c>
      <c r="R278" s="470" t="inlineStr">
        <is>
          <t>NA</t>
        </is>
      </c>
      <c r="S278" s="470" t="inlineStr">
        <is>
          <t>NA</t>
        </is>
      </c>
      <c r="T278" s="470" t="inlineStr">
        <is>
          <t>NA</t>
        </is>
      </c>
      <c r="U278" s="445" t="n">
        <v>0</v>
      </c>
      <c r="V278" s="445" t="n"/>
      <c r="W278" s="445" t="n"/>
      <c r="X278" s="445" t="n"/>
      <c r="Y278" s="445" t="n"/>
      <c r="Z278" s="445" t="n"/>
      <c r="AA278" s="445" t="n"/>
      <c r="AB278" s="445" t="n"/>
      <c r="AC278" s="445" t="n"/>
      <c r="AD278" s="445" t="n"/>
      <c r="AE278" s="445" t="n"/>
      <c r="AF278" s="445" t="n"/>
      <c r="AG278" s="446" t="n"/>
    </row>
    <row r="279">
      <c r="A279" s="406" t="n"/>
      <c r="B279" s="718" t="n">
        <v>16</v>
      </c>
      <c r="C279" s="68" t="n">
        <v>44</v>
      </c>
      <c r="D279" s="68" t="inlineStr">
        <is>
          <t>Sabon Gari Kolta</t>
        </is>
      </c>
      <c r="E279" s="357" t="inlineStr">
        <is>
          <t>Djirataoua</t>
        </is>
      </c>
      <c r="F279" s="357" t="inlineStr">
        <is>
          <t>Intervention</t>
        </is>
      </c>
      <c r="G279" s="68" t="n">
        <v>2023</v>
      </c>
      <c r="H279" s="68" t="n">
        <v>2024</v>
      </c>
      <c r="I279" s="411" t="n">
        <v>5</v>
      </c>
      <c r="J279" s="411" t="n">
        <v>2</v>
      </c>
      <c r="K279" s="68" t="n">
        <v>28</v>
      </c>
      <c r="L279" s="411" t="n">
        <v>2</v>
      </c>
      <c r="M279" s="408" t="n"/>
      <c r="N279" s="410" t="n">
        <v>0</v>
      </c>
      <c r="O279" s="409">
        <f>26/28</f>
        <v/>
      </c>
      <c r="P279" s="410" t="n">
        <v>1</v>
      </c>
      <c r="Q279" s="411" t="n">
        <v>4.9</v>
      </c>
      <c r="R279" s="411" t="n">
        <v>16</v>
      </c>
      <c r="S279" s="411" t="n">
        <v>3.2</v>
      </c>
      <c r="T279" s="411" t="n">
        <v>17.9</v>
      </c>
      <c r="U279" s="411" t="n">
        <v>0</v>
      </c>
      <c r="V279" s="411" t="n"/>
      <c r="W279" s="411" t="n"/>
      <c r="X279" s="411" t="n"/>
      <c r="Y279" s="411" t="n"/>
      <c r="Z279" s="411" t="n"/>
      <c r="AA279" s="411" t="n"/>
      <c r="AB279" s="411" t="n"/>
      <c r="AC279" s="411" t="n"/>
      <c r="AD279" s="411" t="n"/>
      <c r="AE279" s="411" t="n"/>
      <c r="AF279" s="411" t="n"/>
      <c r="AG279" s="412" t="n"/>
    </row>
    <row r="280">
      <c r="A280" s="426" t="n"/>
      <c r="B280" s="698" t="n"/>
      <c r="C280" s="78" t="n"/>
      <c r="D280" s="78" t="inlineStr">
        <is>
          <t>Dallia</t>
        </is>
      </c>
      <c r="E280" s="357" t="inlineStr">
        <is>
          <t>Djirataoua</t>
        </is>
      </c>
      <c r="F280" s="78" t="inlineStr">
        <is>
          <t>Control</t>
        </is>
      </c>
      <c r="G280" s="78" t="n">
        <v>2023</v>
      </c>
      <c r="H280" s="78" t="n">
        <v>2024</v>
      </c>
      <c r="I280" s="78" t="n">
        <v>0</v>
      </c>
      <c r="J280" s="78" t="n">
        <v>0</v>
      </c>
      <c r="K280" s="78" t="n">
        <v>26</v>
      </c>
      <c r="L280" s="420" t="n">
        <v>0</v>
      </c>
      <c r="M280" s="428" t="n"/>
      <c r="N280" s="429" t="n">
        <v>0.0769</v>
      </c>
      <c r="O280" s="429" t="n">
        <v>0.25</v>
      </c>
      <c r="P280" s="470" t="inlineStr">
        <is>
          <t>NA</t>
        </is>
      </c>
      <c r="Q280" s="470" t="inlineStr">
        <is>
          <t>NA</t>
        </is>
      </c>
      <c r="R280" s="470" t="inlineStr">
        <is>
          <t>NA</t>
        </is>
      </c>
      <c r="S280" s="470" t="inlineStr">
        <is>
          <t>NA</t>
        </is>
      </c>
      <c r="T280" s="470" t="inlineStr">
        <is>
          <t>NA</t>
        </is>
      </c>
      <c r="U280" s="432" t="n">
        <v>0</v>
      </c>
      <c r="V280" s="432" t="n"/>
      <c r="W280" s="432" t="n"/>
      <c r="X280" s="432" t="n"/>
      <c r="Y280" s="432" t="n"/>
      <c r="Z280" s="432" t="n"/>
      <c r="AA280" s="432" t="n"/>
      <c r="AB280" s="432" t="n"/>
      <c r="AC280" s="432" t="n"/>
      <c r="AD280" s="432" t="n"/>
      <c r="AE280" s="432" t="n"/>
      <c r="AF280" s="432" t="n"/>
      <c r="AG280" s="433" t="n"/>
    </row>
    <row r="281">
      <c r="A281" s="434" t="n"/>
      <c r="B281" s="717" t="n">
        <v>17</v>
      </c>
      <c r="C281" s="456" t="n">
        <v>36</v>
      </c>
      <c r="D281" s="149" t="inlineStr">
        <is>
          <t>Takalmaoua 1</t>
        </is>
      </c>
      <c r="E281" s="343" t="inlineStr">
        <is>
          <t>Djirataoua</t>
        </is>
      </c>
      <c r="F281" s="343" t="inlineStr">
        <is>
          <t>Intervention</t>
        </is>
      </c>
      <c r="G281" s="87" t="n">
        <v>2023</v>
      </c>
      <c r="H281" s="87" t="n">
        <v>2024</v>
      </c>
      <c r="I281" s="439" t="n">
        <v>4</v>
      </c>
      <c r="J281" s="439" t="n">
        <v>1</v>
      </c>
      <c r="K281" s="87" t="n">
        <v>16</v>
      </c>
      <c r="L281" s="439" t="n">
        <v>2</v>
      </c>
      <c r="M281" s="408" t="n"/>
      <c r="N281" s="436" t="n">
        <v>0</v>
      </c>
      <c r="O281" s="436" t="n">
        <v>1</v>
      </c>
      <c r="P281" s="438" t="n">
        <v>0.86</v>
      </c>
      <c r="Q281" s="439" t="n">
        <v>2.5</v>
      </c>
      <c r="R281" s="439" t="n">
        <v>16</v>
      </c>
      <c r="S281" s="439" t="n">
        <v>4</v>
      </c>
      <c r="T281" s="439" t="n">
        <v>12.1</v>
      </c>
      <c r="U281" s="159" t="n">
        <v>1</v>
      </c>
      <c r="V281" s="439" t="n"/>
      <c r="W281" s="439" t="n"/>
      <c r="X281" s="439" t="n"/>
      <c r="Y281" s="439" t="n"/>
      <c r="Z281" s="439" t="n"/>
      <c r="AA281" s="439" t="n"/>
      <c r="AB281" s="439" t="n"/>
      <c r="AC281" s="439" t="n"/>
      <c r="AD281" s="439" t="n"/>
      <c r="AE281" s="439" t="n"/>
      <c r="AF281" s="439" t="n"/>
      <c r="AG281" s="440" t="n"/>
    </row>
    <row r="282">
      <c r="A282" s="441" t="n"/>
      <c r="B282" s="698" t="n"/>
      <c r="C282" s="56" t="n"/>
      <c r="D282" s="56" t="inlineStr">
        <is>
          <t>Kontagora Soufoua</t>
        </is>
      </c>
      <c r="E282" s="343" t="inlineStr">
        <is>
          <t>Djirataoua</t>
        </is>
      </c>
      <c r="F282" s="56" t="inlineStr">
        <is>
          <t>Control</t>
        </is>
      </c>
      <c r="G282" s="56" t="n">
        <v>2023</v>
      </c>
      <c r="H282" s="56" t="n">
        <v>2024</v>
      </c>
      <c r="I282" s="56" t="n">
        <v>0</v>
      </c>
      <c r="J282" s="56" t="n">
        <v>0</v>
      </c>
      <c r="K282" s="56" t="n">
        <v>27</v>
      </c>
      <c r="L282" s="146" t="n">
        <v>0</v>
      </c>
      <c r="M282" s="428" t="n"/>
      <c r="N282" s="457" t="n">
        <v>0</v>
      </c>
      <c r="O282" s="451" t="n">
        <v>0.1852</v>
      </c>
      <c r="P282" s="470" t="inlineStr">
        <is>
          <t>NA</t>
        </is>
      </c>
      <c r="Q282" s="470" t="inlineStr">
        <is>
          <t>NA</t>
        </is>
      </c>
      <c r="R282" s="470" t="inlineStr">
        <is>
          <t>NA</t>
        </is>
      </c>
      <c r="S282" s="470" t="inlineStr">
        <is>
          <t>NA</t>
        </is>
      </c>
      <c r="T282" s="470" t="inlineStr">
        <is>
          <t>NA</t>
        </is>
      </c>
      <c r="U282" s="445" t="n">
        <v>0</v>
      </c>
      <c r="V282" s="445" t="n"/>
      <c r="W282" s="445" t="n"/>
      <c r="X282" s="445" t="n"/>
      <c r="Y282" s="445" t="n"/>
      <c r="Z282" s="445" t="n"/>
      <c r="AA282" s="445" t="n"/>
      <c r="AB282" s="445" t="n"/>
      <c r="AC282" s="445" t="n"/>
      <c r="AD282" s="445" t="n"/>
      <c r="AE282" s="445" t="n"/>
      <c r="AF282" s="445" t="n"/>
      <c r="AG282" s="446" t="n"/>
    </row>
    <row r="283">
      <c r="A283" s="406" t="n"/>
      <c r="B283" s="718" t="n">
        <v>18</v>
      </c>
      <c r="C283" s="359" t="n">
        <v>50</v>
      </c>
      <c r="D283" s="359" t="inlineStr">
        <is>
          <t>Danja 1</t>
        </is>
      </c>
      <c r="E283" s="357" t="inlineStr">
        <is>
          <t>Djirataoua</t>
        </is>
      </c>
      <c r="F283" s="357" t="inlineStr">
        <is>
          <t>Intervention</t>
        </is>
      </c>
      <c r="G283" s="68" t="n">
        <v>2023</v>
      </c>
      <c r="H283" s="68" t="n">
        <v>2024</v>
      </c>
      <c r="I283" s="411" t="n">
        <v>4</v>
      </c>
      <c r="J283" s="411" t="n">
        <v>2</v>
      </c>
      <c r="K283" s="68" t="n">
        <v>29</v>
      </c>
      <c r="L283" s="411" t="n">
        <v>2</v>
      </c>
      <c r="M283" s="408" t="n"/>
      <c r="N283" s="410" t="n">
        <v>0</v>
      </c>
      <c r="O283" s="410" t="n">
        <v>1</v>
      </c>
      <c r="P283" s="410" t="n">
        <v>1</v>
      </c>
      <c r="Q283" s="411" t="n">
        <v>8.800000000000001</v>
      </c>
      <c r="R283" s="411" t="n">
        <v>15.4</v>
      </c>
      <c r="S283" s="411" t="n">
        <v>5.7</v>
      </c>
      <c r="T283" s="411" t="n">
        <v>17.4</v>
      </c>
      <c r="U283" s="411" t="n">
        <v>1</v>
      </c>
      <c r="V283" s="411" t="n"/>
      <c r="W283" s="411" t="n"/>
      <c r="X283" s="411" t="n"/>
      <c r="Y283" s="411" t="n"/>
      <c r="Z283" s="411" t="n"/>
      <c r="AA283" s="411" t="n"/>
      <c r="AB283" s="411" t="n"/>
      <c r="AC283" s="411" t="n"/>
      <c r="AD283" s="411" t="n"/>
      <c r="AE283" s="411" t="n"/>
      <c r="AF283" s="411" t="n"/>
      <c r="AG283" s="412" t="n"/>
    </row>
    <row r="284">
      <c r="A284" s="426" t="n"/>
      <c r="B284" s="698" t="n"/>
      <c r="C284" s="78" t="n"/>
      <c r="D284" s="78" t="inlineStr">
        <is>
          <t>Djiratawa Bilingue</t>
        </is>
      </c>
      <c r="E284" s="357" t="inlineStr">
        <is>
          <t>Djirataoua</t>
        </is>
      </c>
      <c r="F284" s="78" t="inlineStr">
        <is>
          <t>Control</t>
        </is>
      </c>
      <c r="G284" s="78" t="n">
        <v>2023</v>
      </c>
      <c r="H284" s="78" t="n">
        <v>2024</v>
      </c>
      <c r="I284" s="78" t="n">
        <v>0</v>
      </c>
      <c r="J284" s="78" t="n">
        <v>0</v>
      </c>
      <c r="K284" s="78" t="n">
        <v>28</v>
      </c>
      <c r="L284" s="420" t="n">
        <v>0</v>
      </c>
      <c r="M284" s="428" t="n"/>
      <c r="N284" s="429" t="n">
        <v>0</v>
      </c>
      <c r="O284" s="430" t="n">
        <v>0.4643</v>
      </c>
      <c r="P284" s="470" t="inlineStr">
        <is>
          <t>NA</t>
        </is>
      </c>
      <c r="Q284" s="470" t="inlineStr">
        <is>
          <t>NA</t>
        </is>
      </c>
      <c r="R284" s="470" t="inlineStr">
        <is>
          <t>NA</t>
        </is>
      </c>
      <c r="S284" s="470" t="inlineStr">
        <is>
          <t>NA</t>
        </is>
      </c>
      <c r="T284" s="470" t="inlineStr">
        <is>
          <t>NA</t>
        </is>
      </c>
      <c r="U284" s="432" t="n">
        <v>0</v>
      </c>
      <c r="V284" s="432" t="n"/>
      <c r="W284" s="432" t="n"/>
      <c r="X284" s="432" t="n"/>
      <c r="Y284" s="432" t="n"/>
      <c r="Z284" s="432" t="n"/>
      <c r="AA284" s="432" t="n"/>
      <c r="AB284" s="432" t="n"/>
      <c r="AC284" s="432" t="n"/>
      <c r="AD284" s="432" t="n"/>
      <c r="AE284" s="432" t="n"/>
      <c r="AF284" s="432" t="n"/>
      <c r="AG284" s="433" t="n"/>
    </row>
    <row r="285">
      <c r="A285" s="434" t="n"/>
      <c r="B285" s="717" t="n">
        <v>19</v>
      </c>
      <c r="C285" s="645" t="n">
        <v>55</v>
      </c>
      <c r="D285" s="463" t="inlineStr">
        <is>
          <t>Safo Dan Ali</t>
        </is>
      </c>
      <c r="E285" s="343" t="inlineStr">
        <is>
          <t>Safo</t>
        </is>
      </c>
      <c r="F285" s="343" t="inlineStr">
        <is>
          <t>Intervention</t>
        </is>
      </c>
      <c r="G285" s="87" t="n">
        <v>2023</v>
      </c>
      <c r="H285" s="87" t="n">
        <v>2024</v>
      </c>
      <c r="I285" s="439" t="n">
        <v>2</v>
      </c>
      <c r="J285" s="439" t="n">
        <v>1</v>
      </c>
      <c r="K285" s="87" t="n">
        <v>12</v>
      </c>
      <c r="L285" s="439" t="n">
        <v>2</v>
      </c>
      <c r="M285" s="408" t="n"/>
      <c r="N285" s="436" t="n">
        <v>0</v>
      </c>
      <c r="O285" s="436" t="n">
        <v>1</v>
      </c>
      <c r="P285" s="438" t="n">
        <v>1</v>
      </c>
      <c r="Q285" s="439" t="n">
        <v>5</v>
      </c>
      <c r="R285" s="439" t="n">
        <v>12.1</v>
      </c>
      <c r="S285" s="439" t="n">
        <v>4.4</v>
      </c>
      <c r="T285" s="439" t="n">
        <v>12.5</v>
      </c>
      <c r="U285" s="439" t="n">
        <v>3</v>
      </c>
      <c r="V285" s="439" t="n"/>
      <c r="W285" s="439" t="n"/>
      <c r="X285" s="439" t="n"/>
      <c r="Y285" s="439" t="n"/>
      <c r="Z285" s="439" t="n"/>
      <c r="AA285" s="439" t="n"/>
      <c r="AB285" s="439" t="n"/>
      <c r="AC285" s="439" t="n"/>
      <c r="AD285" s="439" t="n"/>
      <c r="AE285" s="439" t="n"/>
      <c r="AF285" s="439" t="n"/>
      <c r="AG285" s="440" t="n"/>
    </row>
    <row r="286">
      <c r="A286" s="441" t="n"/>
      <c r="B286" s="698" t="n"/>
      <c r="C286" s="56" t="n"/>
      <c r="D286" s="56" t="inlineStr">
        <is>
          <t>Safo Chadawa</t>
        </is>
      </c>
      <c r="E286" s="343" t="inlineStr">
        <is>
          <t>Safo</t>
        </is>
      </c>
      <c r="F286" s="56" t="inlineStr">
        <is>
          <t>Control</t>
        </is>
      </c>
      <c r="G286" s="56" t="n">
        <v>2023</v>
      </c>
      <c r="H286" s="56" t="n">
        <v>2024</v>
      </c>
      <c r="I286" s="56" t="n">
        <v>0</v>
      </c>
      <c r="J286" s="56" t="n">
        <v>0</v>
      </c>
      <c r="K286" s="405" t="inlineStr">
        <is>
          <t>NR</t>
        </is>
      </c>
      <c r="L286" s="405" t="inlineStr">
        <is>
          <t>NR</t>
        </is>
      </c>
      <c r="M286" s="405" t="inlineStr">
        <is>
          <t>NR</t>
        </is>
      </c>
      <c r="N286" s="719" t="inlineStr">
        <is>
          <t>NR</t>
        </is>
      </c>
      <c r="O286" s="719" t="inlineStr">
        <is>
          <t>NR</t>
        </is>
      </c>
      <c r="P286" s="719" t="inlineStr">
        <is>
          <t>NR</t>
        </is>
      </c>
      <c r="Q286" s="405" t="inlineStr">
        <is>
          <t>NR</t>
        </is>
      </c>
      <c r="R286" s="470" t="inlineStr">
        <is>
          <t>NA</t>
        </is>
      </c>
      <c r="S286" s="405" t="inlineStr">
        <is>
          <t>NR</t>
        </is>
      </c>
      <c r="T286" s="405" t="inlineStr">
        <is>
          <t>NR</t>
        </is>
      </c>
      <c r="U286" s="445" t="n">
        <v>0</v>
      </c>
      <c r="V286" s="445" t="n"/>
      <c r="W286" s="445" t="n"/>
      <c r="X286" s="445" t="n"/>
      <c r="Y286" s="445" t="n"/>
      <c r="Z286" s="445" t="n"/>
      <c r="AA286" s="445" t="n"/>
      <c r="AB286" s="445" t="n"/>
      <c r="AC286" s="445" t="n"/>
      <c r="AD286" s="445" t="n"/>
      <c r="AE286" s="445" t="n"/>
      <c r="AF286" s="445" t="n"/>
      <c r="AG286" s="446" t="n"/>
    </row>
    <row r="287">
      <c r="A287" s="406" t="n"/>
      <c r="B287" s="718" t="n">
        <v>20</v>
      </c>
      <c r="C287" s="460" t="n">
        <v>56</v>
      </c>
      <c r="D287" s="464" t="inlineStr">
        <is>
          <t>Safo Nassaraoua</t>
        </is>
      </c>
      <c r="E287" s="357" t="inlineStr">
        <is>
          <t>Safo</t>
        </is>
      </c>
      <c r="F287" s="357" t="inlineStr">
        <is>
          <t>Intervention</t>
        </is>
      </c>
      <c r="G287" s="68" t="n">
        <v>2023</v>
      </c>
      <c r="H287" s="68" t="n">
        <v>2024</v>
      </c>
      <c r="I287" s="411" t="n">
        <v>2</v>
      </c>
      <c r="J287" s="411" t="n">
        <v>1</v>
      </c>
      <c r="K287" s="68" t="n">
        <v>12</v>
      </c>
      <c r="L287" s="411" t="n">
        <v>2</v>
      </c>
      <c r="M287" s="408" t="n"/>
      <c r="N287" s="410" t="n">
        <v>0</v>
      </c>
      <c r="O287" s="410" t="n">
        <v>1</v>
      </c>
      <c r="P287" s="410" t="n">
        <v>1</v>
      </c>
      <c r="Q287" s="411" t="n">
        <v>7.7</v>
      </c>
      <c r="R287" s="411" t="n">
        <v>14.6</v>
      </c>
      <c r="S287" s="411" t="n">
        <v>6</v>
      </c>
      <c r="T287" s="411" t="n">
        <v>18.2</v>
      </c>
      <c r="U287" s="411" t="n">
        <v>2</v>
      </c>
      <c r="V287" s="411" t="n"/>
      <c r="W287" s="411" t="n"/>
      <c r="X287" s="411" t="n"/>
      <c r="Y287" s="411" t="n"/>
      <c r="Z287" s="411" t="n"/>
      <c r="AA287" s="411" t="n"/>
      <c r="AB287" s="411" t="n"/>
      <c r="AC287" s="411" t="n"/>
      <c r="AD287" s="411" t="n"/>
      <c r="AE287" s="411" t="n"/>
      <c r="AF287" s="411" t="n"/>
      <c r="AG287" s="412" t="n"/>
    </row>
    <row r="288">
      <c r="A288" s="426" t="n"/>
      <c r="B288" s="698" t="n"/>
      <c r="C288" s="78" t="n"/>
      <c r="D288" s="78" t="inlineStr">
        <is>
          <t>Riadi Centre 2</t>
        </is>
      </c>
      <c r="E288" s="357" t="inlineStr">
        <is>
          <t>Safo</t>
        </is>
      </c>
      <c r="F288" s="78" t="inlineStr">
        <is>
          <t>Control</t>
        </is>
      </c>
      <c r="G288" s="78" t="n">
        <v>2023</v>
      </c>
      <c r="H288" s="78" t="n">
        <v>2024</v>
      </c>
      <c r="I288" s="78" t="n">
        <v>0</v>
      </c>
      <c r="J288" s="78" t="n">
        <v>0</v>
      </c>
      <c r="K288" s="497" t="inlineStr">
        <is>
          <t>NR</t>
        </is>
      </c>
      <c r="L288" s="497" t="inlineStr">
        <is>
          <t>NR</t>
        </is>
      </c>
      <c r="M288" s="497" t="inlineStr">
        <is>
          <t>NR</t>
        </is>
      </c>
      <c r="N288" s="719" t="inlineStr">
        <is>
          <t>NR</t>
        </is>
      </c>
      <c r="O288" s="719" t="inlineStr">
        <is>
          <t>NR</t>
        </is>
      </c>
      <c r="P288" s="719" t="inlineStr">
        <is>
          <t>NR</t>
        </is>
      </c>
      <c r="Q288" s="497" t="inlineStr">
        <is>
          <t>NR</t>
        </is>
      </c>
      <c r="R288" s="470" t="inlineStr">
        <is>
          <t>NA</t>
        </is>
      </c>
      <c r="S288" s="497" t="inlineStr">
        <is>
          <t>NR</t>
        </is>
      </c>
      <c r="T288" s="497" t="inlineStr">
        <is>
          <t>NR</t>
        </is>
      </c>
      <c r="U288" s="432" t="n">
        <v>0</v>
      </c>
      <c r="V288" s="432" t="n"/>
      <c r="W288" s="432" t="n"/>
      <c r="X288" s="432" t="n"/>
      <c r="Y288" s="432" t="n"/>
      <c r="Z288" s="432" t="n"/>
      <c r="AA288" s="432" t="n"/>
      <c r="AB288" s="432" t="n"/>
      <c r="AC288" s="432" t="n"/>
      <c r="AD288" s="432" t="n"/>
      <c r="AE288" s="432" t="n"/>
      <c r="AF288" s="432" t="n"/>
      <c r="AG288" s="433" t="n"/>
    </row>
    <row r="289">
      <c r="A289" s="434" t="n"/>
      <c r="B289" s="717" t="n">
        <v>21</v>
      </c>
      <c r="C289" s="463" t="n">
        <v>46</v>
      </c>
      <c r="D289" s="463" t="inlineStr">
        <is>
          <t>Soura 1</t>
        </is>
      </c>
      <c r="E289" s="343" t="inlineStr">
        <is>
          <t>Tibiri</t>
        </is>
      </c>
      <c r="F289" s="343" t="inlineStr">
        <is>
          <t>Intervention</t>
        </is>
      </c>
      <c r="G289" s="87" t="n">
        <v>2023</v>
      </c>
      <c r="H289" s="87" t="n">
        <v>2024</v>
      </c>
      <c r="I289" s="439" t="n">
        <v>3</v>
      </c>
      <c r="J289" s="439" t="n">
        <v>2</v>
      </c>
      <c r="K289" s="87" t="n">
        <v>29</v>
      </c>
      <c r="L289" s="439" t="n">
        <v>2</v>
      </c>
      <c r="M289" s="408" t="n"/>
      <c r="N289" s="680">
        <f>1/29</f>
        <v/>
      </c>
      <c r="O289" s="680">
        <f>27/29</f>
        <v/>
      </c>
      <c r="P289" s="438" t="n">
        <v>1</v>
      </c>
      <c r="Q289" s="439" t="n">
        <v>3.3</v>
      </c>
      <c r="R289" s="439" t="n">
        <v>14.8</v>
      </c>
      <c r="S289" s="439" t="n">
        <v>2.6</v>
      </c>
      <c r="T289" s="439" t="n">
        <v>16.7</v>
      </c>
      <c r="U289" s="439" t="n">
        <v>0</v>
      </c>
      <c r="V289" s="439" t="n"/>
      <c r="W289" s="439" t="n"/>
      <c r="X289" s="439" t="n"/>
      <c r="Y289" s="439" t="n"/>
      <c r="Z289" s="439" t="n"/>
      <c r="AA289" s="439" t="n"/>
      <c r="AB289" s="439" t="n"/>
      <c r="AC289" s="439" t="n"/>
      <c r="AD289" s="439" t="n"/>
      <c r="AE289" s="439" t="n"/>
      <c r="AF289" s="439" t="n"/>
      <c r="AG289" s="440" t="n"/>
    </row>
    <row r="290">
      <c r="A290" s="441" t="n"/>
      <c r="B290" s="698" t="n"/>
      <c r="C290" s="56" t="n"/>
      <c r="D290" s="56" t="inlineStr">
        <is>
          <t>Maza Tsaye I</t>
        </is>
      </c>
      <c r="E290" s="343" t="inlineStr">
        <is>
          <t>Tibiri</t>
        </is>
      </c>
      <c r="F290" s="56" t="inlineStr">
        <is>
          <t>Control</t>
        </is>
      </c>
      <c r="G290" s="56" t="n">
        <v>2023</v>
      </c>
      <c r="H290" s="56" t="n">
        <v>2024</v>
      </c>
      <c r="I290" s="56" t="n">
        <v>0</v>
      </c>
      <c r="J290" s="56" t="n">
        <v>0</v>
      </c>
      <c r="K290" s="56" t="n">
        <v>35</v>
      </c>
      <c r="L290" s="146" t="n">
        <v>0</v>
      </c>
      <c r="M290" s="428" t="n"/>
      <c r="N290" s="451" t="n">
        <v>0.0286</v>
      </c>
      <c r="O290" s="451" t="n">
        <v>0.1765</v>
      </c>
      <c r="P290" s="719" t="inlineStr">
        <is>
          <t>NR</t>
        </is>
      </c>
      <c r="Q290" s="405" t="inlineStr">
        <is>
          <t>NR</t>
        </is>
      </c>
      <c r="R290" s="470" t="inlineStr">
        <is>
          <t>NA</t>
        </is>
      </c>
      <c r="S290" s="405" t="inlineStr">
        <is>
          <t>NR</t>
        </is>
      </c>
      <c r="T290" s="405" t="inlineStr">
        <is>
          <t>NR</t>
        </is>
      </c>
      <c r="U290" s="445" t="n">
        <v>0</v>
      </c>
      <c r="V290" s="445" t="n"/>
      <c r="W290" s="445" t="n"/>
      <c r="X290" s="445" t="n"/>
      <c r="Y290" s="445" t="n"/>
      <c r="Z290" s="445" t="n"/>
      <c r="AA290" s="445" t="n"/>
      <c r="AB290" s="445" t="n"/>
      <c r="AC290" s="445" t="n"/>
      <c r="AD290" s="445" t="n"/>
      <c r="AE290" s="445" t="n"/>
      <c r="AF290" s="445" t="n"/>
      <c r="AG290" s="446" t="n"/>
    </row>
    <row r="291">
      <c r="A291" s="406" t="n"/>
      <c r="B291" s="718" t="n">
        <v>22</v>
      </c>
      <c r="C291" s="460" t="n">
        <v>60</v>
      </c>
      <c r="D291" s="464" t="inlineStr">
        <is>
          <t>Tchikadji Centre</t>
        </is>
      </c>
      <c r="E291" s="461" t="inlineStr">
        <is>
          <t>Safo</t>
        </is>
      </c>
      <c r="F291" s="357" t="inlineStr">
        <is>
          <t>Intervention</t>
        </is>
      </c>
      <c r="G291" s="68" t="n">
        <v>2023</v>
      </c>
      <c r="H291" s="68" t="n">
        <v>2024</v>
      </c>
      <c r="I291" s="411" t="n">
        <v>3</v>
      </c>
      <c r="J291" s="411" t="n">
        <v>1</v>
      </c>
      <c r="K291" s="68" t="n">
        <v>12</v>
      </c>
      <c r="L291" s="411" t="n">
        <v>2</v>
      </c>
      <c r="M291" s="408" t="n"/>
      <c r="N291" s="410" t="n">
        <v>0</v>
      </c>
      <c r="O291" s="410" t="n">
        <v>1</v>
      </c>
      <c r="P291" s="410" t="n">
        <v>1</v>
      </c>
      <c r="Q291" s="462" t="n">
        <v>7.9</v>
      </c>
      <c r="R291" s="462" t="n">
        <v>15.3</v>
      </c>
      <c r="S291" s="462" t="n">
        <v>5.4</v>
      </c>
      <c r="T291" s="462" t="n">
        <v>18.5</v>
      </c>
      <c r="U291" s="411" t="n">
        <v>0</v>
      </c>
      <c r="V291" s="411" t="n"/>
      <c r="W291" s="411" t="n"/>
      <c r="X291" s="411" t="n"/>
      <c r="Y291" s="411" t="n"/>
      <c r="Z291" s="411" t="n"/>
      <c r="AA291" s="411" t="n"/>
      <c r="AB291" s="411" t="n"/>
      <c r="AC291" s="411" t="n"/>
      <c r="AD291" s="411" t="n"/>
      <c r="AE291" s="411" t="n"/>
      <c r="AF291" s="411" t="n"/>
      <c r="AG291" s="412" t="n"/>
    </row>
    <row r="292">
      <c r="A292" s="426" t="n"/>
      <c r="B292" s="698" t="n"/>
      <c r="C292" s="78" t="n"/>
      <c r="D292" s="78" t="inlineStr">
        <is>
          <t>Kagara</t>
        </is>
      </c>
      <c r="E292" s="461" t="inlineStr">
        <is>
          <t>Safo</t>
        </is>
      </c>
      <c r="F292" s="78" t="inlineStr">
        <is>
          <t>Control</t>
        </is>
      </c>
      <c r="G292" s="78" t="n">
        <v>2023</v>
      </c>
      <c r="H292" s="78" t="n">
        <v>2024</v>
      </c>
      <c r="I292" s="78" t="n">
        <v>0</v>
      </c>
      <c r="J292" s="78" t="n">
        <v>0</v>
      </c>
      <c r="K292" s="78" t="n">
        <v>23</v>
      </c>
      <c r="L292" s="420" t="n">
        <v>0</v>
      </c>
      <c r="M292" s="428" t="n"/>
      <c r="N292" s="429" t="n">
        <v>0</v>
      </c>
      <c r="O292" s="430" t="n">
        <v>0.08699999999999999</v>
      </c>
      <c r="P292" s="429" t="n">
        <v>0.5</v>
      </c>
      <c r="Q292" s="497" t="inlineStr">
        <is>
          <t>NR</t>
        </is>
      </c>
      <c r="R292" s="470" t="inlineStr">
        <is>
          <t>NA</t>
        </is>
      </c>
      <c r="S292" s="497" t="inlineStr">
        <is>
          <t>NR</t>
        </is>
      </c>
      <c r="T292" s="497" t="inlineStr">
        <is>
          <t>NR</t>
        </is>
      </c>
      <c r="U292" s="432" t="n">
        <v>0</v>
      </c>
      <c r="V292" s="432" t="n"/>
      <c r="W292" s="432" t="n"/>
      <c r="X292" s="432" t="n"/>
      <c r="Y292" s="432" t="n"/>
      <c r="Z292" s="432" t="n"/>
      <c r="AA292" s="432" t="n"/>
      <c r="AB292" s="432" t="n"/>
      <c r="AC292" s="432" t="n"/>
      <c r="AD292" s="432" t="n"/>
      <c r="AE292" s="432" t="n"/>
      <c r="AF292" s="432" t="n"/>
      <c r="AG292" s="433" t="n"/>
    </row>
    <row r="293">
      <c r="A293" s="434" t="n"/>
      <c r="B293" s="717" t="n">
        <v>23</v>
      </c>
      <c r="C293" s="463" t="n">
        <v>61</v>
      </c>
      <c r="D293" s="463" t="inlineStr">
        <is>
          <t>Maradou Centre</t>
        </is>
      </c>
      <c r="E293" s="343" t="inlineStr">
        <is>
          <t>Safo</t>
        </is>
      </c>
      <c r="F293" s="343" t="inlineStr">
        <is>
          <t>Intervention</t>
        </is>
      </c>
      <c r="G293" s="87" t="n">
        <v>2023</v>
      </c>
      <c r="H293" s="87" t="n">
        <v>2024</v>
      </c>
      <c r="I293" s="439" t="n">
        <v>3</v>
      </c>
      <c r="J293" s="439" t="n">
        <v>2</v>
      </c>
      <c r="K293" s="87" t="n">
        <v>28</v>
      </c>
      <c r="L293" s="439" t="n">
        <v>2</v>
      </c>
      <c r="M293" s="408" t="n"/>
      <c r="N293" s="436" t="n">
        <v>0</v>
      </c>
      <c r="O293" s="436" t="n">
        <v>1</v>
      </c>
      <c r="P293" s="438" t="n">
        <v>0.92</v>
      </c>
      <c r="Q293" s="439" t="n">
        <v>6</v>
      </c>
      <c r="R293" s="439" t="n">
        <v>15.7</v>
      </c>
      <c r="S293" s="439" t="n">
        <v>3.1</v>
      </c>
      <c r="T293" s="439" t="n">
        <v>15.4</v>
      </c>
      <c r="U293" s="439" t="n">
        <v>0</v>
      </c>
      <c r="V293" s="439" t="n"/>
      <c r="W293" s="439" t="n"/>
      <c r="X293" s="439" t="n"/>
      <c r="Y293" s="439" t="n"/>
      <c r="Z293" s="439" t="n"/>
      <c r="AA293" s="439" t="n"/>
      <c r="AB293" s="439" t="n"/>
      <c r="AC293" s="439" t="n"/>
      <c r="AD293" s="439" t="n"/>
      <c r="AE293" s="439" t="n"/>
      <c r="AF293" s="439" t="n"/>
      <c r="AG293" s="440" t="n"/>
    </row>
    <row r="294">
      <c r="A294" s="441" t="n"/>
      <c r="B294" s="698" t="n"/>
      <c r="C294" s="56" t="n"/>
      <c r="D294" s="56" t="inlineStr">
        <is>
          <t>Riadi Quartier</t>
        </is>
      </c>
      <c r="E294" s="343" t="inlineStr">
        <is>
          <t>Safo</t>
        </is>
      </c>
      <c r="F294" s="56" t="inlineStr">
        <is>
          <t>Control</t>
        </is>
      </c>
      <c r="G294" s="56" t="n">
        <v>2023</v>
      </c>
      <c r="H294" s="56" t="n">
        <v>2024</v>
      </c>
      <c r="I294" s="56" t="n">
        <v>0</v>
      </c>
      <c r="J294" s="56" t="n">
        <v>0</v>
      </c>
      <c r="K294" s="405" t="inlineStr">
        <is>
          <t>NR</t>
        </is>
      </c>
      <c r="L294" s="405" t="inlineStr">
        <is>
          <t>NA</t>
        </is>
      </c>
      <c r="M294" s="405" t="inlineStr">
        <is>
          <t>NR</t>
        </is>
      </c>
      <c r="N294" s="719" t="inlineStr">
        <is>
          <t>NR</t>
        </is>
      </c>
      <c r="O294" s="720" t="inlineStr">
        <is>
          <t>NR</t>
        </is>
      </c>
      <c r="P294" s="720" t="inlineStr">
        <is>
          <t>NR</t>
        </is>
      </c>
      <c r="Q294" s="405" t="inlineStr">
        <is>
          <t>NR</t>
        </is>
      </c>
      <c r="R294" s="470" t="inlineStr">
        <is>
          <t>NA</t>
        </is>
      </c>
      <c r="S294" s="405" t="inlineStr">
        <is>
          <t>NR</t>
        </is>
      </c>
      <c r="T294" s="405" t="inlineStr">
        <is>
          <t>NR</t>
        </is>
      </c>
      <c r="U294" s="445" t="n">
        <v>0</v>
      </c>
      <c r="V294" s="445" t="n"/>
      <c r="W294" s="445" t="n"/>
      <c r="X294" s="445" t="n"/>
      <c r="Y294" s="445" t="n"/>
      <c r="Z294" s="445" t="n"/>
      <c r="AA294" s="445" t="n"/>
      <c r="AB294" s="445" t="n"/>
      <c r="AC294" s="445" t="n"/>
      <c r="AD294" s="445" t="n"/>
      <c r="AE294" s="445" t="n"/>
      <c r="AF294" s="445" t="n"/>
      <c r="AG294" s="446" t="n"/>
    </row>
    <row r="295">
      <c r="A295" s="406" t="n"/>
      <c r="B295" s="718" t="n">
        <v>24</v>
      </c>
      <c r="C295" s="455" t="n">
        <v>88</v>
      </c>
      <c r="D295" s="455" t="inlineStr">
        <is>
          <t>Louloubi</t>
        </is>
      </c>
      <c r="E295" s="461" t="inlineStr">
        <is>
          <t>Sae Saboua</t>
        </is>
      </c>
      <c r="F295" s="357" t="inlineStr">
        <is>
          <t>Intervention</t>
        </is>
      </c>
      <c r="G295" s="68" t="n">
        <v>2023</v>
      </c>
      <c r="H295" s="68" t="n">
        <v>2024</v>
      </c>
      <c r="I295" s="411" t="n">
        <v>3</v>
      </c>
      <c r="J295" s="411" t="n">
        <v>2</v>
      </c>
      <c r="K295" s="68" t="n">
        <v>31</v>
      </c>
      <c r="L295" s="411" t="n">
        <v>2</v>
      </c>
      <c r="M295" s="408" t="n"/>
      <c r="N295" s="410" t="n">
        <v>0</v>
      </c>
      <c r="O295" s="409">
        <f>30/31</f>
        <v/>
      </c>
      <c r="P295" s="410" t="n">
        <v>1</v>
      </c>
      <c r="Q295" s="411" t="n">
        <v>4.2</v>
      </c>
      <c r="R295" s="411" t="n">
        <v>14.6</v>
      </c>
      <c r="S295" s="411" t="n">
        <v>4.4</v>
      </c>
      <c r="T295" s="411" t="n">
        <v>13.8</v>
      </c>
      <c r="U295" s="411" t="n">
        <v>2</v>
      </c>
      <c r="V295" s="411" t="n"/>
      <c r="W295" s="411" t="n"/>
      <c r="X295" s="411" t="n"/>
      <c r="Y295" s="411" t="n"/>
      <c r="Z295" s="411" t="n"/>
      <c r="AA295" s="411" t="n"/>
      <c r="AB295" s="411" t="n"/>
      <c r="AC295" s="411" t="n"/>
      <c r="AD295" s="411" t="n"/>
      <c r="AE295" s="411" t="n"/>
      <c r="AF295" s="411" t="n"/>
      <c r="AG295" s="412" t="n"/>
    </row>
    <row r="296">
      <c r="A296" s="426" t="n"/>
      <c r="B296" s="698" t="n"/>
      <c r="C296" s="78" t="n"/>
      <c r="D296" s="78" t="inlineStr">
        <is>
          <t>Karambi Sofoua</t>
        </is>
      </c>
      <c r="E296" s="461" t="inlineStr">
        <is>
          <t>Sae Saboua</t>
        </is>
      </c>
      <c r="F296" s="78" t="inlineStr">
        <is>
          <t>Control</t>
        </is>
      </c>
      <c r="G296" s="78" t="n">
        <v>2023</v>
      </c>
      <c r="H296" s="78" t="n">
        <v>2024</v>
      </c>
      <c r="I296" s="78" t="n">
        <v>0</v>
      </c>
      <c r="J296" s="78" t="n">
        <v>0</v>
      </c>
      <c r="K296" s="78" t="n">
        <v>10</v>
      </c>
      <c r="L296" s="420" t="n">
        <v>0</v>
      </c>
      <c r="M296" s="428" t="n"/>
      <c r="N296" s="429" t="n">
        <v>0</v>
      </c>
      <c r="O296" s="429" t="n">
        <v>0.5</v>
      </c>
      <c r="P296" s="429" t="n">
        <v>0.8</v>
      </c>
      <c r="Q296" s="497" t="inlineStr">
        <is>
          <t>NR</t>
        </is>
      </c>
      <c r="R296" s="470" t="inlineStr">
        <is>
          <t>NA</t>
        </is>
      </c>
      <c r="S296" s="497" t="inlineStr">
        <is>
          <t>NR</t>
        </is>
      </c>
      <c r="T296" s="497" t="inlineStr">
        <is>
          <t>NR</t>
        </is>
      </c>
      <c r="U296" s="432" t="n">
        <v>0</v>
      </c>
      <c r="V296" s="432" t="n"/>
      <c r="W296" s="432" t="n"/>
      <c r="X296" s="432" t="n"/>
      <c r="Y296" s="432" t="n"/>
      <c r="Z296" s="432" t="n"/>
      <c r="AA296" s="432" t="n"/>
      <c r="AB296" s="432" t="n"/>
      <c r="AC296" s="432" t="n"/>
      <c r="AD296" s="432" t="n"/>
      <c r="AE296" s="432" t="n"/>
      <c r="AF296" s="432" t="n"/>
      <c r="AG296" s="433" t="n"/>
    </row>
    <row r="297">
      <c r="A297" s="434" t="n"/>
      <c r="B297" s="717" t="n">
        <v>25</v>
      </c>
      <c r="C297" s="463" t="n">
        <v>90</v>
      </c>
      <c r="D297" s="463" t="inlineStr">
        <is>
          <t xml:space="preserve">Kadata </t>
        </is>
      </c>
      <c r="E297" s="343" t="inlineStr">
        <is>
          <t>Sae Saboua</t>
        </is>
      </c>
      <c r="F297" s="343" t="inlineStr">
        <is>
          <t>Intervention</t>
        </is>
      </c>
      <c r="G297" s="87" t="n">
        <v>2023</v>
      </c>
      <c r="H297" s="87" t="n">
        <v>2024</v>
      </c>
      <c r="I297" s="439" t="n">
        <v>3</v>
      </c>
      <c r="J297" s="439" t="n">
        <v>2</v>
      </c>
      <c r="K297" s="87" t="n">
        <v>25</v>
      </c>
      <c r="L297" s="439" t="n">
        <v>2</v>
      </c>
      <c r="M297" s="408" t="n"/>
      <c r="N297" s="436" t="n">
        <v>0</v>
      </c>
      <c r="O297" s="436" t="n">
        <v>1</v>
      </c>
      <c r="P297" s="438" t="n">
        <v>1</v>
      </c>
      <c r="Q297" s="439" t="n">
        <v>4.7</v>
      </c>
      <c r="R297" s="439" t="n">
        <v>13.6</v>
      </c>
      <c r="S297" s="439" t="n">
        <v>4.7</v>
      </c>
      <c r="T297" s="439" t="n">
        <v>13.5</v>
      </c>
      <c r="U297" s="439" t="n">
        <v>2</v>
      </c>
      <c r="V297" s="439" t="n"/>
      <c r="W297" s="439" t="n"/>
      <c r="X297" s="439" t="n"/>
      <c r="Y297" s="439" t="n"/>
      <c r="Z297" s="439" t="n"/>
      <c r="AA297" s="439" t="n"/>
      <c r="AB297" s="439" t="n"/>
      <c r="AC297" s="439" t="n"/>
      <c r="AD297" s="439" t="n"/>
      <c r="AE297" s="439" t="n"/>
      <c r="AF297" s="439" t="n"/>
      <c r="AG297" s="440" t="n"/>
    </row>
    <row r="298">
      <c r="A298" s="441" t="n"/>
      <c r="B298" s="698" t="n"/>
      <c r="C298" s="56" t="n"/>
      <c r="D298" s="56" t="inlineStr">
        <is>
          <t>Mountarou 1</t>
        </is>
      </c>
      <c r="E298" s="343" t="inlineStr">
        <is>
          <t>Sae Saboua</t>
        </is>
      </c>
      <c r="F298" s="56" t="inlineStr">
        <is>
          <t>Control</t>
        </is>
      </c>
      <c r="G298" s="56" t="n">
        <v>2023</v>
      </c>
      <c r="H298" s="56" t="n">
        <v>2024</v>
      </c>
      <c r="I298" s="56" t="n">
        <v>0</v>
      </c>
      <c r="J298" s="56" t="n">
        <v>0</v>
      </c>
      <c r="K298" s="405" t="inlineStr">
        <is>
          <t>NR</t>
        </is>
      </c>
      <c r="L298" s="405" t="inlineStr">
        <is>
          <t>NA</t>
        </is>
      </c>
      <c r="M298" s="405" t="inlineStr">
        <is>
          <t>NR</t>
        </is>
      </c>
      <c r="N298" s="719" t="inlineStr">
        <is>
          <t>NR</t>
        </is>
      </c>
      <c r="O298" s="720" t="inlineStr">
        <is>
          <t>NR</t>
        </is>
      </c>
      <c r="P298" s="720" t="inlineStr">
        <is>
          <t>NR</t>
        </is>
      </c>
      <c r="Q298" s="405" t="inlineStr">
        <is>
          <t>NR</t>
        </is>
      </c>
      <c r="R298" s="470" t="inlineStr">
        <is>
          <t>NA</t>
        </is>
      </c>
      <c r="S298" s="405" t="inlineStr">
        <is>
          <t>NR</t>
        </is>
      </c>
      <c r="T298" s="405" t="inlineStr">
        <is>
          <t>NR</t>
        </is>
      </c>
      <c r="U298" s="445" t="n">
        <v>2</v>
      </c>
      <c r="V298" s="445" t="n"/>
      <c r="W298" s="445" t="n"/>
      <c r="X298" s="445" t="n"/>
      <c r="Y298" s="445" t="n"/>
      <c r="Z298" s="445" t="n"/>
      <c r="AA298" s="445" t="n"/>
      <c r="AB298" s="445" t="n"/>
      <c r="AC298" s="445" t="n"/>
      <c r="AD298" s="445" t="n"/>
      <c r="AE298" s="445" t="n"/>
      <c r="AF298" s="445" t="n"/>
      <c r="AG298" s="446" t="n"/>
    </row>
    <row r="299">
      <c r="A299" s="406" t="n"/>
      <c r="B299" s="718" t="n">
        <v>26</v>
      </c>
      <c r="C299" s="464" t="n">
        <v>92</v>
      </c>
      <c r="D299" s="464" t="inlineStr">
        <is>
          <t xml:space="preserve">Barouana </t>
        </is>
      </c>
      <c r="E299" s="357" t="inlineStr">
        <is>
          <t>Sae Saboua</t>
        </is>
      </c>
      <c r="F299" s="357" t="inlineStr">
        <is>
          <t>Intervention</t>
        </is>
      </c>
      <c r="G299" s="68" t="n">
        <v>2023</v>
      </c>
      <c r="H299" s="68" t="n">
        <v>2024</v>
      </c>
      <c r="I299" s="411" t="n">
        <v>3</v>
      </c>
      <c r="J299" s="411" t="n">
        <v>2</v>
      </c>
      <c r="K299" s="68" t="n">
        <v>27</v>
      </c>
      <c r="L299" s="411" t="n">
        <v>2</v>
      </c>
      <c r="M299" s="408" t="n"/>
      <c r="N299" s="409">
        <f>1/27</f>
        <v/>
      </c>
      <c r="O299" s="409">
        <f>26/27</f>
        <v/>
      </c>
      <c r="P299" s="410" t="n">
        <v>1</v>
      </c>
      <c r="Q299" s="411" t="n">
        <v>5</v>
      </c>
      <c r="R299" s="411" t="n">
        <v>13.3</v>
      </c>
      <c r="S299" s="411" t="n">
        <v>3.1</v>
      </c>
      <c r="T299" s="411" t="n">
        <v>15.2</v>
      </c>
      <c r="U299" s="411" t="n">
        <v>1</v>
      </c>
      <c r="V299" s="411" t="n"/>
      <c r="W299" s="411" t="n"/>
      <c r="X299" s="411" t="n"/>
      <c r="Y299" s="411" t="n"/>
      <c r="Z299" s="411" t="n"/>
      <c r="AA299" s="411" t="n"/>
      <c r="AB299" s="411" t="n"/>
      <c r="AC299" s="411" t="n"/>
      <c r="AD299" s="411" t="n"/>
      <c r="AE299" s="411" t="n"/>
      <c r="AF299" s="411" t="n"/>
      <c r="AG299" s="412" t="n"/>
    </row>
    <row r="300">
      <c r="A300" s="426" t="n"/>
      <c r="B300" s="698" t="n"/>
      <c r="C300" s="78" t="n"/>
      <c r="D300" s="78" t="inlineStr">
        <is>
          <t>Mata Milki</t>
        </is>
      </c>
      <c r="E300" s="357" t="inlineStr">
        <is>
          <t>Sae Saboua</t>
        </is>
      </c>
      <c r="F300" s="78" t="inlineStr">
        <is>
          <t>Control</t>
        </is>
      </c>
      <c r="G300" s="78" t="n">
        <v>2023</v>
      </c>
      <c r="H300" s="78" t="n">
        <v>2024</v>
      </c>
      <c r="I300" s="78" t="n">
        <v>0</v>
      </c>
      <c r="J300" s="78" t="n">
        <v>0</v>
      </c>
      <c r="K300" s="78" t="n">
        <v>49</v>
      </c>
      <c r="L300" s="420" t="n">
        <v>0</v>
      </c>
      <c r="M300" s="428" t="n"/>
      <c r="N300" s="429" t="n">
        <v>0</v>
      </c>
      <c r="O300" s="430" t="n">
        <v>0.449</v>
      </c>
      <c r="P300" s="429" t="n">
        <v>0.95</v>
      </c>
      <c r="Q300" s="497" t="inlineStr">
        <is>
          <t>NR</t>
        </is>
      </c>
      <c r="R300" s="470" t="inlineStr">
        <is>
          <t>NA</t>
        </is>
      </c>
      <c r="S300" s="497" t="inlineStr">
        <is>
          <t>NR</t>
        </is>
      </c>
      <c r="T300" s="497" t="inlineStr">
        <is>
          <t>NR</t>
        </is>
      </c>
      <c r="U300" s="432" t="n">
        <v>0</v>
      </c>
      <c r="V300" s="432" t="n"/>
      <c r="W300" s="432" t="n"/>
      <c r="X300" s="432" t="n"/>
      <c r="Y300" s="432" t="n"/>
      <c r="Z300" s="432" t="n"/>
      <c r="AA300" s="432" t="n"/>
      <c r="AB300" s="432" t="n"/>
      <c r="AC300" s="432" t="n"/>
      <c r="AD300" s="432" t="n"/>
      <c r="AE300" s="432" t="n"/>
      <c r="AF300" s="432" t="n"/>
      <c r="AG300" s="433" t="n"/>
    </row>
    <row r="301">
      <c r="A301" s="434" t="n"/>
      <c r="B301" s="717" t="n">
        <v>27</v>
      </c>
      <c r="C301" s="87" t="n">
        <v>94</v>
      </c>
      <c r="D301" s="87" t="inlineStr">
        <is>
          <t>Dan Gamji</t>
        </is>
      </c>
      <c r="E301" s="343" t="inlineStr">
        <is>
          <t>Sae Saboua</t>
        </is>
      </c>
      <c r="F301" s="343" t="inlineStr">
        <is>
          <t>Intervention</t>
        </is>
      </c>
      <c r="G301" s="87" t="n">
        <v>2023</v>
      </c>
      <c r="H301" s="87" t="n">
        <v>2024</v>
      </c>
      <c r="I301" s="439" t="n">
        <v>2</v>
      </c>
      <c r="J301" s="439" t="n">
        <v>4</v>
      </c>
      <c r="K301" s="87" t="n">
        <v>51</v>
      </c>
      <c r="L301" s="439" t="n">
        <v>2</v>
      </c>
      <c r="M301" s="408" t="n"/>
      <c r="N301" s="436" t="n">
        <v>0</v>
      </c>
      <c r="O301" s="436" t="n">
        <v>1</v>
      </c>
      <c r="P301" s="438" t="n">
        <v>1</v>
      </c>
      <c r="Q301" s="439" t="n">
        <v>5.5</v>
      </c>
      <c r="R301" s="439" t="n">
        <v>16</v>
      </c>
      <c r="S301" s="439" t="n">
        <v>2.8</v>
      </c>
      <c r="T301" s="439" t="n">
        <v>15.6</v>
      </c>
      <c r="U301" s="439" t="n">
        <v>2</v>
      </c>
      <c r="V301" s="439" t="n"/>
      <c r="W301" s="439" t="n"/>
      <c r="X301" s="439" t="n"/>
      <c r="Y301" s="439" t="n"/>
      <c r="Z301" s="439" t="n"/>
      <c r="AA301" s="439" t="n"/>
      <c r="AB301" s="439" t="n"/>
      <c r="AC301" s="439" t="n"/>
      <c r="AD301" s="439" t="n"/>
      <c r="AE301" s="439" t="n"/>
      <c r="AF301" s="439" t="n"/>
      <c r="AG301" s="440" t="n"/>
    </row>
    <row r="302">
      <c r="A302" s="441" t="n"/>
      <c r="B302" s="698" t="n"/>
      <c r="C302" s="56" t="n"/>
      <c r="D302" s="56" t="inlineStr">
        <is>
          <t>Dan Toumbi</t>
        </is>
      </c>
      <c r="E302" s="343" t="inlineStr">
        <is>
          <t>Sae Saboua</t>
        </is>
      </c>
      <c r="F302" s="56" t="inlineStr">
        <is>
          <t>Control</t>
        </is>
      </c>
      <c r="G302" s="56" t="n">
        <v>2023</v>
      </c>
      <c r="H302" s="56" t="n">
        <v>2024</v>
      </c>
      <c r="I302" s="56" t="n">
        <v>0</v>
      </c>
      <c r="J302" s="56" t="n">
        <v>0</v>
      </c>
      <c r="K302" s="405" t="inlineStr">
        <is>
          <t>NR</t>
        </is>
      </c>
      <c r="L302" s="405" t="inlineStr">
        <is>
          <t>NA</t>
        </is>
      </c>
      <c r="M302" s="405" t="inlineStr">
        <is>
          <t>NR</t>
        </is>
      </c>
      <c r="N302" s="719" t="inlineStr">
        <is>
          <t>NR</t>
        </is>
      </c>
      <c r="O302" s="720" t="inlineStr">
        <is>
          <t>NR</t>
        </is>
      </c>
      <c r="P302" s="720" t="inlineStr">
        <is>
          <t>NR</t>
        </is>
      </c>
      <c r="Q302" s="405" t="inlineStr">
        <is>
          <t>NR</t>
        </is>
      </c>
      <c r="R302" s="470" t="inlineStr">
        <is>
          <t>NA</t>
        </is>
      </c>
      <c r="S302" s="405" t="inlineStr">
        <is>
          <t>NR</t>
        </is>
      </c>
      <c r="T302" s="405" t="inlineStr">
        <is>
          <t>NR</t>
        </is>
      </c>
      <c r="U302" s="445" t="n">
        <v>0</v>
      </c>
      <c r="V302" s="445" t="n"/>
      <c r="W302" s="445" t="n"/>
      <c r="X302" s="445" t="n"/>
      <c r="Y302" s="445" t="n"/>
      <c r="Z302" s="445" t="n"/>
      <c r="AA302" s="445" t="n"/>
      <c r="AB302" s="445" t="n"/>
      <c r="AC302" s="445" t="n"/>
      <c r="AD302" s="445" t="n"/>
      <c r="AE302" s="445" t="n"/>
      <c r="AF302" s="445" t="n"/>
      <c r="AG302" s="446" t="n"/>
    </row>
    <row r="303">
      <c r="A303" s="406" t="n"/>
      <c r="B303" s="718" t="n">
        <v>28</v>
      </c>
      <c r="C303" s="68" t="n">
        <v>95</v>
      </c>
      <c r="D303" s="68" t="inlineStr">
        <is>
          <t>Kadigaoua</t>
        </is>
      </c>
      <c r="E303" s="357" t="inlineStr">
        <is>
          <t>Sae Saboua</t>
        </is>
      </c>
      <c r="F303" s="357" t="inlineStr">
        <is>
          <t>Intervention</t>
        </is>
      </c>
      <c r="G303" s="68" t="n">
        <v>2023</v>
      </c>
      <c r="H303" s="68" t="n">
        <v>2024</v>
      </c>
      <c r="I303" s="411" t="n">
        <v>2</v>
      </c>
      <c r="J303" s="411" t="n">
        <v>1</v>
      </c>
      <c r="K303" s="68" t="n">
        <v>17</v>
      </c>
      <c r="L303" s="411" t="n">
        <v>2</v>
      </c>
      <c r="M303" s="408" t="n"/>
      <c r="N303" s="409">
        <f>1/17</f>
        <v/>
      </c>
      <c r="O303" s="409">
        <f>16/17</f>
        <v/>
      </c>
      <c r="P303" s="410" t="n">
        <v>1</v>
      </c>
      <c r="Q303" s="411" t="n">
        <v>8</v>
      </c>
      <c r="R303" s="411" t="n">
        <v>15.7</v>
      </c>
      <c r="S303" s="411" t="n">
        <v>6.2</v>
      </c>
      <c r="T303" s="411" t="n">
        <v>15.4</v>
      </c>
      <c r="U303" s="411" t="n">
        <v>0</v>
      </c>
      <c r="V303" s="411" t="n"/>
      <c r="W303" s="411" t="n"/>
      <c r="X303" s="411" t="n"/>
      <c r="Y303" s="411" t="n"/>
      <c r="Z303" s="411" t="n"/>
      <c r="AA303" s="411" t="n"/>
      <c r="AB303" s="411" t="n"/>
      <c r="AC303" s="411" t="n"/>
      <c r="AD303" s="411" t="n"/>
      <c r="AE303" s="411" t="n"/>
      <c r="AF303" s="411" t="n"/>
      <c r="AG303" s="412" t="n"/>
    </row>
    <row r="304">
      <c r="A304" s="426" t="n"/>
      <c r="B304" s="698" t="n"/>
      <c r="C304" s="78" t="n"/>
      <c r="D304" s="382" t="inlineStr">
        <is>
          <t xml:space="preserve">Tsanna Publique </t>
        </is>
      </c>
      <c r="E304" s="357" t="inlineStr">
        <is>
          <t>Sae Saboua</t>
        </is>
      </c>
      <c r="F304" s="78" t="inlineStr">
        <is>
          <t>Control</t>
        </is>
      </c>
      <c r="G304" s="78" t="n">
        <v>2023</v>
      </c>
      <c r="H304" s="78" t="n">
        <v>2024</v>
      </c>
      <c r="I304" s="78" t="n">
        <v>0</v>
      </c>
      <c r="J304" s="78" t="n">
        <v>0</v>
      </c>
      <c r="K304" s="423" t="n">
        <v>23</v>
      </c>
      <c r="L304" s="420" t="n">
        <v>0</v>
      </c>
      <c r="M304" s="428" t="n"/>
      <c r="N304" s="720" t="inlineStr">
        <is>
          <t>NR</t>
        </is>
      </c>
      <c r="O304" s="720" t="inlineStr">
        <is>
          <t>NR</t>
        </is>
      </c>
      <c r="P304" s="429" t="n">
        <v>1</v>
      </c>
      <c r="Q304" s="497" t="inlineStr">
        <is>
          <t>NR</t>
        </is>
      </c>
      <c r="R304" s="470" t="inlineStr">
        <is>
          <t>NA</t>
        </is>
      </c>
      <c r="S304" s="497" t="inlineStr">
        <is>
          <t>NR</t>
        </is>
      </c>
      <c r="T304" s="497" t="inlineStr">
        <is>
          <t>NR</t>
        </is>
      </c>
      <c r="U304" s="432" t="n">
        <v>0</v>
      </c>
      <c r="V304" s="432" t="n"/>
      <c r="W304" s="432" t="n"/>
      <c r="X304" s="432" t="n"/>
      <c r="Y304" s="432" t="n"/>
      <c r="Z304" s="432" t="n"/>
      <c r="AA304" s="432" t="n"/>
      <c r="AB304" s="432" t="n"/>
      <c r="AC304" s="432" t="n"/>
      <c r="AD304" s="432" t="n"/>
      <c r="AE304" s="432" t="n"/>
      <c r="AF304" s="432" t="n"/>
      <c r="AG304" s="433" t="n"/>
    </row>
    <row r="305">
      <c r="A305" s="434" t="n"/>
      <c r="B305" s="717" t="n">
        <v>29</v>
      </c>
      <c r="C305" s="87" t="n">
        <v>96</v>
      </c>
      <c r="D305" s="87" t="inlineStr">
        <is>
          <t>Kountarou Mai Rairai</t>
        </is>
      </c>
      <c r="E305" s="343" t="inlineStr">
        <is>
          <t>Sae Saboua</t>
        </is>
      </c>
      <c r="F305" s="343" t="inlineStr">
        <is>
          <t>Intervention</t>
        </is>
      </c>
      <c r="G305" s="87" t="n">
        <v>2023</v>
      </c>
      <c r="H305" s="87" t="n">
        <v>2024</v>
      </c>
      <c r="I305" s="439" t="n">
        <v>2</v>
      </c>
      <c r="J305" s="439" t="n">
        <v>1</v>
      </c>
      <c r="K305" s="87" t="n">
        <v>18</v>
      </c>
      <c r="L305" s="439" t="n">
        <v>2</v>
      </c>
      <c r="M305" s="408" t="n"/>
      <c r="N305" s="436" t="n">
        <v>0</v>
      </c>
      <c r="O305" s="436" t="n">
        <v>1</v>
      </c>
      <c r="P305" s="438" t="n">
        <v>1</v>
      </c>
      <c r="Q305" s="439" t="n">
        <v>6.9</v>
      </c>
      <c r="R305" s="439" t="n">
        <v>14</v>
      </c>
      <c r="S305" s="439" t="n">
        <v>5.9</v>
      </c>
      <c r="T305" s="439" t="n">
        <v>14.5</v>
      </c>
      <c r="U305" s="439" t="n">
        <v>1</v>
      </c>
      <c r="V305" s="439" t="n"/>
      <c r="W305" s="439" t="n"/>
      <c r="X305" s="439" t="n"/>
      <c r="Y305" s="439" t="n"/>
      <c r="Z305" s="439" t="n"/>
      <c r="AA305" s="439" t="n"/>
      <c r="AB305" s="439" t="n"/>
      <c r="AC305" s="439" t="n"/>
      <c r="AD305" s="439" t="n"/>
      <c r="AE305" s="439" t="n"/>
      <c r="AF305" s="439" t="n"/>
      <c r="AG305" s="440" t="n"/>
    </row>
    <row r="306">
      <c r="A306" s="441" t="n"/>
      <c r="B306" s="698" t="n"/>
      <c r="C306" s="56" t="n"/>
      <c r="D306" s="382" t="inlineStr">
        <is>
          <t>Touzza</t>
        </is>
      </c>
      <c r="E306" s="343" t="inlineStr">
        <is>
          <t>Sae Saboua</t>
        </is>
      </c>
      <c r="F306" s="56" t="inlineStr">
        <is>
          <t>Control</t>
        </is>
      </c>
      <c r="G306" s="56" t="n">
        <v>2023</v>
      </c>
      <c r="H306" s="56" t="n">
        <v>2024</v>
      </c>
      <c r="I306" s="56" t="n">
        <v>0</v>
      </c>
      <c r="J306" s="56" t="n">
        <v>0</v>
      </c>
      <c r="K306" s="401" t="n">
        <v>19</v>
      </c>
      <c r="L306" s="146" t="n">
        <v>0</v>
      </c>
      <c r="M306" s="428" t="n"/>
      <c r="N306" s="720" t="inlineStr">
        <is>
          <t>NR</t>
        </is>
      </c>
      <c r="O306" s="720" t="inlineStr">
        <is>
          <t>NR</t>
        </is>
      </c>
      <c r="P306" s="458" t="n">
        <v>1</v>
      </c>
      <c r="Q306" s="405" t="inlineStr">
        <is>
          <t>NR</t>
        </is>
      </c>
      <c r="R306" s="470" t="inlineStr">
        <is>
          <t>NA</t>
        </is>
      </c>
      <c r="S306" s="405" t="inlineStr">
        <is>
          <t>NR</t>
        </is>
      </c>
      <c r="T306" s="405" t="inlineStr">
        <is>
          <t>NR</t>
        </is>
      </c>
      <c r="U306" s="445" t="n">
        <v>1</v>
      </c>
      <c r="V306" s="445" t="n"/>
      <c r="W306" s="445" t="n"/>
      <c r="X306" s="445" t="n"/>
      <c r="Y306" s="445" t="n"/>
      <c r="Z306" s="445" t="n"/>
      <c r="AA306" s="445" t="n"/>
      <c r="AB306" s="445" t="n"/>
      <c r="AC306" s="445" t="n"/>
      <c r="AD306" s="445" t="n"/>
      <c r="AE306" s="445" t="n"/>
      <c r="AF306" s="445" t="n"/>
      <c r="AG306" s="446" t="n"/>
    </row>
    <row r="307">
      <c r="A307" s="406" t="n"/>
      <c r="B307" s="718" t="n">
        <v>30</v>
      </c>
      <c r="C307" s="68" t="n">
        <v>97</v>
      </c>
      <c r="D307" s="68" t="inlineStr">
        <is>
          <t>Mallamai Saboua</t>
        </is>
      </c>
      <c r="E307" s="343" t="inlineStr">
        <is>
          <t>Sae Saboua</t>
        </is>
      </c>
      <c r="F307" s="357" t="inlineStr">
        <is>
          <t>Intervention</t>
        </is>
      </c>
      <c r="G307" s="68" t="n">
        <v>2023</v>
      </c>
      <c r="H307" s="68" t="n">
        <v>2024</v>
      </c>
      <c r="I307" s="411" t="n">
        <v>2</v>
      </c>
      <c r="J307" s="411" t="n">
        <v>1</v>
      </c>
      <c r="K307" s="68" t="n">
        <v>22</v>
      </c>
      <c r="L307" s="411" t="n">
        <v>2</v>
      </c>
      <c r="M307" s="408" t="n"/>
      <c r="N307" s="410" t="n">
        <v>0</v>
      </c>
      <c r="O307" s="410" t="n">
        <v>1</v>
      </c>
      <c r="P307" s="410" t="n">
        <v>1</v>
      </c>
      <c r="Q307" s="411" t="n">
        <v>4.3</v>
      </c>
      <c r="R307" s="411" t="n">
        <v>15.4</v>
      </c>
      <c r="S307" s="411" t="n">
        <v>5.1</v>
      </c>
      <c r="T307" s="411" t="n">
        <v>15.3</v>
      </c>
      <c r="U307" s="411" t="n">
        <v>1</v>
      </c>
      <c r="V307" s="411" t="n"/>
      <c r="W307" s="411" t="n"/>
      <c r="X307" s="411" t="n"/>
      <c r="Y307" s="411" t="n"/>
      <c r="Z307" s="411" t="n"/>
      <c r="AA307" s="411" t="n"/>
      <c r="AB307" s="411" t="n"/>
      <c r="AC307" s="411" t="n"/>
      <c r="AD307" s="411" t="n"/>
      <c r="AE307" s="411" t="n"/>
      <c r="AF307" s="411" t="n"/>
      <c r="AG307" s="412" t="n"/>
    </row>
    <row r="308">
      <c r="A308" s="426" t="n"/>
      <c r="B308" s="698" t="n"/>
      <c r="C308" s="78" t="n"/>
      <c r="D308" s="497" t="inlineStr">
        <is>
          <t>NR</t>
        </is>
      </c>
      <c r="E308" s="343" t="inlineStr">
        <is>
          <t>Sae Saboua</t>
        </is>
      </c>
      <c r="F308" s="78" t="inlineStr">
        <is>
          <t>Control</t>
        </is>
      </c>
      <c r="G308" s="78" t="n">
        <v>2023</v>
      </c>
      <c r="H308" s="78" t="n">
        <v>2024</v>
      </c>
      <c r="I308" s="78" t="n">
        <v>0</v>
      </c>
      <c r="J308" s="78" t="n">
        <v>0</v>
      </c>
      <c r="K308" s="497" t="inlineStr">
        <is>
          <t>NR</t>
        </is>
      </c>
      <c r="L308" s="420" t="n">
        <v>0</v>
      </c>
      <c r="M308" s="428" t="n"/>
      <c r="N308" s="468" t="inlineStr">
        <is>
          <t>NA</t>
        </is>
      </c>
      <c r="O308" s="468" t="inlineStr">
        <is>
          <t>NA</t>
        </is>
      </c>
      <c r="P308" s="468" t="inlineStr">
        <is>
          <t>NA</t>
        </is>
      </c>
      <c r="Q308" s="497" t="inlineStr">
        <is>
          <t>NR</t>
        </is>
      </c>
      <c r="R308" s="470" t="inlineStr">
        <is>
          <t>NA</t>
        </is>
      </c>
      <c r="S308" s="497" t="inlineStr">
        <is>
          <t>NR</t>
        </is>
      </c>
      <c r="T308" s="497" t="inlineStr">
        <is>
          <t>NR</t>
        </is>
      </c>
      <c r="U308" s="432" t="n">
        <v>0</v>
      </c>
      <c r="V308" s="432" t="n"/>
      <c r="W308" s="432" t="n"/>
      <c r="X308" s="432" t="n"/>
      <c r="Y308" s="432" t="n"/>
      <c r="Z308" s="432" t="n"/>
      <c r="AA308" s="432" t="n"/>
      <c r="AB308" s="432" t="n"/>
      <c r="AC308" s="432" t="n"/>
      <c r="AD308" s="432" t="n"/>
      <c r="AE308" s="432" t="n"/>
      <c r="AF308" s="432" t="n"/>
      <c r="AG308" s="433" t="n"/>
    </row>
    <row r="309">
      <c r="A309" s="434" t="n"/>
      <c r="B309" s="717" t="n">
        <v>31</v>
      </c>
      <c r="C309" s="87" t="n">
        <v>98</v>
      </c>
      <c r="D309" s="87" t="inlineStr">
        <is>
          <t>Mountarou Bermo</t>
        </is>
      </c>
      <c r="E309" s="343" t="inlineStr">
        <is>
          <t>Sae Saboua</t>
        </is>
      </c>
      <c r="F309" s="343" t="inlineStr">
        <is>
          <t>Intervention</t>
        </is>
      </c>
      <c r="G309" s="87" t="n">
        <v>2023</v>
      </c>
      <c r="H309" s="87" t="n">
        <v>2024</v>
      </c>
      <c r="I309" s="439" t="n">
        <v>1</v>
      </c>
      <c r="J309" s="439" t="n">
        <v>1</v>
      </c>
      <c r="K309" s="87" t="n">
        <v>17</v>
      </c>
      <c r="L309" s="439" t="n">
        <v>2</v>
      </c>
      <c r="M309" s="408" t="n"/>
      <c r="N309" s="436" t="n">
        <v>0</v>
      </c>
      <c r="O309" s="436" t="n">
        <v>1</v>
      </c>
      <c r="P309" s="438" t="n">
        <v>1</v>
      </c>
      <c r="Q309" s="439" t="n">
        <v>9.1</v>
      </c>
      <c r="R309" s="439" t="n">
        <v>15.5</v>
      </c>
      <c r="S309" s="439" t="n">
        <v>8.1</v>
      </c>
      <c r="T309" s="439" t="n">
        <v>15.4</v>
      </c>
      <c r="U309" s="439" t="n">
        <v>2</v>
      </c>
      <c r="V309" s="439" t="n"/>
      <c r="W309" s="439" t="n"/>
      <c r="X309" s="439" t="n"/>
      <c r="Y309" s="439" t="n"/>
      <c r="Z309" s="439" t="n"/>
      <c r="AA309" s="439" t="n"/>
      <c r="AB309" s="439" t="n"/>
      <c r="AC309" s="439" t="n"/>
      <c r="AD309" s="439" t="n"/>
      <c r="AE309" s="439" t="n"/>
      <c r="AF309" s="439" t="n"/>
      <c r="AG309" s="440" t="n"/>
    </row>
    <row r="310">
      <c r="A310" s="441" t="n"/>
      <c r="B310" s="698" t="n"/>
      <c r="C310" s="56" t="n"/>
      <c r="D310" s="382" t="inlineStr">
        <is>
          <t>Alssaoua</t>
        </is>
      </c>
      <c r="E310" s="343" t="inlineStr">
        <is>
          <t>Sae Saboua</t>
        </is>
      </c>
      <c r="F310" s="56" t="inlineStr">
        <is>
          <t>Control</t>
        </is>
      </c>
      <c r="G310" s="56" t="n">
        <v>2023</v>
      </c>
      <c r="H310" s="56" t="n">
        <v>2024</v>
      </c>
      <c r="I310" s="56" t="n">
        <v>0</v>
      </c>
      <c r="J310" s="56" t="n">
        <v>0</v>
      </c>
      <c r="K310" s="401" t="n">
        <v>12</v>
      </c>
      <c r="L310" s="146" t="n">
        <v>0</v>
      </c>
      <c r="M310" s="428" t="n"/>
      <c r="N310" s="720" t="inlineStr">
        <is>
          <t>NR</t>
        </is>
      </c>
      <c r="O310" s="720" t="inlineStr">
        <is>
          <t>NR</t>
        </is>
      </c>
      <c r="P310" s="458" t="n">
        <v>0.8</v>
      </c>
      <c r="Q310" s="405" t="inlineStr">
        <is>
          <t>NR</t>
        </is>
      </c>
      <c r="R310" s="405" t="inlineStr">
        <is>
          <t>NR</t>
        </is>
      </c>
      <c r="S310" s="405" t="inlineStr">
        <is>
          <t>NR</t>
        </is>
      </c>
      <c r="T310" s="405" t="inlineStr">
        <is>
          <t>NR</t>
        </is>
      </c>
      <c r="U310" s="445" t="n">
        <v>0</v>
      </c>
      <c r="V310" s="445" t="n"/>
      <c r="W310" s="445" t="n"/>
      <c r="X310" s="445" t="n"/>
      <c r="Y310" s="445" t="n"/>
      <c r="Z310" s="445" t="n"/>
      <c r="AA310" s="445" t="n"/>
      <c r="AB310" s="445" t="n"/>
      <c r="AC310" s="445" t="n"/>
      <c r="AD310" s="445" t="n"/>
      <c r="AE310" s="445" t="n"/>
      <c r="AF310" s="445" t="n"/>
      <c r="AG310" s="446" t="n"/>
    </row>
    <row r="311">
      <c r="A311" s="406" t="n"/>
      <c r="B311" s="718" t="n">
        <v>32</v>
      </c>
      <c r="C311" s="68" t="n">
        <v>99</v>
      </c>
      <c r="D311" s="68" t="inlineStr">
        <is>
          <t>Oubandawaki Alfacha</t>
        </is>
      </c>
      <c r="E311" s="357" t="inlineStr">
        <is>
          <t>Sae Saboua</t>
        </is>
      </c>
      <c r="F311" s="357" t="inlineStr">
        <is>
          <t>Intervention</t>
        </is>
      </c>
      <c r="G311" s="68" t="n">
        <v>2023</v>
      </c>
      <c r="H311" s="68" t="n">
        <v>2024</v>
      </c>
      <c r="I311" s="411" t="n">
        <v>2</v>
      </c>
      <c r="J311" s="411" t="n">
        <v>1</v>
      </c>
      <c r="K311" s="68" t="n">
        <v>17</v>
      </c>
      <c r="L311" s="411" t="n">
        <v>2</v>
      </c>
      <c r="M311" s="408" t="n"/>
      <c r="N311" s="410" t="n">
        <v>0</v>
      </c>
      <c r="O311" s="410" t="n">
        <v>1</v>
      </c>
      <c r="P311" s="410" t="n">
        <v>1</v>
      </c>
      <c r="Q311" s="411" t="n">
        <v>9.300000000000001</v>
      </c>
      <c r="R311" s="411" t="n">
        <v>15.2</v>
      </c>
      <c r="S311" s="411" t="n">
        <v>5.9</v>
      </c>
      <c r="T311" s="411" t="n">
        <v>15.8</v>
      </c>
      <c r="U311" s="465" t="n">
        <v>0</v>
      </c>
      <c r="V311" s="411" t="n"/>
      <c r="W311" s="411" t="n"/>
      <c r="X311" s="411" t="n"/>
      <c r="Y311" s="411" t="n"/>
      <c r="Z311" s="411" t="n"/>
      <c r="AA311" s="411" t="n"/>
      <c r="AB311" s="411" t="n"/>
      <c r="AC311" s="411" t="n"/>
      <c r="AD311" s="411" t="n"/>
      <c r="AE311" s="411" t="n"/>
      <c r="AF311" s="411" t="n"/>
      <c r="AG311" s="412" t="n"/>
    </row>
    <row r="312">
      <c r="A312" s="426" t="n"/>
      <c r="B312" s="698" t="n"/>
      <c r="C312" s="78" t="n"/>
      <c r="D312" s="382" t="inlineStr">
        <is>
          <t>Karambi Tsofoua</t>
        </is>
      </c>
      <c r="E312" s="466" t="inlineStr">
        <is>
          <t>Sae Saboua</t>
        </is>
      </c>
      <c r="F312" s="78" t="inlineStr">
        <is>
          <t>Control</t>
        </is>
      </c>
      <c r="G312" s="78" t="n">
        <v>2023</v>
      </c>
      <c r="H312" s="78" t="n">
        <v>2024</v>
      </c>
      <c r="I312" s="78" t="n">
        <v>0</v>
      </c>
      <c r="J312" s="78" t="n">
        <v>0</v>
      </c>
      <c r="K312" s="423" t="n">
        <v>10</v>
      </c>
      <c r="L312" s="420" t="n">
        <v>0</v>
      </c>
      <c r="M312" s="428" t="n"/>
      <c r="N312" s="720" t="inlineStr">
        <is>
          <t>NR</t>
        </is>
      </c>
      <c r="O312" s="720" t="inlineStr">
        <is>
          <t>NR</t>
        </is>
      </c>
      <c r="P312" s="429" t="n">
        <v>0.8</v>
      </c>
      <c r="Q312" s="497" t="inlineStr">
        <is>
          <t>NR</t>
        </is>
      </c>
      <c r="R312" s="470" t="inlineStr">
        <is>
          <t>NA</t>
        </is>
      </c>
      <c r="S312" s="497" t="inlineStr">
        <is>
          <t>NR</t>
        </is>
      </c>
      <c r="T312" s="497" t="inlineStr">
        <is>
          <t>NR</t>
        </is>
      </c>
      <c r="U312" s="432" t="n">
        <v>0</v>
      </c>
      <c r="V312" s="432" t="n"/>
      <c r="W312" s="432" t="n"/>
      <c r="X312" s="432" t="n"/>
      <c r="Y312" s="432" t="n"/>
      <c r="Z312" s="432" t="n"/>
      <c r="AA312" s="432" t="n"/>
      <c r="AB312" s="432" t="n"/>
      <c r="AC312" s="432" t="n"/>
      <c r="AD312" s="432" t="n"/>
      <c r="AE312" s="432" t="n"/>
      <c r="AF312" s="432" t="n"/>
      <c r="AG312" s="433" t="n"/>
    </row>
    <row r="313">
      <c r="A313" s="434" t="n"/>
      <c r="B313" s="717" t="n">
        <v>33</v>
      </c>
      <c r="C313" s="87" t="n">
        <v>100</v>
      </c>
      <c r="D313" s="87" t="inlineStr">
        <is>
          <t>Sae Saboua</t>
        </is>
      </c>
      <c r="E313" s="343" t="inlineStr">
        <is>
          <t>Sae Saboua</t>
        </is>
      </c>
      <c r="F313" s="343" t="inlineStr">
        <is>
          <t>Intervention</t>
        </is>
      </c>
      <c r="G313" s="87" t="n">
        <v>2023</v>
      </c>
      <c r="H313" s="87" t="n">
        <v>2024</v>
      </c>
      <c r="I313" s="439" t="n">
        <v>2</v>
      </c>
      <c r="J313" s="439" t="n">
        <v>3</v>
      </c>
      <c r="K313" s="87" t="n">
        <v>38</v>
      </c>
      <c r="L313" s="439" t="n">
        <v>2</v>
      </c>
      <c r="M313" s="408" t="n"/>
      <c r="N313" s="436" t="n">
        <v>0</v>
      </c>
      <c r="O313" s="436" t="n">
        <v>1</v>
      </c>
      <c r="P313" s="438" t="n">
        <v>1</v>
      </c>
      <c r="Q313" s="439" t="n">
        <v>2.9</v>
      </c>
      <c r="R313" s="439" t="n">
        <v>14.9</v>
      </c>
      <c r="S313" s="439" t="n">
        <v>3.1</v>
      </c>
      <c r="T313" s="439" t="n">
        <v>14.7</v>
      </c>
      <c r="U313" s="439" t="n">
        <v>1</v>
      </c>
      <c r="V313" s="439" t="n"/>
      <c r="W313" s="439" t="n"/>
      <c r="X313" s="439" t="n"/>
      <c r="Y313" s="439" t="n"/>
      <c r="Z313" s="439" t="n"/>
      <c r="AA313" s="439" t="n"/>
      <c r="AB313" s="439" t="n"/>
      <c r="AC313" s="439" t="n"/>
      <c r="AD313" s="439" t="n"/>
      <c r="AE313" s="439" t="n"/>
      <c r="AF313" s="439" t="n"/>
      <c r="AG313" s="440" t="n"/>
    </row>
    <row r="314">
      <c r="A314" s="441" t="n"/>
      <c r="B314" s="698" t="n"/>
      <c r="C314" s="56" t="n"/>
      <c r="D314" s="382" t="inlineStr">
        <is>
          <t>Malloumai Salifou</t>
        </is>
      </c>
      <c r="E314" s="343" t="inlineStr">
        <is>
          <t>Sae Saboua</t>
        </is>
      </c>
      <c r="F314" s="56" t="inlineStr">
        <is>
          <t>Control</t>
        </is>
      </c>
      <c r="G314" s="56" t="n">
        <v>2023</v>
      </c>
      <c r="H314" s="56" t="n">
        <v>2024</v>
      </c>
      <c r="I314" s="56" t="n">
        <v>0</v>
      </c>
      <c r="J314" s="56" t="n">
        <v>0</v>
      </c>
      <c r="K314" s="401" t="n">
        <v>32</v>
      </c>
      <c r="L314" s="146" t="n">
        <v>0</v>
      </c>
      <c r="M314" s="428" t="n"/>
      <c r="N314" s="720" t="inlineStr">
        <is>
          <t>NR</t>
        </is>
      </c>
      <c r="O314" s="720" t="inlineStr">
        <is>
          <t>NR</t>
        </is>
      </c>
      <c r="P314" s="458" t="n">
        <v>1</v>
      </c>
      <c r="Q314" s="405" t="inlineStr">
        <is>
          <t>NR</t>
        </is>
      </c>
      <c r="R314" s="405" t="inlineStr">
        <is>
          <t>NR</t>
        </is>
      </c>
      <c r="S314" s="405" t="inlineStr">
        <is>
          <t>NR</t>
        </is>
      </c>
      <c r="T314" s="405" t="inlineStr">
        <is>
          <t>NR</t>
        </is>
      </c>
      <c r="U314" s="445" t="n">
        <v>0</v>
      </c>
      <c r="V314" s="445" t="n"/>
      <c r="W314" s="445" t="n"/>
      <c r="X314" s="445" t="n"/>
      <c r="Y314" s="445" t="n"/>
      <c r="Z314" s="445" t="n"/>
      <c r="AA314" s="445" t="n"/>
      <c r="AB314" s="445" t="n"/>
      <c r="AC314" s="445" t="n"/>
      <c r="AD314" s="445" t="n"/>
      <c r="AE314" s="445" t="n"/>
      <c r="AF314" s="445" t="n"/>
      <c r="AG314" s="446" t="n"/>
    </row>
    <row r="315" ht="42.75" customHeight="1" s="695">
      <c r="A315" s="406" t="n"/>
      <c r="B315" s="718" t="n">
        <v>34</v>
      </c>
      <c r="C315" s="68" t="n">
        <v>101</v>
      </c>
      <c r="D315" s="68" t="inlineStr">
        <is>
          <t>Tagaza</t>
        </is>
      </c>
      <c r="E315" s="357" t="inlineStr">
        <is>
          <t>Sae Saboua</t>
        </is>
      </c>
      <c r="F315" s="357" t="inlineStr">
        <is>
          <t>Intervention</t>
        </is>
      </c>
      <c r="G315" s="68" t="n">
        <v>2023</v>
      </c>
      <c r="H315" s="68" t="n">
        <v>2024</v>
      </c>
      <c r="I315" s="411" t="n">
        <v>2</v>
      </c>
      <c r="J315" s="411" t="n">
        <v>2</v>
      </c>
      <c r="K315" s="68" t="n">
        <v>29</v>
      </c>
      <c r="L315" s="411" t="n">
        <v>2</v>
      </c>
      <c r="M315" s="408" t="n"/>
      <c r="N315" s="410" t="n">
        <v>0</v>
      </c>
      <c r="O315" s="410" t="n">
        <v>1</v>
      </c>
      <c r="P315" s="410" t="n">
        <v>1</v>
      </c>
      <c r="Q315" s="411" t="n">
        <v>3.9</v>
      </c>
      <c r="R315" s="411" t="n">
        <v>16</v>
      </c>
      <c r="S315" s="411" t="n">
        <v>2.8</v>
      </c>
      <c r="T315" s="411" t="n">
        <v>16.4</v>
      </c>
      <c r="U315" s="411" t="n">
        <v>0</v>
      </c>
      <c r="V315" s="411" t="n"/>
      <c r="W315" s="411" t="n"/>
      <c r="X315" s="411" t="n"/>
      <c r="Y315" s="411" t="n"/>
      <c r="Z315" s="411" t="n"/>
      <c r="AA315" s="411" t="n"/>
      <c r="AB315" s="411" t="n"/>
      <c r="AC315" s="411" t="n"/>
      <c r="AD315" s="411" t="n"/>
      <c r="AE315" s="411" t="n"/>
      <c r="AF315" s="411" t="n"/>
      <c r="AG315" s="412" t="n"/>
    </row>
    <row r="316">
      <c r="A316" s="426" t="n"/>
      <c r="B316" s="698" t="n"/>
      <c r="C316" s="78" t="n"/>
      <c r="D316" s="382" t="inlineStr">
        <is>
          <t>Yan Doto Bala</t>
        </is>
      </c>
      <c r="E316" s="357" t="inlineStr">
        <is>
          <t>Sae Saboua</t>
        </is>
      </c>
      <c r="F316" s="78" t="inlineStr">
        <is>
          <t>Control</t>
        </is>
      </c>
      <c r="G316" s="78" t="n">
        <v>2023</v>
      </c>
      <c r="H316" s="78" t="n">
        <v>2024</v>
      </c>
      <c r="I316" s="78" t="n">
        <v>0</v>
      </c>
      <c r="J316" s="78" t="n">
        <v>0</v>
      </c>
      <c r="K316" s="78" t="n">
        <v>48</v>
      </c>
      <c r="L316" s="146" t="n">
        <v>0</v>
      </c>
      <c r="M316" s="428" t="n"/>
      <c r="N316" s="720" t="inlineStr">
        <is>
          <t>NR</t>
        </is>
      </c>
      <c r="O316" s="720" t="inlineStr">
        <is>
          <t>NR</t>
        </is>
      </c>
      <c r="P316" s="720" t="inlineStr">
        <is>
          <t>NR</t>
        </is>
      </c>
      <c r="Q316" s="497" t="inlineStr">
        <is>
          <t>NR</t>
        </is>
      </c>
      <c r="R316" s="470" t="inlineStr">
        <is>
          <t>NA</t>
        </is>
      </c>
      <c r="S316" s="497" t="inlineStr">
        <is>
          <t>NR</t>
        </is>
      </c>
      <c r="T316" s="497" t="inlineStr">
        <is>
          <t>NR</t>
        </is>
      </c>
      <c r="U316" s="432" t="n">
        <v>0</v>
      </c>
      <c r="V316" s="432" t="n"/>
      <c r="W316" s="432" t="n"/>
      <c r="X316" s="432" t="n"/>
      <c r="Y316" s="432" t="n"/>
      <c r="Z316" s="432" t="n"/>
      <c r="AA316" s="432" t="n"/>
      <c r="AB316" s="432" t="n"/>
      <c r="AC316" s="432" t="n"/>
      <c r="AD316" s="432" t="n"/>
      <c r="AE316" s="432" t="n"/>
      <c r="AF316" s="432" t="n"/>
      <c r="AG316" s="433" t="n"/>
    </row>
    <row r="317">
      <c r="A317" s="95" t="n"/>
      <c r="B317" s="95" t="n"/>
      <c r="C317" s="95" t="n"/>
      <c r="D317" s="95" t="n"/>
      <c r="E317" s="95" t="n"/>
      <c r="F317" s="95" t="n"/>
      <c r="G317" s="95" t="n"/>
      <c r="H317" s="95" t="n"/>
      <c r="I317" s="95" t="n"/>
      <c r="J317" s="95" t="n"/>
      <c r="K317" s="95" t="n"/>
      <c r="L317" s="99" t="n"/>
      <c r="M317" s="100" t="n"/>
      <c r="N317" s="100" t="n"/>
      <c r="O317" s="100" t="n"/>
      <c r="P317" s="100" t="n"/>
      <c r="Q317" s="100" t="n"/>
      <c r="R317" s="100" t="n"/>
      <c r="S317" s="100" t="n"/>
      <c r="T317" s="100" t="n"/>
      <c r="U317" s="100" t="n"/>
      <c r="V317" s="100" t="n"/>
      <c r="W317" s="100" t="n"/>
      <c r="X317" s="100" t="n"/>
      <c r="Y317" s="100" t="n"/>
      <c r="Z317" s="100" t="n"/>
      <c r="AA317" s="100" t="n"/>
      <c r="AB317" s="100" t="n"/>
      <c r="AC317" s="100" t="n"/>
      <c r="AD317" s="100" t="n"/>
      <c r="AE317" s="100" t="n"/>
      <c r="AF317" s="100" t="n"/>
      <c r="AG317" s="100" t="n"/>
    </row>
    <row r="318">
      <c r="A318" s="204" t="inlineStr">
        <is>
          <t>COHORT 7 CM2 2024-2025</t>
        </is>
      </c>
      <c r="B318" s="95" t="n"/>
      <c r="C318" s="95" t="n"/>
      <c r="D318" s="95" t="n"/>
      <c r="E318" s="95" t="n"/>
      <c r="F318" s="95" t="n"/>
      <c r="G318" s="95" t="n"/>
      <c r="H318" s="95" t="n"/>
      <c r="I318" s="95" t="n"/>
      <c r="J318" s="95" t="n"/>
      <c r="K318" s="95" t="n"/>
      <c r="L318" s="99" t="n"/>
      <c r="M318" s="100" t="n"/>
      <c r="N318" s="100" t="n"/>
      <c r="O318" s="100" t="n"/>
      <c r="P318" s="100" t="n"/>
      <c r="Q318" s="100" t="n"/>
      <c r="R318" s="100" t="n"/>
      <c r="S318" s="100" t="n"/>
      <c r="T318" s="100" t="n"/>
      <c r="U318" s="207" t="inlineStr">
        <is>
          <t>Cohorte 4 Hasken Mata</t>
        </is>
      </c>
      <c r="V318" s="100" t="n"/>
      <c r="W318" s="100" t="n"/>
      <c r="X318" s="100" t="n"/>
      <c r="Y318" s="100" t="n"/>
      <c r="Z318" s="100" t="n"/>
      <c r="AA318" s="100" t="n"/>
      <c r="AB318" s="100" t="n"/>
      <c r="AC318" s="100" t="n"/>
      <c r="AD318" s="100" t="n"/>
      <c r="AE318" s="100" t="n"/>
      <c r="AF318" s="100" t="n"/>
      <c r="AG318" s="100" t="n"/>
    </row>
    <row r="319">
      <c r="A319" s="467" t="n"/>
      <c r="B319" s="467" t="n"/>
      <c r="C319" s="467" t="n"/>
      <c r="D319" s="467" t="inlineStr">
        <is>
          <t>Yari Idi</t>
        </is>
      </c>
      <c r="E319" s="467" t="inlineStr">
        <is>
          <t>Tibiri</t>
        </is>
      </c>
      <c r="F319" s="467" t="inlineStr">
        <is>
          <t>Intervention</t>
        </is>
      </c>
      <c r="G319" s="467" t="n">
        <v>2023</v>
      </c>
      <c r="H319" s="467" t="n">
        <v>2024</v>
      </c>
      <c r="I319" s="467" t="n">
        <v>0</v>
      </c>
      <c r="J319" s="467" t="n">
        <v>0</v>
      </c>
      <c r="K319" s="468" t="inlineStr">
        <is>
          <t>NR</t>
        </is>
      </c>
      <c r="L319" s="468" t="inlineStr">
        <is>
          <t>NR</t>
        </is>
      </c>
      <c r="M319" s="468" t="inlineStr">
        <is>
          <t>NR</t>
        </is>
      </c>
      <c r="N319" s="720" t="inlineStr">
        <is>
          <t>NR</t>
        </is>
      </c>
      <c r="O319" s="720" t="inlineStr">
        <is>
          <t>NR</t>
        </is>
      </c>
      <c r="P319" s="720" t="inlineStr">
        <is>
          <t>NR</t>
        </is>
      </c>
      <c r="Q319" s="468" t="inlineStr">
        <is>
          <t>NR</t>
        </is>
      </c>
      <c r="R319" s="468" t="inlineStr">
        <is>
          <t>NR</t>
        </is>
      </c>
      <c r="S319" s="468" t="inlineStr">
        <is>
          <t>NR</t>
        </is>
      </c>
      <c r="T319" s="468" t="inlineStr">
        <is>
          <t>NR</t>
        </is>
      </c>
      <c r="U319" s="467" t="n"/>
      <c r="V319" s="467" t="inlineStr">
        <is>
          <t>2023-2024</t>
        </is>
      </c>
      <c r="W319" s="467" t="n"/>
      <c r="X319" s="467" t="n"/>
      <c r="Y319" s="467" t="n"/>
      <c r="Z319" s="467" t="n"/>
      <c r="AA319" s="467" t="n"/>
      <c r="AB319" s="467" t="n"/>
      <c r="AC319" s="467" t="n"/>
      <c r="AD319" s="467" t="n"/>
      <c r="AE319" s="467" t="n"/>
      <c r="AF319" s="467" t="n"/>
      <c r="AG319" s="467" t="n"/>
    </row>
    <row r="320">
      <c r="A320" s="470" t="n"/>
      <c r="B320" s="470" t="n"/>
      <c r="C320" s="470" t="n"/>
      <c r="D320" s="420" t="inlineStr">
        <is>
          <t>Maza Tsaye 1</t>
        </is>
      </c>
      <c r="E320" s="420" t="inlineStr">
        <is>
          <t>Tibiri</t>
        </is>
      </c>
      <c r="F320" s="420" t="inlineStr">
        <is>
          <t>Control</t>
        </is>
      </c>
      <c r="G320" s="470" t="n">
        <v>2023</v>
      </c>
      <c r="H320" s="470" t="n">
        <v>2024</v>
      </c>
      <c r="I320" s="470" t="n">
        <v>0</v>
      </c>
      <c r="J320" s="470" t="n">
        <v>0</v>
      </c>
      <c r="K320" s="468" t="inlineStr">
        <is>
          <t>NR</t>
        </is>
      </c>
      <c r="L320" s="468" t="inlineStr">
        <is>
          <t>NR</t>
        </is>
      </c>
      <c r="M320" s="468" t="inlineStr">
        <is>
          <t>NR</t>
        </is>
      </c>
      <c r="N320" s="720" t="inlineStr">
        <is>
          <t>NR</t>
        </is>
      </c>
      <c r="O320" s="720" t="inlineStr">
        <is>
          <t>NR</t>
        </is>
      </c>
      <c r="P320" s="720" t="inlineStr">
        <is>
          <t>NR</t>
        </is>
      </c>
      <c r="Q320" s="468" t="inlineStr">
        <is>
          <t>NR</t>
        </is>
      </c>
      <c r="R320" s="468" t="inlineStr">
        <is>
          <t>NR</t>
        </is>
      </c>
      <c r="S320" s="468" t="inlineStr">
        <is>
          <t>NR</t>
        </is>
      </c>
      <c r="T320" s="468" t="inlineStr">
        <is>
          <t>NR</t>
        </is>
      </c>
      <c r="U320" s="470" t="n"/>
      <c r="V320" s="470" t="n"/>
      <c r="W320" s="470" t="n"/>
      <c r="X320" s="470" t="n"/>
      <c r="Y320" s="470" t="n"/>
      <c r="Z320" s="470" t="n"/>
      <c r="AA320" s="470" t="n"/>
      <c r="AB320" s="470" t="n"/>
      <c r="AC320" s="470" t="n"/>
      <c r="AD320" s="470" t="n"/>
      <c r="AE320" s="470" t="n"/>
      <c r="AF320" s="470" t="n"/>
      <c r="AG320" s="470" t="n"/>
    </row>
    <row r="321">
      <c r="A321" s="470" t="n"/>
      <c r="B321" s="470" t="n"/>
      <c r="C321" s="470" t="n"/>
      <c r="D321" s="470" t="n"/>
      <c r="E321" s="470" t="n"/>
      <c r="F321" s="470" t="n"/>
      <c r="G321" s="470" t="n"/>
      <c r="H321" s="470" t="n"/>
      <c r="I321" s="470" t="n"/>
      <c r="J321" s="470" t="n"/>
      <c r="K321" s="470" t="n"/>
      <c r="L321" s="470" t="n"/>
      <c r="M321" s="470" t="n"/>
      <c r="N321" s="470" t="n"/>
      <c r="O321" s="470" t="n"/>
      <c r="P321" s="470" t="n"/>
      <c r="Q321" s="470" t="n"/>
      <c r="R321" s="470" t="n"/>
      <c r="S321" s="470" t="n"/>
      <c r="T321" s="470" t="n"/>
      <c r="U321" s="470" t="n"/>
      <c r="V321" s="470" t="n"/>
      <c r="W321" s="470" t="n"/>
      <c r="X321" s="470" t="n"/>
      <c r="Y321" s="470" t="n"/>
      <c r="Z321" s="470" t="n"/>
      <c r="AA321" s="470" t="n"/>
      <c r="AB321" s="470" t="n"/>
      <c r="AC321" s="470" t="n"/>
      <c r="AD321" s="470" t="n"/>
      <c r="AE321" s="470" t="n"/>
      <c r="AF321" s="470" t="n"/>
      <c r="AG321" s="470" t="n"/>
    </row>
    <row r="322">
      <c r="A322" s="471" t="n"/>
      <c r="B322" s="721" t="n">
        <v>1</v>
      </c>
      <c r="C322" s="471" t="n">
        <v>30</v>
      </c>
      <c r="D322" s="471" t="inlineStr">
        <is>
          <t>Takalmaoua 1</t>
        </is>
      </c>
      <c r="E322" s="471" t="inlineStr">
        <is>
          <t>Djirataoua</t>
        </is>
      </c>
      <c r="F322" s="471" t="inlineStr">
        <is>
          <t>Intervention</t>
        </is>
      </c>
      <c r="G322" s="471" t="n">
        <v>2024</v>
      </c>
      <c r="H322" s="471" t="n">
        <v>2025</v>
      </c>
      <c r="I322" s="471" t="n">
        <v>5</v>
      </c>
      <c r="J322" s="471" t="n">
        <v>1</v>
      </c>
      <c r="K322" s="471" t="n">
        <v>21</v>
      </c>
      <c r="L322" s="471" t="n">
        <v>2</v>
      </c>
      <c r="M322" s="471" t="n"/>
      <c r="N322" s="473" t="n">
        <v>0.0476</v>
      </c>
      <c r="O322" s="474" t="n">
        <v>0.5238</v>
      </c>
      <c r="P322" s="475" t="n">
        <v>1</v>
      </c>
      <c r="Q322" s="471" t="n">
        <v>3.5</v>
      </c>
      <c r="R322" s="132" t="n">
        <v>13.03</v>
      </c>
      <c r="S322" s="471" t="n">
        <v>3.2</v>
      </c>
      <c r="T322" s="132" t="n">
        <v>12.4</v>
      </c>
      <c r="U322" s="471" t="n">
        <v>0</v>
      </c>
      <c r="V322" s="471" t="n"/>
      <c r="W322" s="471" t="n">
        <v>8</v>
      </c>
      <c r="X322" s="476">
        <f>W322/K322</f>
        <v/>
      </c>
      <c r="Y322" s="471" t="n"/>
      <c r="Z322" s="471" t="n"/>
      <c r="AA322" s="471" t="n"/>
      <c r="AB322" s="471" t="n"/>
      <c r="AC322" s="471" t="n"/>
      <c r="AD322" s="471" t="n"/>
      <c r="AE322" s="471" t="n"/>
      <c r="AF322" s="471" t="n"/>
      <c r="AG322" s="471" t="n"/>
    </row>
    <row r="323">
      <c r="A323" s="471" t="n"/>
      <c r="B323" s="706" t="n"/>
      <c r="C323" s="471" t="n">
        <v>84</v>
      </c>
      <c r="D323" s="471" t="inlineStr">
        <is>
          <t>Kontagora Tsohoua</t>
        </is>
      </c>
      <c r="E323" s="471" t="inlineStr">
        <is>
          <t>Djirataoua</t>
        </is>
      </c>
      <c r="F323" s="471" t="inlineStr">
        <is>
          <t>Control</t>
        </is>
      </c>
      <c r="G323" s="471" t="n">
        <v>2024</v>
      </c>
      <c r="H323" s="471" t="n">
        <v>2025</v>
      </c>
      <c r="I323" s="471" t="n">
        <v>0</v>
      </c>
      <c r="J323" s="471" t="n">
        <v>0</v>
      </c>
      <c r="K323" s="273" t="n">
        <v>16</v>
      </c>
      <c r="L323" s="477" t="n">
        <v>0</v>
      </c>
      <c r="M323" s="471" t="n"/>
      <c r="N323" s="473" t="n">
        <v>0.25</v>
      </c>
      <c r="O323" s="473" t="n">
        <v>0.3125</v>
      </c>
      <c r="P323" s="475" t="n">
        <v>1</v>
      </c>
      <c r="Q323" s="471" t="n">
        <v>0.9</v>
      </c>
      <c r="R323" s="132" t="n">
        <v>6.2</v>
      </c>
      <c r="S323" s="471" t="n">
        <v>2.2</v>
      </c>
      <c r="T323" s="132" t="n">
        <v>5.4</v>
      </c>
      <c r="U323" s="471" t="n">
        <v>0</v>
      </c>
      <c r="V323" s="471" t="n"/>
      <c r="W323" s="471" t="n">
        <v>16</v>
      </c>
      <c r="X323" s="476">
        <f>W323/K323</f>
        <v/>
      </c>
      <c r="Y323" s="471" t="n"/>
      <c r="Z323" s="471" t="n"/>
      <c r="AA323" s="471" t="n"/>
      <c r="AB323" s="471" t="n"/>
      <c r="AC323" s="471" t="n"/>
      <c r="AD323" s="471" t="n"/>
      <c r="AE323" s="471" t="n"/>
      <c r="AF323" s="471" t="n"/>
      <c r="AG323" s="471" t="n"/>
    </row>
    <row r="324">
      <c r="A324" s="420" t="n"/>
      <c r="B324" s="722" t="n">
        <v>2</v>
      </c>
      <c r="C324" s="420" t="n">
        <v>27</v>
      </c>
      <c r="D324" s="420" t="inlineStr">
        <is>
          <t>Sabon Garin Kolta</t>
        </is>
      </c>
      <c r="E324" s="471" t="inlineStr">
        <is>
          <t>Djirataoua</t>
        </is>
      </c>
      <c r="F324" s="420" t="inlineStr">
        <is>
          <t>Intervention</t>
        </is>
      </c>
      <c r="G324" s="420" t="n">
        <v>2024</v>
      </c>
      <c r="H324" s="420" t="n">
        <v>2025</v>
      </c>
      <c r="I324" s="420" t="n">
        <v>6</v>
      </c>
      <c r="J324" s="420" t="n">
        <v>3</v>
      </c>
      <c r="K324" s="420" t="n">
        <v>41</v>
      </c>
      <c r="L324" s="420" t="n">
        <v>2</v>
      </c>
      <c r="M324" s="420" t="n"/>
      <c r="N324" s="425" t="n">
        <v>0</v>
      </c>
      <c r="O324" s="425" t="n">
        <v>0.5366</v>
      </c>
      <c r="P324" s="425" t="n">
        <v>0.95</v>
      </c>
      <c r="Q324" s="420" t="n">
        <v>3.8</v>
      </c>
      <c r="R324" s="420" t="n">
        <v>13.3</v>
      </c>
      <c r="S324" s="420" t="n">
        <v>5</v>
      </c>
      <c r="T324" s="420" t="n">
        <v>14.2</v>
      </c>
      <c r="U324" s="420" t="n">
        <v>0</v>
      </c>
      <c r="V324" s="420" t="n"/>
      <c r="W324" s="420" t="n">
        <v>9</v>
      </c>
      <c r="X324" s="476">
        <f>W324/K324</f>
        <v/>
      </c>
      <c r="Y324" s="420" t="n"/>
      <c r="Z324" s="420" t="n"/>
      <c r="AA324" s="420" t="n"/>
      <c r="AB324" s="420" t="n"/>
      <c r="AC324" s="420" t="n"/>
      <c r="AD324" s="420" t="n"/>
      <c r="AE324" s="420" t="n"/>
      <c r="AF324" s="420" t="n"/>
      <c r="AG324" s="420" t="n"/>
    </row>
    <row r="325">
      <c r="A325" s="480" t="n"/>
      <c r="B325" s="706" t="n"/>
      <c r="C325" s="480" t="n">
        <v>86</v>
      </c>
      <c r="D325" s="480" t="inlineStr">
        <is>
          <t>Galadantchi</t>
        </is>
      </c>
      <c r="E325" s="471" t="inlineStr">
        <is>
          <t>Djirataoua</t>
        </is>
      </c>
      <c r="F325" s="480" t="inlineStr">
        <is>
          <t>Control</t>
        </is>
      </c>
      <c r="G325" s="480" t="n">
        <v>2024</v>
      </c>
      <c r="H325" s="480" t="n">
        <v>2025</v>
      </c>
      <c r="I325" s="480" t="n">
        <v>0</v>
      </c>
      <c r="J325" s="480" t="n">
        <v>0</v>
      </c>
      <c r="K325" s="423" t="n">
        <v>52</v>
      </c>
      <c r="L325" s="481" t="n">
        <v>0</v>
      </c>
      <c r="M325" s="480" t="n"/>
      <c r="N325" s="425" t="n">
        <v>0.2115</v>
      </c>
      <c r="O325" s="425" t="n">
        <v>0.3269</v>
      </c>
      <c r="P325" s="425" t="n">
        <v>0.82</v>
      </c>
      <c r="Q325" s="480" t="n">
        <v>0.8</v>
      </c>
      <c r="R325" s="420" t="n">
        <v>6.3</v>
      </c>
      <c r="S325" s="480" t="n">
        <v>4</v>
      </c>
      <c r="T325" s="420" t="n">
        <v>6.3</v>
      </c>
      <c r="U325" s="480" t="n">
        <v>1</v>
      </c>
      <c r="V325" s="480" t="n"/>
      <c r="W325" s="480" t="n">
        <v>22</v>
      </c>
      <c r="X325" s="476">
        <f>W325/K325</f>
        <v/>
      </c>
      <c r="Y325" s="480" t="n"/>
      <c r="Z325" s="480" t="n"/>
      <c r="AA325" s="480" t="n"/>
      <c r="AB325" s="480" t="n"/>
      <c r="AC325" s="480" t="n"/>
      <c r="AD325" s="480" t="n"/>
      <c r="AE325" s="480" t="n"/>
      <c r="AF325" s="480" t="n"/>
      <c r="AG325" s="480" t="n"/>
    </row>
    <row r="326" ht="16.5" customHeight="1" s="695">
      <c r="A326" s="483" t="n"/>
      <c r="B326" s="721" t="n">
        <v>3</v>
      </c>
      <c r="C326" s="483" t="n">
        <v>28</v>
      </c>
      <c r="D326" s="483" t="inlineStr">
        <is>
          <t>Danja 1</t>
        </is>
      </c>
      <c r="E326" s="471" t="inlineStr">
        <is>
          <t>Djirataoua</t>
        </is>
      </c>
      <c r="F326" s="483" t="inlineStr">
        <is>
          <t>Intervention</t>
        </is>
      </c>
      <c r="G326" s="471" t="n">
        <v>2024</v>
      </c>
      <c r="H326" s="471" t="n">
        <v>2025</v>
      </c>
      <c r="I326" s="483" t="n">
        <v>5</v>
      </c>
      <c r="J326" s="483" t="n">
        <v>4</v>
      </c>
      <c r="K326" s="483" t="n">
        <v>52</v>
      </c>
      <c r="L326" s="483" t="n">
        <v>2</v>
      </c>
      <c r="M326" s="483" t="n"/>
      <c r="N326" s="473" t="n">
        <v>0</v>
      </c>
      <c r="O326" s="473" t="n">
        <v>0.5192</v>
      </c>
      <c r="P326" s="475" t="n">
        <v>0.93</v>
      </c>
      <c r="Q326" s="483" t="n">
        <v>3.6</v>
      </c>
      <c r="R326" s="132" t="n">
        <v>15.2</v>
      </c>
      <c r="S326" s="483" t="n">
        <v>3.6</v>
      </c>
      <c r="T326" s="132" t="n">
        <v>15.3</v>
      </c>
      <c r="U326" s="483" t="n">
        <v>0</v>
      </c>
      <c r="V326" s="483" t="n"/>
      <c r="W326" s="483" t="n">
        <v>11</v>
      </c>
      <c r="X326" s="476">
        <f>W326/K326</f>
        <v/>
      </c>
      <c r="Y326" s="483" t="n"/>
      <c r="Z326" s="483" t="n"/>
      <c r="AA326" s="483" t="n"/>
      <c r="AB326" s="483" t="n"/>
      <c r="AC326" s="483" t="n"/>
      <c r="AD326" s="483" t="n"/>
      <c r="AE326" s="483" t="n"/>
      <c r="AF326" s="483" t="n"/>
      <c r="AG326" s="483" t="n"/>
    </row>
    <row r="327">
      <c r="A327" s="483" t="n"/>
      <c r="B327" s="706" t="n"/>
      <c r="C327" s="483" t="n">
        <v>83</v>
      </c>
      <c r="D327" s="483" t="inlineStr">
        <is>
          <t>Djirataoua Bilingue</t>
        </is>
      </c>
      <c r="E327" s="471" t="inlineStr">
        <is>
          <t>Djirataoua</t>
        </is>
      </c>
      <c r="F327" s="483" t="inlineStr">
        <is>
          <t>Control</t>
        </is>
      </c>
      <c r="G327" s="471" t="n">
        <v>2024</v>
      </c>
      <c r="H327" s="471" t="n">
        <v>2025</v>
      </c>
      <c r="I327" s="483" t="n">
        <v>0</v>
      </c>
      <c r="J327" s="483" t="n">
        <v>0</v>
      </c>
      <c r="K327" s="273" t="n">
        <v>24</v>
      </c>
      <c r="L327" s="477" t="n">
        <v>0</v>
      </c>
      <c r="M327" s="483" t="n"/>
      <c r="N327" s="473" t="n">
        <v>0.2083</v>
      </c>
      <c r="O327" s="473" t="n">
        <v>0.3333</v>
      </c>
      <c r="P327" s="475" t="n">
        <v>0.88</v>
      </c>
      <c r="Q327" s="483" t="n">
        <v>0.4</v>
      </c>
      <c r="R327" s="132" t="n">
        <v>7.4</v>
      </c>
      <c r="S327" s="483" t="n">
        <v>2.3</v>
      </c>
      <c r="T327" s="132" t="n">
        <v>7.3</v>
      </c>
      <c r="U327" s="483" t="n">
        <v>0</v>
      </c>
      <c r="V327" s="483" t="n"/>
      <c r="W327" s="483" t="n">
        <v>8</v>
      </c>
      <c r="X327" s="476">
        <f>W327/K327</f>
        <v/>
      </c>
      <c r="Y327" s="483" t="n"/>
      <c r="Z327" s="483" t="n"/>
      <c r="AA327" s="483" t="n"/>
      <c r="AB327" s="483" t="n"/>
      <c r="AC327" s="483" t="n"/>
      <c r="AD327" s="483" t="n"/>
      <c r="AE327" s="483" t="n"/>
      <c r="AF327" s="483" t="n"/>
      <c r="AG327" s="483" t="n"/>
    </row>
    <row r="328">
      <c r="A328" s="480" t="n"/>
      <c r="B328" s="722" t="n">
        <v>4</v>
      </c>
      <c r="C328" s="480" t="n">
        <v>29</v>
      </c>
      <c r="D328" s="480" t="inlineStr">
        <is>
          <t>Danja 2</t>
        </is>
      </c>
      <c r="E328" s="471" t="inlineStr">
        <is>
          <t>Djirataoua</t>
        </is>
      </c>
      <c r="F328" s="480" t="inlineStr">
        <is>
          <t>Intervention</t>
        </is>
      </c>
      <c r="G328" s="420" t="n">
        <v>2024</v>
      </c>
      <c r="H328" s="420" t="n">
        <v>2025</v>
      </c>
      <c r="I328" s="480" t="n">
        <v>4</v>
      </c>
      <c r="J328" s="480" t="n">
        <v>2</v>
      </c>
      <c r="K328" s="480" t="n">
        <v>34</v>
      </c>
      <c r="L328" s="480" t="n">
        <v>2</v>
      </c>
      <c r="M328" s="480" t="n"/>
      <c r="N328" s="425" t="n">
        <v>0.0294</v>
      </c>
      <c r="O328" s="425" t="n">
        <v>0.5</v>
      </c>
      <c r="P328" s="425" t="n">
        <v>0.88</v>
      </c>
      <c r="Q328" s="480" t="n">
        <v>4.7</v>
      </c>
      <c r="R328" s="420" t="n">
        <v>14.9</v>
      </c>
      <c r="S328" s="480" t="n">
        <v>4.7</v>
      </c>
      <c r="T328" s="420" t="n">
        <v>15.9</v>
      </c>
      <c r="U328" s="480" t="n">
        <v>0</v>
      </c>
      <c r="V328" s="480" t="n"/>
      <c r="W328" s="480" t="n">
        <v>6</v>
      </c>
      <c r="X328" s="476">
        <f>W328/K328</f>
        <v/>
      </c>
      <c r="Y328" s="480" t="n"/>
      <c r="Z328" s="480" t="n"/>
      <c r="AA328" s="480" t="n"/>
      <c r="AB328" s="480" t="n"/>
      <c r="AC328" s="480" t="n"/>
      <c r="AD328" s="480" t="n"/>
      <c r="AE328" s="480" t="n"/>
      <c r="AF328" s="480" t="n"/>
      <c r="AG328" s="480" t="n"/>
    </row>
    <row r="329">
      <c r="A329" s="480" t="n"/>
      <c r="B329" s="706" t="n"/>
      <c r="C329" s="480" t="n">
        <v>85</v>
      </c>
      <c r="D329" s="480" t="inlineStr">
        <is>
          <t>Kontagora Goussawa</t>
        </is>
      </c>
      <c r="E329" s="471" t="inlineStr">
        <is>
          <t>Djirataoua</t>
        </is>
      </c>
      <c r="F329" s="480" t="inlineStr">
        <is>
          <t>Control</t>
        </is>
      </c>
      <c r="G329" s="480" t="n">
        <v>2024</v>
      </c>
      <c r="H329" s="480" t="n">
        <v>2025</v>
      </c>
      <c r="I329" s="480" t="n">
        <v>0</v>
      </c>
      <c r="J329" s="480" t="n">
        <v>0</v>
      </c>
      <c r="K329" s="423" t="n">
        <v>16</v>
      </c>
      <c r="L329" s="481" t="n">
        <v>0</v>
      </c>
      <c r="M329" s="480" t="n"/>
      <c r="N329" s="425" t="n">
        <v>0.0625</v>
      </c>
      <c r="O329" s="425" t="n">
        <v>0.4375</v>
      </c>
      <c r="P329" s="425" t="n">
        <v>0.86</v>
      </c>
      <c r="Q329" s="480" t="n">
        <v>2.9</v>
      </c>
      <c r="R329" s="420" t="n">
        <v>6.4</v>
      </c>
      <c r="S329" s="480" t="n">
        <v>2.7</v>
      </c>
      <c r="T329" s="420" t="n">
        <v>6</v>
      </c>
      <c r="U329" s="480" t="n">
        <v>1</v>
      </c>
      <c r="V329" s="480" t="n"/>
      <c r="W329" s="420" t="n">
        <v>8</v>
      </c>
      <c r="X329" s="476">
        <f>W329/K329</f>
        <v/>
      </c>
      <c r="Y329" s="480" t="n"/>
      <c r="Z329" s="480" t="n"/>
      <c r="AA329" s="480" t="n"/>
      <c r="AB329" s="480" t="n"/>
      <c r="AC329" s="480" t="n"/>
      <c r="AD329" s="480" t="n"/>
      <c r="AE329" s="480" t="n"/>
      <c r="AF329" s="480" t="n"/>
      <c r="AG329" s="480" t="n"/>
    </row>
    <row r="330">
      <c r="A330" s="483" t="n"/>
      <c r="B330" s="721" t="n">
        <v>5</v>
      </c>
      <c r="C330" s="483" t="n">
        <v>31</v>
      </c>
      <c r="D330" s="483" t="inlineStr">
        <is>
          <t>Takalmaoua 2</t>
        </is>
      </c>
      <c r="E330" s="471" t="inlineStr">
        <is>
          <t>Djirataoua</t>
        </is>
      </c>
      <c r="F330" s="483" t="inlineStr">
        <is>
          <t>Intervention</t>
        </is>
      </c>
      <c r="G330" s="471" t="n">
        <v>2024</v>
      </c>
      <c r="H330" s="471" t="n">
        <v>2025</v>
      </c>
      <c r="I330" s="483" t="n">
        <v>4</v>
      </c>
      <c r="J330" s="483" t="n">
        <v>1</v>
      </c>
      <c r="K330" s="483" t="n">
        <v>14</v>
      </c>
      <c r="L330" s="483" t="n">
        <v>2</v>
      </c>
      <c r="M330" s="483" t="n"/>
      <c r="N330" s="473" t="n">
        <v>0</v>
      </c>
      <c r="O330" s="473" t="n">
        <v>0.5714</v>
      </c>
      <c r="P330" s="475" t="n">
        <v>1</v>
      </c>
      <c r="Q330" s="483" t="n">
        <v>4.1</v>
      </c>
      <c r="R330" s="132" t="n">
        <v>13.7</v>
      </c>
      <c r="S330" s="483" t="n">
        <v>3.7</v>
      </c>
      <c r="T330" s="132" t="n">
        <v>12.5</v>
      </c>
      <c r="U330" s="483" t="n">
        <v>0</v>
      </c>
      <c r="V330" s="483" t="n"/>
      <c r="W330" s="483" t="n">
        <v>0</v>
      </c>
      <c r="X330" s="476">
        <f>W330/K330</f>
        <v/>
      </c>
      <c r="Y330" s="483" t="n"/>
      <c r="Z330" s="483" t="n"/>
      <c r="AA330" s="483" t="n"/>
      <c r="AB330" s="483" t="n"/>
      <c r="AC330" s="483" t="n"/>
      <c r="AD330" s="483" t="n"/>
      <c r="AE330" s="483" t="n"/>
      <c r="AF330" s="483" t="n"/>
      <c r="AG330" s="483" t="n"/>
    </row>
    <row r="331">
      <c r="A331" s="483" t="n"/>
      <c r="B331" s="706" t="n"/>
      <c r="C331" s="483" t="n">
        <v>87</v>
      </c>
      <c r="D331" s="483" t="inlineStr">
        <is>
          <t>Tajaye Djirataoua</t>
        </is>
      </c>
      <c r="E331" s="471" t="inlineStr">
        <is>
          <t>Djirataoua</t>
        </is>
      </c>
      <c r="F331" s="483" t="inlineStr">
        <is>
          <t>Control</t>
        </is>
      </c>
      <c r="G331" s="471" t="n">
        <v>2024</v>
      </c>
      <c r="H331" s="471" t="n">
        <v>2025</v>
      </c>
      <c r="I331" s="483" t="n">
        <v>0</v>
      </c>
      <c r="J331" s="483" t="n">
        <v>0</v>
      </c>
      <c r="K331" s="273" t="n">
        <v>25</v>
      </c>
      <c r="L331" s="477" t="n">
        <v>0</v>
      </c>
      <c r="M331" s="483" t="n"/>
      <c r="N331" s="473" t="n">
        <v>0.2</v>
      </c>
      <c r="O331" s="473" t="n">
        <v>0.36</v>
      </c>
      <c r="P331" s="475" t="n">
        <v>0.78</v>
      </c>
      <c r="Q331" s="483" t="n">
        <v>0.4</v>
      </c>
      <c r="R331" s="132" t="n">
        <v>5.9</v>
      </c>
      <c r="S331" s="483" t="n">
        <v>2.3</v>
      </c>
      <c r="T331" s="132" t="n">
        <v>5.8</v>
      </c>
      <c r="U331" s="483" t="n">
        <v>0</v>
      </c>
      <c r="V331" s="483" t="n"/>
      <c r="W331" s="483" t="n">
        <v>24</v>
      </c>
      <c r="X331" s="476">
        <f>W331/K331</f>
        <v/>
      </c>
      <c r="Y331" s="483" t="n"/>
      <c r="Z331" s="483" t="n"/>
      <c r="AA331" s="483" t="n"/>
      <c r="AB331" s="483" t="n"/>
      <c r="AC331" s="483" t="n"/>
      <c r="AD331" s="483" t="n"/>
      <c r="AE331" s="483" t="n"/>
      <c r="AF331" s="483" t="n"/>
      <c r="AG331" s="483" t="n"/>
    </row>
    <row r="332">
      <c r="A332" s="480" t="n"/>
      <c r="B332" s="722" t="n">
        <v>6</v>
      </c>
      <c r="C332" s="480" t="n">
        <v>35</v>
      </c>
      <c r="D332" s="480" t="inlineStr">
        <is>
          <t>Safo Nassaraoua</t>
        </is>
      </c>
      <c r="E332" s="480" t="inlineStr">
        <is>
          <t>Safo</t>
        </is>
      </c>
      <c r="F332" s="480" t="inlineStr">
        <is>
          <t>Intervention</t>
        </is>
      </c>
      <c r="G332" s="420" t="n">
        <v>2024</v>
      </c>
      <c r="H332" s="420" t="n">
        <v>2025</v>
      </c>
      <c r="I332" s="480" t="n">
        <v>3</v>
      </c>
      <c r="J332" s="480" t="n">
        <v>2</v>
      </c>
      <c r="K332" s="480" t="n">
        <v>31</v>
      </c>
      <c r="L332" s="480" t="n">
        <v>2</v>
      </c>
      <c r="M332" s="480" t="n"/>
      <c r="N332" s="425" t="n">
        <v>0</v>
      </c>
      <c r="O332" s="425" t="n">
        <v>0.6452</v>
      </c>
      <c r="P332" s="425" t="n">
        <v>1</v>
      </c>
      <c r="Q332" s="480" t="n">
        <v>3.7</v>
      </c>
      <c r="R332" s="420" t="n">
        <v>12.9</v>
      </c>
      <c r="S332" s="480" t="n">
        <v>3.7</v>
      </c>
      <c r="T332" s="420" t="n">
        <v>13.9</v>
      </c>
      <c r="U332" s="480" t="n">
        <v>0</v>
      </c>
      <c r="V332" s="480" t="n"/>
      <c r="W332" s="480" t="n">
        <v>6</v>
      </c>
      <c r="X332" s="476">
        <f>W332/K332</f>
        <v/>
      </c>
      <c r="Y332" s="480" t="n"/>
      <c r="Z332" s="480" t="n"/>
      <c r="AA332" s="480" t="n"/>
      <c r="AB332" s="480" t="n"/>
      <c r="AC332" s="480" t="n"/>
      <c r="AD332" s="480" t="n"/>
      <c r="AE332" s="480" t="n"/>
      <c r="AF332" s="480" t="n"/>
      <c r="AG332" s="480" t="n"/>
    </row>
    <row r="333">
      <c r="A333" s="480" t="n"/>
      <c r="B333" s="706" t="n"/>
      <c r="C333" s="480" t="n">
        <v>80</v>
      </c>
      <c r="D333" s="480" t="inlineStr">
        <is>
          <t>Radi Centre 2</t>
        </is>
      </c>
      <c r="E333" s="480" t="inlineStr">
        <is>
          <t>Safo</t>
        </is>
      </c>
      <c r="F333" s="480" t="inlineStr">
        <is>
          <t>Control</t>
        </is>
      </c>
      <c r="G333" s="480" t="n">
        <v>2024</v>
      </c>
      <c r="H333" s="480" t="n">
        <v>2025</v>
      </c>
      <c r="I333" s="480" t="n">
        <v>0</v>
      </c>
      <c r="J333" s="480" t="n">
        <v>0</v>
      </c>
      <c r="K333" s="423" t="n">
        <v>15</v>
      </c>
      <c r="L333" s="481" t="n">
        <v>0</v>
      </c>
      <c r="M333" s="480" t="n"/>
      <c r="N333" s="425" t="n">
        <v>0</v>
      </c>
      <c r="O333" s="425" t="n">
        <v>0.33</v>
      </c>
      <c r="P333" s="425" t="n">
        <v>0.8</v>
      </c>
      <c r="Q333" s="480" t="n">
        <v>0.98</v>
      </c>
      <c r="R333" s="420" t="n">
        <v>4.3</v>
      </c>
      <c r="S333" s="480" t="n">
        <v>0.66</v>
      </c>
      <c r="T333" s="420" t="n">
        <v>6.1</v>
      </c>
      <c r="U333" s="480" t="n">
        <v>0</v>
      </c>
      <c r="V333" s="480" t="n"/>
      <c r="W333" s="420" t="n">
        <v>9</v>
      </c>
      <c r="X333" s="476">
        <f>W333/K333</f>
        <v/>
      </c>
      <c r="Y333" s="480" t="n"/>
      <c r="Z333" s="480" t="n"/>
      <c r="AA333" s="480" t="n"/>
      <c r="AB333" s="480" t="n"/>
      <c r="AC333" s="480" t="n"/>
      <c r="AD333" s="480" t="n"/>
      <c r="AE333" s="480" t="n"/>
      <c r="AF333" s="480" t="n"/>
      <c r="AG333" s="480" t="n"/>
    </row>
    <row r="334">
      <c r="A334" s="483" t="n"/>
      <c r="B334" s="721" t="n">
        <v>7</v>
      </c>
      <c r="C334" s="471" t="n">
        <v>34</v>
      </c>
      <c r="D334" s="471" t="inlineStr">
        <is>
          <t>Maradou Centre</t>
        </is>
      </c>
      <c r="E334" s="480" t="inlineStr">
        <is>
          <t>Safo</t>
        </is>
      </c>
      <c r="F334" s="471" t="inlineStr">
        <is>
          <t>Intervention</t>
        </is>
      </c>
      <c r="G334" s="471" t="n">
        <v>2024</v>
      </c>
      <c r="H334" s="471" t="n">
        <v>2025</v>
      </c>
      <c r="I334" s="471" t="n">
        <v>4</v>
      </c>
      <c r="J334" s="471" t="n">
        <v>2</v>
      </c>
      <c r="K334" s="471" t="n">
        <v>35</v>
      </c>
      <c r="L334" s="471" t="n">
        <v>2</v>
      </c>
      <c r="M334" s="471" t="n"/>
      <c r="N334" s="473" t="n">
        <v>0</v>
      </c>
      <c r="O334" s="473" t="n">
        <v>0.6899999999999999</v>
      </c>
      <c r="P334" s="475" t="n">
        <v>0.96</v>
      </c>
      <c r="Q334" s="471" t="n">
        <v>5.6</v>
      </c>
      <c r="R334" s="132" t="n">
        <v>13.9</v>
      </c>
      <c r="S334" s="471" t="n">
        <v>5.2</v>
      </c>
      <c r="T334" s="132" t="n">
        <v>15</v>
      </c>
      <c r="U334" s="471" t="n">
        <v>0</v>
      </c>
      <c r="V334" s="471" t="n"/>
      <c r="W334" s="471" t="n">
        <v>15</v>
      </c>
      <c r="X334" s="476">
        <f>W334/K334</f>
        <v/>
      </c>
      <c r="Y334" s="471" t="n"/>
      <c r="Z334" s="471" t="n"/>
      <c r="AA334" s="471" t="n"/>
      <c r="AB334" s="471" t="n"/>
      <c r="AC334" s="471" t="n"/>
      <c r="AD334" s="471" t="n"/>
      <c r="AE334" s="471" t="n"/>
      <c r="AF334" s="471" t="n"/>
      <c r="AG334" s="471" t="n"/>
    </row>
    <row r="335">
      <c r="A335" s="483" t="n"/>
      <c r="B335" s="706" t="n"/>
      <c r="C335" s="471" t="n">
        <v>81</v>
      </c>
      <c r="D335" s="471" t="inlineStr">
        <is>
          <t>Radi Quartier</t>
        </is>
      </c>
      <c r="E335" s="480" t="inlineStr">
        <is>
          <t>Safo</t>
        </is>
      </c>
      <c r="F335" s="471" t="inlineStr">
        <is>
          <t>Control</t>
        </is>
      </c>
      <c r="G335" s="471" t="n">
        <v>2024</v>
      </c>
      <c r="H335" s="471" t="n">
        <v>2025</v>
      </c>
      <c r="I335" s="471" t="n">
        <v>0</v>
      </c>
      <c r="J335" s="471" t="n">
        <v>0</v>
      </c>
      <c r="K335" s="273" t="n">
        <v>42</v>
      </c>
      <c r="L335" s="477" t="n">
        <v>0</v>
      </c>
      <c r="M335" s="471" t="n"/>
      <c r="N335" s="473" t="n">
        <v>0.14</v>
      </c>
      <c r="O335" s="473" t="n">
        <v>0.19</v>
      </c>
      <c r="P335" s="475" t="n">
        <v>0.75</v>
      </c>
      <c r="Q335" s="471" t="n">
        <v>0.67</v>
      </c>
      <c r="R335" s="132" t="n">
        <v>3.5</v>
      </c>
      <c r="S335" s="471" t="n">
        <v>0.58</v>
      </c>
      <c r="T335" s="132" t="n">
        <v>5.5</v>
      </c>
      <c r="U335" s="471" t="n">
        <v>0</v>
      </c>
      <c r="V335" s="471" t="n"/>
      <c r="W335" s="483" t="n">
        <v>22</v>
      </c>
      <c r="X335" s="476">
        <f>W335/K335</f>
        <v/>
      </c>
      <c r="Y335" s="471" t="n"/>
      <c r="Z335" s="471" t="n"/>
      <c r="AA335" s="471" t="n"/>
      <c r="AB335" s="471" t="n"/>
      <c r="AC335" s="471" t="n"/>
      <c r="AD335" s="471" t="n"/>
      <c r="AE335" s="471" t="n"/>
      <c r="AF335" s="471" t="n"/>
      <c r="AG335" s="471" t="n"/>
    </row>
    <row r="336">
      <c r="A336" s="480" t="n"/>
      <c r="B336" s="722" t="n">
        <v>8</v>
      </c>
      <c r="C336" s="420" t="n">
        <v>9</v>
      </c>
      <c r="D336" s="420" t="inlineStr">
        <is>
          <t>Yari Idi</t>
        </is>
      </c>
      <c r="E336" s="420" t="inlineStr">
        <is>
          <t>Tibiri</t>
        </is>
      </c>
      <c r="F336" s="420" t="inlineStr">
        <is>
          <t>Intervention</t>
        </is>
      </c>
      <c r="G336" s="420" t="n">
        <v>2024</v>
      </c>
      <c r="H336" s="420" t="n">
        <v>2025</v>
      </c>
      <c r="I336" s="420" t="n">
        <v>1</v>
      </c>
      <c r="J336" s="420" t="n">
        <v>3</v>
      </c>
      <c r="K336" s="420" t="n">
        <v>43</v>
      </c>
      <c r="L336" s="420" t="n">
        <v>2</v>
      </c>
      <c r="M336" s="420" t="n"/>
      <c r="N336" s="425" t="n">
        <v>0</v>
      </c>
      <c r="O336" s="425" t="n">
        <v>0.5600000000000001</v>
      </c>
      <c r="P336" s="425" t="n">
        <v>0.96</v>
      </c>
      <c r="Q336" s="420" t="n">
        <v>3.3</v>
      </c>
      <c r="R336" s="420" t="n">
        <v>16</v>
      </c>
      <c r="S336" s="420" t="n">
        <v>3.8</v>
      </c>
      <c r="T336" s="420" t="n">
        <v>15.7</v>
      </c>
      <c r="U336" s="420" t="n">
        <v>0</v>
      </c>
      <c r="V336" s="420" t="n"/>
      <c r="W336" s="420" t="n">
        <v>16</v>
      </c>
      <c r="X336" s="476">
        <f>W336/K336</f>
        <v/>
      </c>
      <c r="Y336" s="420" t="n"/>
      <c r="Z336" s="420" t="n"/>
      <c r="AA336" s="420" t="n"/>
      <c r="AB336" s="420" t="n"/>
      <c r="AC336" s="420" t="n"/>
      <c r="AD336" s="420" t="n"/>
      <c r="AE336" s="420" t="n"/>
      <c r="AF336" s="420" t="n"/>
      <c r="AG336" s="420" t="n"/>
    </row>
    <row r="337">
      <c r="A337" s="480" t="n"/>
      <c r="B337" s="706" t="n"/>
      <c r="C337" s="420" t="n">
        <v>74</v>
      </c>
      <c r="D337" s="420" t="inlineStr">
        <is>
          <t>Maza Tsaye 1</t>
        </is>
      </c>
      <c r="E337" s="420" t="inlineStr">
        <is>
          <t>Tibiri</t>
        </is>
      </c>
      <c r="F337" s="420" t="inlineStr">
        <is>
          <t>Control</t>
        </is>
      </c>
      <c r="G337" s="480" t="n">
        <v>2024</v>
      </c>
      <c r="H337" s="480" t="n">
        <v>2025</v>
      </c>
      <c r="I337" s="420" t="n">
        <v>0</v>
      </c>
      <c r="J337" s="420" t="n">
        <v>0</v>
      </c>
      <c r="K337" s="423" t="n">
        <v>49</v>
      </c>
      <c r="L337" s="481" t="n">
        <v>0</v>
      </c>
      <c r="M337" s="420" t="n"/>
      <c r="N337" s="425" t="n">
        <v>0.16</v>
      </c>
      <c r="O337" s="425" t="n">
        <v>0.39</v>
      </c>
      <c r="P337" s="425" t="n">
        <v>0.84</v>
      </c>
      <c r="Q337" s="420" t="n">
        <v>2.1</v>
      </c>
      <c r="R337" s="420" t="n">
        <v>6</v>
      </c>
      <c r="S337" s="420" t="n">
        <v>1.7</v>
      </c>
      <c r="T337" s="420" t="n">
        <v>6.9</v>
      </c>
      <c r="U337" s="420" t="n">
        <v>0</v>
      </c>
      <c r="V337" s="420" t="n"/>
      <c r="W337" s="420" t="n">
        <v>14</v>
      </c>
      <c r="X337" s="476">
        <f>W337/K337</f>
        <v/>
      </c>
      <c r="Y337" s="420" t="n"/>
      <c r="Z337" s="420" t="n"/>
      <c r="AA337" s="420" t="n"/>
      <c r="AB337" s="420" t="n"/>
      <c r="AC337" s="420" t="n"/>
      <c r="AD337" s="420" t="n"/>
      <c r="AE337" s="420" t="n"/>
      <c r="AF337" s="420" t="n"/>
      <c r="AG337" s="420" t="n"/>
    </row>
    <row r="338">
      <c r="A338" s="483" t="n"/>
      <c r="B338" s="721" t="n">
        <v>9</v>
      </c>
      <c r="C338" s="471" t="n">
        <v>3</v>
      </c>
      <c r="D338" s="471" t="inlineStr">
        <is>
          <t>Kalgon Waraou</t>
        </is>
      </c>
      <c r="E338" s="420" t="inlineStr">
        <is>
          <t>Tibiri</t>
        </is>
      </c>
      <c r="F338" s="471" t="inlineStr">
        <is>
          <t>Intervention</t>
        </is>
      </c>
      <c r="G338" s="471" t="n">
        <v>2024</v>
      </c>
      <c r="H338" s="471" t="n">
        <v>2025</v>
      </c>
      <c r="I338" s="471" t="n">
        <v>6</v>
      </c>
      <c r="J338" s="471" t="n">
        <v>3</v>
      </c>
      <c r="K338" s="471" t="n">
        <v>36</v>
      </c>
      <c r="L338" s="471" t="n">
        <v>2</v>
      </c>
      <c r="M338" s="471" t="n"/>
      <c r="N338" s="473" t="n">
        <v>0</v>
      </c>
      <c r="O338" s="473" t="n">
        <v>0.49</v>
      </c>
      <c r="P338" s="475" t="n">
        <v>0.95</v>
      </c>
      <c r="Q338" s="471" t="n">
        <v>4.2</v>
      </c>
      <c r="R338" s="132" t="n">
        <v>15.6</v>
      </c>
      <c r="S338" s="471" t="n">
        <v>4.5</v>
      </c>
      <c r="T338" s="132" t="n">
        <v>16.6</v>
      </c>
      <c r="U338" s="471" t="n">
        <v>0</v>
      </c>
      <c r="V338" s="471" t="n"/>
      <c r="W338" s="483" t="n">
        <v>8</v>
      </c>
      <c r="X338" s="476">
        <f>W338/K338</f>
        <v/>
      </c>
      <c r="Y338" s="471" t="n"/>
      <c r="Z338" s="471" t="n"/>
      <c r="AA338" s="471" t="n"/>
      <c r="AB338" s="471" t="n"/>
      <c r="AC338" s="471" t="n"/>
      <c r="AD338" s="471" t="n"/>
      <c r="AE338" s="471" t="n"/>
      <c r="AF338" s="471" t="n"/>
      <c r="AG338" s="471" t="n"/>
    </row>
    <row r="339">
      <c r="A339" s="483" t="n"/>
      <c r="B339" s="706" t="n"/>
      <c r="C339" s="471" t="n">
        <v>65</v>
      </c>
      <c r="D339" s="471" t="inlineStr">
        <is>
          <t>Guigamaoua</t>
        </is>
      </c>
      <c r="E339" s="420" t="inlineStr">
        <is>
          <t>Tibiri</t>
        </is>
      </c>
      <c r="F339" s="471" t="inlineStr">
        <is>
          <t>Control</t>
        </is>
      </c>
      <c r="G339" s="471" t="n">
        <v>2024</v>
      </c>
      <c r="H339" s="471" t="n">
        <v>2025</v>
      </c>
      <c r="I339" s="471" t="n">
        <v>0</v>
      </c>
      <c r="J339" s="471" t="n">
        <v>0</v>
      </c>
      <c r="K339" s="273" t="n">
        <v>4</v>
      </c>
      <c r="L339" s="477" t="n">
        <v>0</v>
      </c>
      <c r="M339" s="471" t="n"/>
      <c r="N339" s="473" t="n">
        <v>0</v>
      </c>
      <c r="O339" s="473" t="n">
        <v>0.5</v>
      </c>
      <c r="P339" s="475" t="n">
        <v>1</v>
      </c>
      <c r="Q339" s="471" t="n">
        <v>0</v>
      </c>
      <c r="R339" s="132" t="n">
        <v>5</v>
      </c>
      <c r="S339" s="471" t="n">
        <v>0.5</v>
      </c>
      <c r="T339" s="132" t="n">
        <v>7.4</v>
      </c>
      <c r="U339" s="471" t="n">
        <v>0</v>
      </c>
      <c r="V339" s="471" t="n"/>
      <c r="W339" s="483" t="n">
        <v>2</v>
      </c>
      <c r="X339" s="476">
        <f>W339/K339</f>
        <v/>
      </c>
      <c r="Y339" s="471" t="n"/>
      <c r="Z339" s="471" t="n"/>
      <c r="AA339" s="471" t="n"/>
      <c r="AB339" s="471" t="n"/>
      <c r="AC339" s="471" t="n"/>
      <c r="AD339" s="471" t="n"/>
      <c r="AE339" s="471" t="n"/>
      <c r="AF339" s="471" t="n"/>
      <c r="AG339" s="471" t="n"/>
    </row>
    <row r="340">
      <c r="A340" s="480" t="n"/>
      <c r="B340" s="722" t="n">
        <v>10</v>
      </c>
      <c r="C340" s="420" t="n">
        <v>5</v>
      </c>
      <c r="D340" s="420" t="inlineStr">
        <is>
          <t>Dan Fillo</t>
        </is>
      </c>
      <c r="E340" s="420" t="inlineStr">
        <is>
          <t>Tibiri</t>
        </is>
      </c>
      <c r="F340" s="420" t="inlineStr">
        <is>
          <t>Intervention</t>
        </is>
      </c>
      <c r="G340" s="420" t="n">
        <v>2024</v>
      </c>
      <c r="H340" s="420" t="n">
        <v>2025</v>
      </c>
      <c r="I340" s="420" t="n">
        <v>6</v>
      </c>
      <c r="J340" s="420" t="n">
        <v>3</v>
      </c>
      <c r="K340" s="420" t="n">
        <v>40</v>
      </c>
      <c r="L340" s="420" t="n">
        <v>2</v>
      </c>
      <c r="M340" s="420" t="n"/>
      <c r="N340" s="425" t="n">
        <v>0</v>
      </c>
      <c r="O340" s="425" t="n">
        <v>0.63</v>
      </c>
      <c r="P340" s="425" t="n">
        <v>0.92</v>
      </c>
      <c r="Q340" s="420" t="n">
        <v>6.4</v>
      </c>
      <c r="R340" s="420" t="n">
        <v>13.9</v>
      </c>
      <c r="S340" s="420" t="n">
        <v>4.8</v>
      </c>
      <c r="T340" s="420" t="n">
        <v>15.3</v>
      </c>
      <c r="U340" s="420" t="n">
        <v>0</v>
      </c>
      <c r="V340" s="420" t="n"/>
      <c r="W340" s="420" t="n">
        <v>15</v>
      </c>
      <c r="X340" s="476">
        <f>W340/K340</f>
        <v/>
      </c>
      <c r="Y340" s="420" t="n"/>
      <c r="Z340" s="420" t="n"/>
      <c r="AA340" s="420" t="n"/>
      <c r="AB340" s="420" t="n"/>
      <c r="AC340" s="420" t="n"/>
      <c r="AD340" s="420" t="n"/>
      <c r="AE340" s="420" t="n"/>
      <c r="AF340" s="420" t="n"/>
      <c r="AG340" s="420" t="n"/>
    </row>
    <row r="341">
      <c r="A341" s="480" t="n"/>
      <c r="B341" s="706" t="n"/>
      <c r="C341" s="420" t="n">
        <v>69</v>
      </c>
      <c r="D341" s="420" t="inlineStr">
        <is>
          <t>Karakara 2</t>
        </is>
      </c>
      <c r="E341" s="420" t="inlineStr">
        <is>
          <t>Tibiri</t>
        </is>
      </c>
      <c r="F341" s="420" t="inlineStr">
        <is>
          <t>Control</t>
        </is>
      </c>
      <c r="G341" s="480" t="n">
        <v>2024</v>
      </c>
      <c r="H341" s="480" t="n">
        <v>2025</v>
      </c>
      <c r="I341" s="420" t="n">
        <v>0</v>
      </c>
      <c r="J341" s="420" t="n">
        <v>0</v>
      </c>
      <c r="K341" s="423" t="n">
        <v>32</v>
      </c>
      <c r="L341" s="481" t="n">
        <v>0</v>
      </c>
      <c r="M341" s="420" t="n"/>
      <c r="N341" s="425" t="n">
        <v>0.13</v>
      </c>
      <c r="O341" s="425" t="n">
        <v>0.41</v>
      </c>
      <c r="P341" s="425" t="n">
        <v>0.77</v>
      </c>
      <c r="Q341" s="420" t="n">
        <v>0.9</v>
      </c>
      <c r="R341" s="420" t="n">
        <v>6.2</v>
      </c>
      <c r="S341" s="420" t="n">
        <v>1</v>
      </c>
      <c r="T341" s="420" t="n">
        <v>5.6</v>
      </c>
      <c r="U341" s="420" t="n">
        <v>0</v>
      </c>
      <c r="V341" s="420" t="n"/>
      <c r="W341" s="420" t="n">
        <v>13</v>
      </c>
      <c r="X341" s="476">
        <f>W341/K341</f>
        <v/>
      </c>
      <c r="Y341" s="420" t="n"/>
      <c r="Z341" s="420" t="n"/>
      <c r="AA341" s="420" t="n"/>
      <c r="AB341" s="420" t="n"/>
      <c r="AC341" s="420" t="n"/>
      <c r="AD341" s="420" t="n"/>
      <c r="AE341" s="420" t="n"/>
      <c r="AF341" s="420" t="n"/>
      <c r="AG341" s="420" t="n"/>
    </row>
    <row r="342">
      <c r="A342" s="484" t="n"/>
      <c r="B342" s="721" t="n">
        <v>11</v>
      </c>
      <c r="C342" s="471" t="n">
        <v>6</v>
      </c>
      <c r="D342" s="471" t="inlineStr">
        <is>
          <t>Galma 1</t>
        </is>
      </c>
      <c r="E342" s="420" t="inlineStr">
        <is>
          <t>Tibiri</t>
        </is>
      </c>
      <c r="F342" s="471" t="inlineStr">
        <is>
          <t>Intervention</t>
        </is>
      </c>
      <c r="G342" s="471" t="n">
        <v>2024</v>
      </c>
      <c r="H342" s="471" t="n">
        <v>2025</v>
      </c>
      <c r="I342" s="471" t="n">
        <v>5</v>
      </c>
      <c r="J342" s="471" t="n">
        <v>3</v>
      </c>
      <c r="K342" s="471" t="n">
        <v>36</v>
      </c>
      <c r="L342" s="471" t="n">
        <v>2</v>
      </c>
      <c r="M342" s="471" t="n"/>
      <c r="N342" s="473" t="n">
        <v>0</v>
      </c>
      <c r="O342" s="473" t="n">
        <v>0.53</v>
      </c>
      <c r="P342" s="475" t="n">
        <v>0.95</v>
      </c>
      <c r="Q342" s="471" t="n">
        <v>4.2</v>
      </c>
      <c r="R342" s="132" t="n">
        <v>12.4</v>
      </c>
      <c r="S342" s="471" t="n">
        <v>4.7</v>
      </c>
      <c r="T342" s="132" t="n">
        <v>13.3</v>
      </c>
      <c r="U342" s="471" t="n">
        <v>0</v>
      </c>
      <c r="V342" s="471" t="n"/>
      <c r="W342" s="483" t="n">
        <v>16</v>
      </c>
      <c r="X342" s="476">
        <f>W342/K342</f>
        <v/>
      </c>
      <c r="Y342" s="471" t="n"/>
      <c r="Z342" s="471" t="n"/>
      <c r="AA342" s="471" t="n"/>
      <c r="AB342" s="471" t="n"/>
      <c r="AC342" s="471" t="n"/>
      <c r="AD342" s="471" t="n"/>
      <c r="AE342" s="471" t="n"/>
      <c r="AF342" s="471" t="n"/>
      <c r="AG342" s="471" t="n"/>
    </row>
    <row r="343">
      <c r="A343" s="484" t="n"/>
      <c r="B343" s="706" t="n"/>
      <c r="C343" s="471" t="n">
        <v>73</v>
      </c>
      <c r="D343" s="471" t="inlineStr">
        <is>
          <t>Yan Belbelou 3</t>
        </is>
      </c>
      <c r="E343" s="420" t="inlineStr">
        <is>
          <t>Tibiri</t>
        </is>
      </c>
      <c r="F343" s="471" t="inlineStr">
        <is>
          <t>Control</t>
        </is>
      </c>
      <c r="G343" s="471" t="n">
        <v>2024</v>
      </c>
      <c r="H343" s="471" t="n">
        <v>2025</v>
      </c>
      <c r="I343" s="471" t="n">
        <v>0</v>
      </c>
      <c r="J343" s="471" t="n">
        <v>0</v>
      </c>
      <c r="K343" s="273" t="n">
        <v>48</v>
      </c>
      <c r="L343" s="477" t="n">
        <v>0</v>
      </c>
      <c r="M343" s="471" t="n"/>
      <c r="N343" s="473" t="n">
        <v>0.19</v>
      </c>
      <c r="O343" s="473" t="n">
        <v>0.29</v>
      </c>
      <c r="P343" s="475" t="n">
        <v>0.86</v>
      </c>
      <c r="Q343" s="471" t="n">
        <v>0.7</v>
      </c>
      <c r="R343" s="132" t="n">
        <v>6.5</v>
      </c>
      <c r="S343" s="471" t="n">
        <v>1.3</v>
      </c>
      <c r="T343" s="132" t="n">
        <v>7.1</v>
      </c>
      <c r="U343" s="471" t="n">
        <v>0</v>
      </c>
      <c r="V343" s="471" t="n"/>
      <c r="W343" s="483" t="n">
        <v>19</v>
      </c>
      <c r="X343" s="476">
        <f>W343/K343</f>
        <v/>
      </c>
      <c r="Y343" s="471" t="n"/>
      <c r="Z343" s="471" t="n"/>
      <c r="AA343" s="471" t="n"/>
      <c r="AB343" s="471" t="n"/>
      <c r="AC343" s="471" t="n"/>
      <c r="AD343" s="471" t="n"/>
      <c r="AE343" s="471" t="n"/>
      <c r="AF343" s="471" t="n"/>
      <c r="AG343" s="471" t="n"/>
    </row>
    <row r="344">
      <c r="A344" s="485" t="n"/>
      <c r="B344" s="722" t="n">
        <v>12</v>
      </c>
      <c r="C344" s="423" t="n">
        <v>7</v>
      </c>
      <c r="D344" s="423" t="inlineStr">
        <is>
          <t>Galma 2</t>
        </is>
      </c>
      <c r="E344" s="420" t="inlineStr">
        <is>
          <t>Tibiri</t>
        </is>
      </c>
      <c r="F344" s="423" t="inlineStr">
        <is>
          <t>Intervention</t>
        </is>
      </c>
      <c r="G344" s="420" t="n">
        <v>2024</v>
      </c>
      <c r="H344" s="420" t="n">
        <v>2025</v>
      </c>
      <c r="I344" s="423" t="n">
        <v>5</v>
      </c>
      <c r="J344" s="423" t="n">
        <v>2</v>
      </c>
      <c r="K344" s="423" t="n">
        <v>33</v>
      </c>
      <c r="L344" s="420" t="n">
        <v>2</v>
      </c>
      <c r="M344" s="420" t="n"/>
      <c r="N344" s="425" t="n">
        <v>0.03</v>
      </c>
      <c r="O344" s="425" t="n">
        <v>0.4</v>
      </c>
      <c r="P344" s="425" t="n">
        <v>0.85</v>
      </c>
      <c r="Q344" s="420" t="n">
        <v>3.2</v>
      </c>
      <c r="R344" s="420" t="n">
        <v>11.4</v>
      </c>
      <c r="S344" s="420" t="n">
        <v>3.4</v>
      </c>
      <c r="T344" s="420" t="n">
        <v>11.7</v>
      </c>
      <c r="U344" s="420" t="n">
        <v>0</v>
      </c>
      <c r="V344" s="420" t="n"/>
      <c r="W344" s="420" t="n">
        <v>19</v>
      </c>
      <c r="X344" s="476">
        <f>W344/K344</f>
        <v/>
      </c>
      <c r="Y344" s="420" t="n"/>
      <c r="Z344" s="420" t="n"/>
      <c r="AA344" s="420" t="n"/>
      <c r="AB344" s="420" t="n"/>
      <c r="AC344" s="420" t="n"/>
      <c r="AD344" s="420" t="n"/>
      <c r="AE344" s="420" t="n"/>
      <c r="AF344" s="420" t="n"/>
      <c r="AG344" s="420" t="n"/>
    </row>
    <row r="345">
      <c r="A345" s="485" t="n"/>
      <c r="B345" s="706" t="n"/>
      <c r="C345" s="423" t="n">
        <v>66</v>
      </c>
      <c r="D345" s="423" t="inlineStr">
        <is>
          <t>Sarkin Aski</t>
        </is>
      </c>
      <c r="E345" s="420" t="inlineStr">
        <is>
          <t>Tibiri</t>
        </is>
      </c>
      <c r="F345" s="423" t="inlineStr">
        <is>
          <t>Control</t>
        </is>
      </c>
      <c r="G345" s="480" t="n">
        <v>2024</v>
      </c>
      <c r="H345" s="480" t="n">
        <v>2025</v>
      </c>
      <c r="I345" s="423" t="n">
        <v>0</v>
      </c>
      <c r="J345" s="423" t="n">
        <v>0</v>
      </c>
      <c r="K345" s="423" t="n">
        <v>9</v>
      </c>
      <c r="L345" s="481" t="n">
        <v>0</v>
      </c>
      <c r="M345" s="420" t="n"/>
      <c r="N345" s="425" t="n">
        <v>0</v>
      </c>
      <c r="O345" s="425" t="n">
        <v>0.33</v>
      </c>
      <c r="P345" s="425" t="n">
        <v>1</v>
      </c>
      <c r="Q345" s="420" t="n">
        <v>3.7</v>
      </c>
      <c r="R345" s="420" t="n">
        <v>5.7</v>
      </c>
      <c r="S345" s="420" t="n">
        <v>3.8</v>
      </c>
      <c r="T345" s="420" t="n">
        <v>5.8</v>
      </c>
      <c r="U345" s="420" t="n">
        <v>2</v>
      </c>
      <c r="V345" s="420" t="n"/>
      <c r="W345" s="420" t="n">
        <v>6</v>
      </c>
      <c r="X345" s="476">
        <f>W345/K345</f>
        <v/>
      </c>
      <c r="Y345" s="420" t="n"/>
      <c r="Z345" s="420" t="n"/>
      <c r="AA345" s="420" t="n"/>
      <c r="AB345" s="420" t="n"/>
      <c r="AC345" s="420" t="n"/>
      <c r="AD345" s="420" t="n"/>
      <c r="AE345" s="420" t="n"/>
      <c r="AF345" s="420" t="n"/>
      <c r="AG345" s="420" t="n"/>
    </row>
    <row r="346">
      <c r="A346" s="484" t="n"/>
      <c r="B346" s="721" t="n">
        <v>13</v>
      </c>
      <c r="C346" s="487" t="n">
        <v>13</v>
      </c>
      <c r="D346" s="487" t="inlineStr">
        <is>
          <t>Soura Magagin Rogo</t>
        </is>
      </c>
      <c r="E346" s="420" t="inlineStr">
        <is>
          <t>Tibiri</t>
        </is>
      </c>
      <c r="F346" s="487" t="inlineStr">
        <is>
          <t>Intervention</t>
        </is>
      </c>
      <c r="G346" s="471" t="n">
        <v>2024</v>
      </c>
      <c r="H346" s="471" t="n">
        <v>2025</v>
      </c>
      <c r="I346" s="487" t="n">
        <v>4</v>
      </c>
      <c r="J346" s="487" t="n">
        <v>3</v>
      </c>
      <c r="K346" s="487" t="n">
        <v>36</v>
      </c>
      <c r="L346" s="471" t="n">
        <v>2</v>
      </c>
      <c r="M346" s="471" t="n"/>
      <c r="N346" s="473" t="n">
        <v>0</v>
      </c>
      <c r="O346" s="473" t="n">
        <v>0.53</v>
      </c>
      <c r="P346" s="475" t="n">
        <v>1</v>
      </c>
      <c r="Q346" s="471" t="n">
        <v>3.6</v>
      </c>
      <c r="R346" s="132" t="n">
        <v>14.2</v>
      </c>
      <c r="S346" s="471" t="n">
        <v>3.8</v>
      </c>
      <c r="T346" s="132" t="n">
        <v>14.2</v>
      </c>
      <c r="U346" s="471" t="n">
        <v>0</v>
      </c>
      <c r="V346" s="471" t="n"/>
      <c r="W346" s="483" t="n">
        <v>5</v>
      </c>
      <c r="X346" s="476">
        <f>W346/K346</f>
        <v/>
      </c>
      <c r="Y346" s="471" t="n"/>
      <c r="Z346" s="471" t="n"/>
      <c r="AA346" s="471" t="n"/>
      <c r="AB346" s="471" t="n"/>
      <c r="AC346" s="471" t="n"/>
      <c r="AD346" s="471" t="n"/>
      <c r="AE346" s="471" t="n"/>
      <c r="AF346" s="471" t="n"/>
      <c r="AG346" s="471" t="n"/>
    </row>
    <row r="347">
      <c r="A347" s="484" t="n"/>
      <c r="B347" s="706" t="n"/>
      <c r="C347" s="487" t="n">
        <v>76</v>
      </c>
      <c r="D347" s="487" t="inlineStr">
        <is>
          <t>Maisso</t>
        </is>
      </c>
      <c r="E347" s="420" t="inlineStr">
        <is>
          <t>Tibiri</t>
        </is>
      </c>
      <c r="F347" s="487" t="inlineStr">
        <is>
          <t>Control</t>
        </is>
      </c>
      <c r="G347" s="471" t="n">
        <v>2024</v>
      </c>
      <c r="H347" s="471" t="n">
        <v>2025</v>
      </c>
      <c r="I347" s="487" t="n">
        <v>0</v>
      </c>
      <c r="J347" s="487" t="n">
        <v>0</v>
      </c>
      <c r="K347" s="273" t="n">
        <v>12</v>
      </c>
      <c r="L347" s="477" t="n">
        <v>0</v>
      </c>
      <c r="M347" s="471" t="n"/>
      <c r="N347" s="473" t="n">
        <v>0</v>
      </c>
      <c r="O347" s="473" t="n">
        <v>0.42</v>
      </c>
      <c r="P347" s="475" t="n">
        <v>0.8</v>
      </c>
      <c r="Q347" s="471" t="n">
        <v>2.5</v>
      </c>
      <c r="R347" s="132" t="n">
        <v>5.8</v>
      </c>
      <c r="S347" s="471" t="n">
        <v>1.5</v>
      </c>
      <c r="T347" s="132" t="n">
        <v>6.3</v>
      </c>
      <c r="U347" s="471" t="n">
        <v>2</v>
      </c>
      <c r="V347" s="471" t="n"/>
      <c r="W347" s="483" t="n">
        <v>5</v>
      </c>
      <c r="X347" s="476">
        <f>W347/K347</f>
        <v/>
      </c>
      <c r="Y347" s="471" t="n"/>
      <c r="Z347" s="471" t="n"/>
      <c r="AA347" s="471" t="n"/>
      <c r="AB347" s="471" t="n"/>
      <c r="AC347" s="471" t="n"/>
      <c r="AD347" s="471" t="n"/>
      <c r="AE347" s="471" t="n"/>
      <c r="AF347" s="471" t="n"/>
      <c r="AG347" s="471" t="n"/>
    </row>
    <row r="348">
      <c r="A348" s="485" t="n"/>
      <c r="B348" s="722" t="n">
        <v>14</v>
      </c>
      <c r="C348" s="423" t="n">
        <v>3</v>
      </c>
      <c r="D348" s="423" t="inlineStr">
        <is>
          <t>Waraou</t>
        </is>
      </c>
      <c r="E348" s="420" t="inlineStr">
        <is>
          <t>Tibiri</t>
        </is>
      </c>
      <c r="F348" s="423" t="inlineStr">
        <is>
          <t>Intervention</t>
        </is>
      </c>
      <c r="G348" s="420" t="n">
        <v>2024</v>
      </c>
      <c r="H348" s="420" t="n">
        <v>2025</v>
      </c>
      <c r="I348" s="423" t="n">
        <v>5</v>
      </c>
      <c r="J348" s="423" t="n">
        <v>3</v>
      </c>
      <c r="K348" s="423" t="n">
        <v>40</v>
      </c>
      <c r="L348" s="420" t="n">
        <v>2</v>
      </c>
      <c r="M348" s="420" t="n"/>
      <c r="N348" s="425" t="n">
        <v>0</v>
      </c>
      <c r="O348" s="425" t="n">
        <v>0.49</v>
      </c>
      <c r="P348" s="425" t="n">
        <v>0.95</v>
      </c>
      <c r="Q348" s="420" t="n">
        <v>3.4</v>
      </c>
      <c r="R348" s="420" t="n">
        <v>12.3</v>
      </c>
      <c r="S348" s="420" t="n">
        <v>3.3</v>
      </c>
      <c r="T348" s="420" t="n">
        <v>11.2</v>
      </c>
      <c r="U348" s="420" t="n">
        <v>0</v>
      </c>
      <c r="V348" s="420" t="n"/>
      <c r="W348" s="420" t="n">
        <v>5</v>
      </c>
      <c r="X348" s="476">
        <f>W348/K348</f>
        <v/>
      </c>
      <c r="Y348" s="420" t="n"/>
      <c r="Z348" s="420" t="n"/>
      <c r="AA348" s="420" t="n"/>
      <c r="AB348" s="420" t="n"/>
      <c r="AC348" s="420" t="n"/>
      <c r="AD348" s="420" t="n"/>
      <c r="AE348" s="420" t="n"/>
      <c r="AF348" s="420" t="n"/>
      <c r="AG348" s="420" t="n"/>
    </row>
    <row r="349">
      <c r="A349" s="485" t="n"/>
      <c r="B349" s="706" t="n"/>
      <c r="C349" s="423" t="n">
        <v>72</v>
      </c>
      <c r="D349" s="423" t="inlineStr">
        <is>
          <t>Garin Daoure 2</t>
        </is>
      </c>
      <c r="E349" s="420" t="inlineStr">
        <is>
          <t>Tibiri</t>
        </is>
      </c>
      <c r="F349" s="423" t="inlineStr">
        <is>
          <t>Control</t>
        </is>
      </c>
      <c r="G349" s="480" t="n">
        <v>2024</v>
      </c>
      <c r="H349" s="480" t="n">
        <v>2025</v>
      </c>
      <c r="I349" s="423" t="n">
        <v>0</v>
      </c>
      <c r="J349" s="423" t="n">
        <v>0</v>
      </c>
      <c r="K349" s="423" t="n">
        <v>14</v>
      </c>
      <c r="L349" s="481" t="n">
        <v>0</v>
      </c>
      <c r="M349" s="420" t="n"/>
      <c r="N349" s="425" t="n">
        <v>0.07000000000000001</v>
      </c>
      <c r="O349" s="425" t="n">
        <v>0.29</v>
      </c>
      <c r="P349" s="425" t="n">
        <v>1</v>
      </c>
      <c r="Q349" s="420" t="n">
        <v>1.2</v>
      </c>
      <c r="R349" s="420" t="n">
        <v>6.5</v>
      </c>
      <c r="S349" s="420" t="n">
        <v>1.6</v>
      </c>
      <c r="T349" s="420" t="n">
        <v>6.4</v>
      </c>
      <c r="U349" s="420" t="n">
        <v>0</v>
      </c>
      <c r="V349" s="420" t="n"/>
      <c r="W349" s="420" t="n">
        <v>9</v>
      </c>
      <c r="X349" s="476">
        <f>W349/K349</f>
        <v/>
      </c>
      <c r="Y349" s="420" t="n"/>
      <c r="Z349" s="420" t="n"/>
      <c r="AA349" s="420" t="n"/>
      <c r="AB349" s="420" t="n"/>
      <c r="AC349" s="420" t="n"/>
      <c r="AD349" s="420" t="n"/>
      <c r="AE349" s="420" t="n"/>
      <c r="AF349" s="420" t="n"/>
      <c r="AG349" s="420" t="n"/>
    </row>
    <row r="350">
      <c r="A350" s="484" t="n"/>
      <c r="B350" s="721" t="n">
        <v>15</v>
      </c>
      <c r="C350" s="487" t="n">
        <v>10</v>
      </c>
      <c r="D350" s="487" t="inlineStr">
        <is>
          <t>Nord 3</t>
        </is>
      </c>
      <c r="E350" s="420" t="inlineStr">
        <is>
          <t>Tibiri</t>
        </is>
      </c>
      <c r="F350" s="487" t="inlineStr">
        <is>
          <t>Intervention</t>
        </is>
      </c>
      <c r="G350" s="471" t="n">
        <v>2024</v>
      </c>
      <c r="H350" s="471" t="n">
        <v>2025</v>
      </c>
      <c r="I350" s="487" t="n">
        <v>7</v>
      </c>
      <c r="J350" s="487" t="n">
        <v>1</v>
      </c>
      <c r="K350" s="487" t="n">
        <v>23</v>
      </c>
      <c r="L350" s="471" t="n">
        <v>2</v>
      </c>
      <c r="M350" s="471" t="n"/>
      <c r="N350" s="473" t="n">
        <v>0</v>
      </c>
      <c r="O350" s="473" t="n">
        <v>0.57</v>
      </c>
      <c r="P350" s="475" t="n">
        <v>0.85</v>
      </c>
      <c r="Q350" s="471" t="n">
        <v>3</v>
      </c>
      <c r="R350" s="132" t="n">
        <v>12.4</v>
      </c>
      <c r="S350" s="471" t="n">
        <v>2.7</v>
      </c>
      <c r="T350" s="132" t="n">
        <v>13.2</v>
      </c>
      <c r="U350" s="471" t="n">
        <v>0</v>
      </c>
      <c r="V350" s="471" t="n"/>
      <c r="W350" s="483" t="n">
        <v>8</v>
      </c>
      <c r="X350" s="476">
        <f>W350/K350</f>
        <v/>
      </c>
      <c r="Y350" s="471" t="n"/>
      <c r="Z350" s="471" t="n"/>
      <c r="AA350" s="471" t="n"/>
      <c r="AB350" s="471" t="n"/>
      <c r="AC350" s="471" t="n"/>
      <c r="AD350" s="471" t="n"/>
      <c r="AE350" s="471" t="n"/>
      <c r="AF350" s="471" t="n"/>
      <c r="AG350" s="471" t="n"/>
    </row>
    <row r="351">
      <c r="A351" s="484" t="n"/>
      <c r="B351" s="706" t="n"/>
      <c r="C351" s="487" t="n">
        <v>71</v>
      </c>
      <c r="D351" s="487" t="inlineStr">
        <is>
          <t>Garin Daoure 1</t>
        </is>
      </c>
      <c r="E351" s="420" t="inlineStr">
        <is>
          <t>Tibiri</t>
        </is>
      </c>
      <c r="F351" s="487" t="inlineStr">
        <is>
          <t>Control</t>
        </is>
      </c>
      <c r="G351" s="471" t="n">
        <v>2024</v>
      </c>
      <c r="H351" s="471" t="n">
        <v>2025</v>
      </c>
      <c r="I351" s="487" t="n">
        <v>0</v>
      </c>
      <c r="J351" s="487" t="n">
        <v>0</v>
      </c>
      <c r="K351" s="273" t="n">
        <v>22</v>
      </c>
      <c r="L351" s="477" t="n">
        <v>0</v>
      </c>
      <c r="M351" s="471" t="n"/>
      <c r="N351" s="473" t="n">
        <v>0.14</v>
      </c>
      <c r="O351" s="473" t="n">
        <v>0.36</v>
      </c>
      <c r="P351" s="475" t="n">
        <v>0.67</v>
      </c>
      <c r="Q351" s="471" t="n">
        <v>1</v>
      </c>
      <c r="R351" s="132" t="n">
        <v>7.2</v>
      </c>
      <c r="S351" s="471" t="n">
        <v>2.1</v>
      </c>
      <c r="T351" s="132" t="n">
        <v>6.2</v>
      </c>
      <c r="U351" s="471" t="n">
        <v>0</v>
      </c>
      <c r="V351" s="471" t="n"/>
      <c r="W351" s="483" t="n">
        <v>10</v>
      </c>
      <c r="X351" s="476">
        <f>W351/K351</f>
        <v/>
      </c>
      <c r="Y351" s="471" t="n"/>
      <c r="Z351" s="471" t="n"/>
      <c r="AA351" s="471" t="n"/>
      <c r="AB351" s="471" t="n"/>
      <c r="AC351" s="471" t="n"/>
      <c r="AD351" s="471" t="n"/>
      <c r="AE351" s="471" t="n"/>
      <c r="AF351" s="471" t="n"/>
      <c r="AG351" s="471" t="n"/>
    </row>
    <row r="352">
      <c r="A352" s="485" t="n"/>
      <c r="B352" s="722" t="n">
        <v>16</v>
      </c>
      <c r="C352" s="423" t="n">
        <v>22</v>
      </c>
      <c r="D352" s="423" t="inlineStr">
        <is>
          <t>Barouana</t>
        </is>
      </c>
      <c r="E352" s="423" t="inlineStr">
        <is>
          <t>Sae Saboua</t>
        </is>
      </c>
      <c r="F352" s="423" t="inlineStr">
        <is>
          <t>Intervention</t>
        </is>
      </c>
      <c r="G352" s="420" t="n">
        <v>2024</v>
      </c>
      <c r="H352" s="420" t="n">
        <v>2025</v>
      </c>
      <c r="I352" s="423" t="n">
        <v>4</v>
      </c>
      <c r="J352" s="423" t="n">
        <v>3</v>
      </c>
      <c r="K352" s="423" t="n">
        <v>40</v>
      </c>
      <c r="L352" s="420" t="n">
        <v>2</v>
      </c>
      <c r="M352" s="420" t="n"/>
      <c r="N352" s="425" t="n">
        <v>0</v>
      </c>
      <c r="O352" s="425" t="n">
        <v>0.6</v>
      </c>
      <c r="P352" s="425" t="n">
        <v>0.96</v>
      </c>
      <c r="Q352" s="420" t="n">
        <v>3.1</v>
      </c>
      <c r="R352" s="420" t="n">
        <v>17.9</v>
      </c>
      <c r="S352" s="420" t="n">
        <v>2.7</v>
      </c>
      <c r="T352" s="420" t="n">
        <v>17.6</v>
      </c>
      <c r="U352" s="420" t="n">
        <v>1</v>
      </c>
      <c r="V352" s="420" t="n"/>
      <c r="W352" s="420" t="n">
        <v>18</v>
      </c>
      <c r="X352" s="476">
        <f>W352/K352</f>
        <v/>
      </c>
      <c r="Y352" s="420" t="n"/>
      <c r="Z352" s="420" t="n"/>
      <c r="AA352" s="420" t="n"/>
      <c r="AB352" s="420" t="n"/>
      <c r="AC352" s="420" t="n"/>
      <c r="AD352" s="420" t="n"/>
      <c r="AE352" s="420" t="n"/>
      <c r="AF352" s="420" t="n"/>
      <c r="AG352" s="420" t="n"/>
    </row>
    <row r="353">
      <c r="A353" s="485" t="n"/>
      <c r="B353" s="706" t="n"/>
      <c r="C353" s="423" t="n">
        <v>88</v>
      </c>
      <c r="D353" s="423" t="inlineStr">
        <is>
          <t xml:space="preserve">Dan Gara </t>
        </is>
      </c>
      <c r="E353" s="423" t="inlineStr">
        <is>
          <t>Sae Saboua</t>
        </is>
      </c>
      <c r="F353" s="423" t="inlineStr">
        <is>
          <t>Control</t>
        </is>
      </c>
      <c r="G353" s="480" t="n">
        <v>2024</v>
      </c>
      <c r="H353" s="480" t="n">
        <v>2025</v>
      </c>
      <c r="I353" s="423" t="n">
        <v>0</v>
      </c>
      <c r="J353" s="423" t="n">
        <v>0</v>
      </c>
      <c r="K353" s="423" t="n">
        <v>39</v>
      </c>
      <c r="L353" s="481" t="n">
        <v>0</v>
      </c>
      <c r="M353" s="420" t="n"/>
      <c r="N353" s="425" t="n">
        <v>0.13</v>
      </c>
      <c r="O353" s="425" t="n">
        <v>0.26</v>
      </c>
      <c r="P353" s="425" t="n">
        <v>0.9</v>
      </c>
      <c r="Q353" s="420" t="n">
        <v>0.3</v>
      </c>
      <c r="R353" s="420" t="n">
        <v>6.5</v>
      </c>
      <c r="S353" s="420" t="n">
        <v>1.2</v>
      </c>
      <c r="T353" s="420" t="n">
        <v>6.2</v>
      </c>
      <c r="U353" s="420" t="n">
        <v>0</v>
      </c>
      <c r="V353" s="420" t="n"/>
      <c r="W353" s="420" t="n">
        <v>27</v>
      </c>
      <c r="X353" s="476">
        <f>W353/K353</f>
        <v/>
      </c>
      <c r="Y353" s="420" t="n"/>
      <c r="Z353" s="420" t="n"/>
      <c r="AA353" s="420" t="n"/>
      <c r="AB353" s="420" t="n"/>
      <c r="AC353" s="420" t="n"/>
      <c r="AD353" s="420" t="n"/>
      <c r="AE353" s="420" t="n"/>
      <c r="AF353" s="420" t="n"/>
      <c r="AG353" s="420" t="n"/>
    </row>
    <row r="354">
      <c r="A354" s="484" t="n"/>
      <c r="B354" s="721" t="n">
        <v>17</v>
      </c>
      <c r="C354" s="487" t="n">
        <v>17</v>
      </c>
      <c r="D354" s="487" t="inlineStr">
        <is>
          <t>Kadata</t>
        </is>
      </c>
      <c r="E354" s="423" t="inlineStr">
        <is>
          <t>Sae Saboua</t>
        </is>
      </c>
      <c r="F354" s="487" t="inlineStr">
        <is>
          <t>Intervention</t>
        </is>
      </c>
      <c r="G354" s="471" t="n">
        <v>2024</v>
      </c>
      <c r="H354" s="471" t="n">
        <v>2025</v>
      </c>
      <c r="I354" s="487" t="n">
        <v>4</v>
      </c>
      <c r="J354" s="487" t="n">
        <v>2</v>
      </c>
      <c r="K354" s="487" t="n">
        <v>32</v>
      </c>
      <c r="L354" s="471" t="n">
        <v>2</v>
      </c>
      <c r="M354" s="471" t="n"/>
      <c r="N354" s="473" t="n">
        <v>0</v>
      </c>
      <c r="O354" s="473" t="n">
        <v>0.5600000000000001</v>
      </c>
      <c r="P354" s="475" t="n">
        <v>1</v>
      </c>
      <c r="Q354" s="471" t="n">
        <v>5.1</v>
      </c>
      <c r="R354" s="132" t="n">
        <v>14.6</v>
      </c>
      <c r="S354" s="471" t="n">
        <v>7.1</v>
      </c>
      <c r="T354" s="132" t="n">
        <v>15.3</v>
      </c>
      <c r="U354" s="471" t="n">
        <v>2</v>
      </c>
      <c r="V354" s="471" t="n"/>
      <c r="W354" s="471" t="n">
        <v>14</v>
      </c>
      <c r="X354" s="476">
        <f>W354/K354</f>
        <v/>
      </c>
      <c r="Y354" s="471" t="n"/>
      <c r="Z354" s="471" t="n"/>
      <c r="AA354" s="471" t="n"/>
      <c r="AB354" s="471" t="n"/>
      <c r="AC354" s="471" t="n"/>
      <c r="AD354" s="471" t="n"/>
      <c r="AE354" s="471" t="n"/>
      <c r="AF354" s="471" t="n"/>
      <c r="AG354" s="471" t="n"/>
    </row>
    <row r="355">
      <c r="A355" s="484" t="n"/>
      <c r="B355" s="706" t="n"/>
      <c r="C355" s="487" t="n"/>
      <c r="D355" s="487" t="inlineStr">
        <is>
          <t xml:space="preserve">Karhin Hali </t>
        </is>
      </c>
      <c r="E355" s="423" t="inlineStr">
        <is>
          <t>Sae Saboua</t>
        </is>
      </c>
      <c r="F355" s="487" t="inlineStr">
        <is>
          <t>Control</t>
        </is>
      </c>
      <c r="G355" s="471" t="n">
        <v>2024</v>
      </c>
      <c r="H355" s="471" t="n">
        <v>2025</v>
      </c>
      <c r="I355" s="487" t="n">
        <v>0</v>
      </c>
      <c r="J355" s="487" t="n">
        <v>0</v>
      </c>
      <c r="K355" s="273" t="n">
        <v>32</v>
      </c>
      <c r="L355" s="477" t="n">
        <v>0</v>
      </c>
      <c r="M355" s="471" t="n"/>
      <c r="N355" s="473" t="n">
        <v>0.25</v>
      </c>
      <c r="O355" s="473" t="n">
        <v>0.34</v>
      </c>
      <c r="P355" s="475" t="n">
        <v>0.82</v>
      </c>
      <c r="Q355" s="471" t="n">
        <v>1.4</v>
      </c>
      <c r="R355" s="132" t="n">
        <v>6.2</v>
      </c>
      <c r="S355" s="471" t="n">
        <v>1.6</v>
      </c>
      <c r="T355" s="132" t="n">
        <v>7.1</v>
      </c>
      <c r="U355" s="471" t="n">
        <v>0</v>
      </c>
      <c r="V355" s="471" t="n"/>
      <c r="W355" s="471" t="n">
        <v>12</v>
      </c>
      <c r="X355" s="476">
        <f>W355/K355</f>
        <v/>
      </c>
      <c r="Y355" s="471" t="n"/>
      <c r="Z355" s="471" t="n"/>
      <c r="AA355" s="471" t="n"/>
      <c r="AB355" s="471" t="n"/>
      <c r="AC355" s="471" t="n"/>
      <c r="AD355" s="471" t="n"/>
      <c r="AE355" s="471" t="n"/>
      <c r="AF355" s="471" t="n"/>
      <c r="AG355" s="471" t="n"/>
    </row>
    <row r="356">
      <c r="A356" s="423" t="n"/>
      <c r="B356" s="722" t="n">
        <v>18</v>
      </c>
      <c r="C356" s="423" t="n">
        <v>19</v>
      </c>
      <c r="D356" s="423" t="inlineStr">
        <is>
          <t>Gadigaoua</t>
        </is>
      </c>
      <c r="E356" s="423" t="inlineStr">
        <is>
          <t>Sae Saboua</t>
        </is>
      </c>
      <c r="F356" s="423" t="inlineStr">
        <is>
          <t>Intervention</t>
        </is>
      </c>
      <c r="G356" s="420" t="n">
        <v>2024</v>
      </c>
      <c r="H356" s="420" t="n">
        <v>2025</v>
      </c>
      <c r="I356" s="423" t="n">
        <v>3</v>
      </c>
      <c r="J356" s="423" t="n">
        <v>1</v>
      </c>
      <c r="K356" s="423" t="n">
        <v>18</v>
      </c>
      <c r="L356" s="420" t="n">
        <v>2</v>
      </c>
      <c r="M356" s="420" t="n"/>
      <c r="N356" s="425" t="n">
        <v>0</v>
      </c>
      <c r="O356" s="425" t="n">
        <v>0.5600000000000001</v>
      </c>
      <c r="P356" s="425" t="n">
        <v>0.9</v>
      </c>
      <c r="Q356" s="420" t="n">
        <v>4.6</v>
      </c>
      <c r="R356" s="420" t="n">
        <v>13</v>
      </c>
      <c r="S356" s="420" t="n">
        <v>4.2</v>
      </c>
      <c r="T356" s="420" t="n">
        <v>13.2</v>
      </c>
      <c r="U356" s="420" t="n">
        <v>0</v>
      </c>
      <c r="V356" s="420" t="n"/>
      <c r="W356" s="420" t="n">
        <v>8</v>
      </c>
      <c r="X356" s="476">
        <f>W356/K356</f>
        <v/>
      </c>
      <c r="Y356" s="420" t="n"/>
      <c r="Z356" s="420" t="n"/>
      <c r="AA356" s="420" t="n"/>
      <c r="AB356" s="420" t="n"/>
      <c r="AC356" s="420" t="n"/>
      <c r="AD356" s="420" t="n"/>
      <c r="AE356" s="420" t="n"/>
      <c r="AF356" s="420" t="n"/>
      <c r="AG356" s="420" t="n"/>
    </row>
    <row r="357">
      <c r="A357" s="485" t="n"/>
      <c r="B357" s="706" t="n"/>
      <c r="C357" s="423" t="n">
        <v>96</v>
      </c>
      <c r="D357" s="423" t="inlineStr">
        <is>
          <t>Tsanna Publique</t>
        </is>
      </c>
      <c r="E357" s="423" t="inlineStr">
        <is>
          <t>Sae Saboua</t>
        </is>
      </c>
      <c r="F357" s="423" t="inlineStr">
        <is>
          <t>Control</t>
        </is>
      </c>
      <c r="G357" s="480" t="n">
        <v>2024</v>
      </c>
      <c r="H357" s="480" t="n">
        <v>2025</v>
      </c>
      <c r="I357" s="423" t="n">
        <v>0</v>
      </c>
      <c r="J357" s="423" t="n">
        <v>0</v>
      </c>
      <c r="K357" s="423" t="n">
        <v>10</v>
      </c>
      <c r="L357" s="481" t="n">
        <v>0</v>
      </c>
      <c r="M357" s="420" t="n"/>
      <c r="N357" s="425" t="n">
        <v>0</v>
      </c>
      <c r="O357" s="425" t="n">
        <v>0.4</v>
      </c>
      <c r="P357" s="425" t="n">
        <v>0.75</v>
      </c>
      <c r="Q357" s="420" t="n">
        <v>0.7</v>
      </c>
      <c r="R357" s="420" t="n">
        <v>6.7</v>
      </c>
      <c r="S357" s="420" t="n">
        <v>1.4</v>
      </c>
      <c r="T357" s="420" t="n">
        <v>5.3</v>
      </c>
      <c r="U357" s="420" t="n">
        <v>1</v>
      </c>
      <c r="V357" s="420" t="n"/>
      <c r="W357" s="420" t="n">
        <v>22</v>
      </c>
      <c r="X357" s="476">
        <f>W357/K357</f>
        <v/>
      </c>
      <c r="Y357" s="420" t="n"/>
      <c r="Z357" s="420" t="n"/>
      <c r="AA357" s="420" t="n"/>
      <c r="AB357" s="420" t="n"/>
      <c r="AC357" s="420" t="n"/>
      <c r="AD357" s="420" t="n"/>
      <c r="AE357" s="420" t="n"/>
      <c r="AF357" s="420" t="n"/>
      <c r="AG357" s="420" t="n"/>
    </row>
    <row r="358">
      <c r="A358" s="484" t="n"/>
      <c r="B358" s="721" t="n">
        <v>19</v>
      </c>
      <c r="C358" s="487" t="n">
        <v>18</v>
      </c>
      <c r="D358" s="487" t="inlineStr">
        <is>
          <t>Kountarou Mai Rairai</t>
        </is>
      </c>
      <c r="E358" s="423" t="inlineStr">
        <is>
          <t>Sae Saboua</t>
        </is>
      </c>
      <c r="F358" s="487" t="inlineStr">
        <is>
          <t>Intervention</t>
        </is>
      </c>
      <c r="G358" s="471" t="n">
        <v>2023</v>
      </c>
      <c r="H358" s="471" t="n">
        <v>2025</v>
      </c>
      <c r="I358" s="487" t="n">
        <v>3</v>
      </c>
      <c r="J358" s="487" t="n">
        <v>3</v>
      </c>
      <c r="K358" s="487" t="n">
        <v>36</v>
      </c>
      <c r="L358" s="471" t="n">
        <v>2</v>
      </c>
      <c r="M358" s="471" t="n"/>
      <c r="N358" s="475" t="n">
        <v>0</v>
      </c>
      <c r="O358" s="471" t="inlineStr">
        <is>
          <t>47%%</t>
        </is>
      </c>
      <c r="P358" s="475" t="n">
        <v>1</v>
      </c>
      <c r="Q358" s="471" t="n">
        <v>3.1</v>
      </c>
      <c r="R358" s="132" t="n">
        <v>13.6</v>
      </c>
      <c r="S358" s="471" t="n">
        <v>3.2</v>
      </c>
      <c r="T358" s="132" t="n">
        <v>15.7</v>
      </c>
      <c r="U358" s="471" t="n">
        <v>2</v>
      </c>
      <c r="V358" s="471" t="n"/>
      <c r="W358" s="471" t="n">
        <v>15</v>
      </c>
      <c r="X358" s="476">
        <f>W358/K358</f>
        <v/>
      </c>
      <c r="Y358" s="471" t="n"/>
      <c r="Z358" s="471" t="n"/>
      <c r="AA358" s="471" t="n"/>
      <c r="AB358" s="471" t="n"/>
      <c r="AC358" s="471" t="n"/>
      <c r="AD358" s="471" t="n"/>
      <c r="AE358" s="471" t="n"/>
      <c r="AF358" s="471" t="n"/>
      <c r="AG358" s="471" t="n"/>
    </row>
    <row r="359">
      <c r="A359" s="484" t="n"/>
      <c r="B359" s="706" t="n"/>
      <c r="C359" s="487" t="n">
        <v>97</v>
      </c>
      <c r="D359" s="487" t="inlineStr">
        <is>
          <t xml:space="preserve">Touzza </t>
        </is>
      </c>
      <c r="E359" s="423" t="inlineStr">
        <is>
          <t>Sae Saboua</t>
        </is>
      </c>
      <c r="F359" s="487" t="inlineStr">
        <is>
          <t>Control</t>
        </is>
      </c>
      <c r="G359" s="471" t="n">
        <v>2024</v>
      </c>
      <c r="H359" s="471" t="n">
        <v>2025</v>
      </c>
      <c r="I359" s="487" t="n">
        <v>0</v>
      </c>
      <c r="J359" s="487" t="n">
        <v>0</v>
      </c>
      <c r="K359" s="273" t="n">
        <v>13</v>
      </c>
      <c r="L359" s="477" t="n">
        <v>0</v>
      </c>
      <c r="M359" s="471" t="n"/>
      <c r="N359" s="475" t="n">
        <v>0.15</v>
      </c>
      <c r="O359" s="475" t="n">
        <v>0.46</v>
      </c>
      <c r="P359" s="475">
        <f>4/6</f>
        <v/>
      </c>
      <c r="Q359" s="471" t="n">
        <v>1</v>
      </c>
      <c r="R359" s="132" t="n">
        <v>5.2</v>
      </c>
      <c r="S359" s="471" t="n">
        <v>2.1</v>
      </c>
      <c r="T359" s="132" t="n">
        <v>7.1</v>
      </c>
      <c r="U359" s="471" t="n">
        <v>2</v>
      </c>
      <c r="V359" s="471" t="n"/>
      <c r="W359" s="471" t="n">
        <v>16</v>
      </c>
      <c r="X359" s="476">
        <f>W359/K359</f>
        <v/>
      </c>
      <c r="Y359" s="471" t="n"/>
      <c r="Z359" s="471" t="n"/>
      <c r="AA359" s="471" t="n"/>
      <c r="AB359" s="471" t="n"/>
      <c r="AC359" s="471" t="n"/>
      <c r="AD359" s="471" t="n"/>
      <c r="AE359" s="471" t="n"/>
      <c r="AF359" s="471" t="n"/>
      <c r="AG359" s="471" t="n"/>
    </row>
    <row r="360">
      <c r="A360" s="485" t="n"/>
      <c r="B360" s="722" t="n">
        <v>20</v>
      </c>
      <c r="C360" s="423" t="n">
        <v>21</v>
      </c>
      <c r="D360" s="423" t="inlineStr">
        <is>
          <t>Malloumai Saboua</t>
        </is>
      </c>
      <c r="E360" s="423" t="inlineStr">
        <is>
          <t>Sae Saboua</t>
        </is>
      </c>
      <c r="F360" s="423" t="inlineStr">
        <is>
          <t>Intervention</t>
        </is>
      </c>
      <c r="G360" s="420" t="n">
        <v>2024</v>
      </c>
      <c r="H360" s="420" t="n">
        <v>2025</v>
      </c>
      <c r="I360" s="423" t="n">
        <v>3</v>
      </c>
      <c r="J360" s="423" t="n">
        <v>2</v>
      </c>
      <c r="K360" s="423" t="n">
        <v>35</v>
      </c>
      <c r="L360" s="420" t="n">
        <v>2</v>
      </c>
      <c r="M360" s="420" t="n"/>
      <c r="N360" s="425" t="n">
        <v>0</v>
      </c>
      <c r="O360" s="425" t="n">
        <v>0.63</v>
      </c>
      <c r="P360" s="425" t="n">
        <v>1</v>
      </c>
      <c r="Q360" s="420" t="n">
        <v>4</v>
      </c>
      <c r="R360" s="420" t="n">
        <v>13.5</v>
      </c>
      <c r="S360" s="420" t="n">
        <v>4.4</v>
      </c>
      <c r="T360" s="420" t="n">
        <v>14.2</v>
      </c>
      <c r="U360" s="420" t="n">
        <v>0</v>
      </c>
      <c r="V360" s="420" t="n"/>
      <c r="W360" s="420" t="n">
        <v>9</v>
      </c>
      <c r="X360" s="476">
        <f>W360/K360</f>
        <v/>
      </c>
      <c r="Y360" s="420" t="n"/>
      <c r="Z360" s="420" t="n"/>
      <c r="AA360" s="420" t="n"/>
      <c r="AB360" s="420" t="n"/>
      <c r="AC360" s="420" t="n"/>
      <c r="AD360" s="420" t="n"/>
      <c r="AE360" s="420" t="n"/>
      <c r="AF360" s="420" t="n"/>
      <c r="AG360" s="420" t="n"/>
    </row>
    <row r="361">
      <c r="A361" s="485" t="n"/>
      <c r="B361" s="706" t="n"/>
      <c r="C361" s="423" t="n">
        <v>91</v>
      </c>
      <c r="D361" s="423" t="inlineStr">
        <is>
          <t>Yan Doto Garin Malam</t>
        </is>
      </c>
      <c r="E361" s="423" t="inlineStr">
        <is>
          <t>Sae Saboua</t>
        </is>
      </c>
      <c r="F361" s="423" t="inlineStr">
        <is>
          <t>Control</t>
        </is>
      </c>
      <c r="G361" s="480" t="n">
        <v>2024</v>
      </c>
      <c r="H361" s="480" t="n">
        <v>2025</v>
      </c>
      <c r="I361" s="423" t="n">
        <v>0</v>
      </c>
      <c r="J361" s="423" t="n">
        <v>0</v>
      </c>
      <c r="K361" s="423" t="n">
        <v>31</v>
      </c>
      <c r="L361" s="481" t="n">
        <v>0</v>
      </c>
      <c r="M361" s="420" t="n"/>
      <c r="N361" s="425" t="n">
        <v>0.1</v>
      </c>
      <c r="O361" s="425" t="n">
        <v>0.42</v>
      </c>
      <c r="P361" s="425" t="n">
        <v>0.77</v>
      </c>
      <c r="Q361" s="420" t="n">
        <v>3.1</v>
      </c>
      <c r="R361" s="420" t="n">
        <v>5.7</v>
      </c>
      <c r="S361" s="420" t="n">
        <v>1.1</v>
      </c>
      <c r="T361" s="420" t="n">
        <v>6.2</v>
      </c>
      <c r="U361" s="420" t="n">
        <v>0</v>
      </c>
      <c r="V361" s="420" t="n"/>
      <c r="W361" s="420" t="n">
        <v>24</v>
      </c>
      <c r="X361" s="476">
        <f>W361/K361</f>
        <v/>
      </c>
      <c r="Y361" s="420" t="n"/>
      <c r="Z361" s="420" t="n"/>
      <c r="AA361" s="420" t="n"/>
      <c r="AB361" s="420" t="n"/>
      <c r="AC361" s="420" t="n"/>
      <c r="AD361" s="420" t="n"/>
      <c r="AE361" s="420" t="n"/>
      <c r="AF361" s="420" t="n"/>
      <c r="AG361" s="420" t="n"/>
    </row>
    <row r="362">
      <c r="A362" s="484" t="n"/>
      <c r="B362" s="721" t="n">
        <v>21</v>
      </c>
      <c r="C362" s="487" t="n">
        <v>24</v>
      </c>
      <c r="D362" s="487" t="inlineStr">
        <is>
          <t>Mountarou Bermo</t>
        </is>
      </c>
      <c r="E362" s="423" t="inlineStr">
        <is>
          <t>Sae Saboua</t>
        </is>
      </c>
      <c r="F362" s="487" t="inlineStr">
        <is>
          <t>Intervention</t>
        </is>
      </c>
      <c r="G362" s="471" t="n">
        <v>2024</v>
      </c>
      <c r="H362" s="471" t="n">
        <v>2025</v>
      </c>
      <c r="I362" s="487" t="n">
        <v>2</v>
      </c>
      <c r="J362" s="487" t="n">
        <v>1</v>
      </c>
      <c r="K362" s="487" t="n">
        <v>19</v>
      </c>
      <c r="L362" s="471" t="n">
        <v>2</v>
      </c>
      <c r="M362" s="471" t="n"/>
      <c r="N362" s="473" t="n">
        <v>0.05</v>
      </c>
      <c r="O362" s="473" t="n">
        <v>0.95</v>
      </c>
      <c r="P362" s="475" t="n">
        <v>1</v>
      </c>
      <c r="Q362" s="471" t="n">
        <v>5.8</v>
      </c>
      <c r="R362" s="132" t="n">
        <v>15</v>
      </c>
      <c r="S362" s="471" t="n">
        <v>4.5</v>
      </c>
      <c r="T362" s="132" t="n">
        <v>19.6</v>
      </c>
      <c r="U362" s="471" t="n">
        <v>0</v>
      </c>
      <c r="V362" s="471" t="n"/>
      <c r="W362" s="471" t="n">
        <v>7</v>
      </c>
      <c r="X362" s="476">
        <f>W362/K362</f>
        <v/>
      </c>
      <c r="Y362" s="471" t="n"/>
      <c r="Z362" s="471" t="n"/>
      <c r="AA362" s="471" t="n"/>
      <c r="AB362" s="471" t="n"/>
      <c r="AC362" s="471" t="n"/>
      <c r="AD362" s="471" t="n"/>
      <c r="AE362" s="471" t="n"/>
      <c r="AF362" s="471" t="n"/>
      <c r="AG362" s="471" t="n"/>
    </row>
    <row r="363">
      <c r="A363" s="484" t="n"/>
      <c r="B363" s="706" t="n"/>
      <c r="C363" s="487" t="n">
        <v>90</v>
      </c>
      <c r="D363" s="487" t="inlineStr">
        <is>
          <t>Alssaoua</t>
        </is>
      </c>
      <c r="E363" s="423" t="inlineStr">
        <is>
          <t>Sae Saboua</t>
        </is>
      </c>
      <c r="F363" s="487" t="inlineStr">
        <is>
          <t>Control</t>
        </is>
      </c>
      <c r="G363" s="471" t="n">
        <v>2024</v>
      </c>
      <c r="H363" s="471" t="n">
        <v>2025</v>
      </c>
      <c r="I363" s="487" t="n">
        <v>0</v>
      </c>
      <c r="J363" s="487" t="n">
        <v>0</v>
      </c>
      <c r="K363" s="471" t="inlineStr">
        <is>
          <t>NR</t>
        </is>
      </c>
      <c r="L363" s="471" t="inlineStr">
        <is>
          <t>NR</t>
        </is>
      </c>
      <c r="M363" s="471" t="n"/>
      <c r="N363" s="723" t="inlineStr">
        <is>
          <t>NR</t>
        </is>
      </c>
      <c r="O363" s="723" t="inlineStr">
        <is>
          <t>NR</t>
        </is>
      </c>
      <c r="P363" s="723" t="inlineStr">
        <is>
          <t>NR</t>
        </is>
      </c>
      <c r="Q363" s="471" t="inlineStr">
        <is>
          <t>NR</t>
        </is>
      </c>
      <c r="R363" s="471" t="inlineStr">
        <is>
          <t>NR</t>
        </is>
      </c>
      <c r="S363" s="471" t="inlineStr">
        <is>
          <t>NR</t>
        </is>
      </c>
      <c r="T363" s="471" t="inlineStr">
        <is>
          <t>NR</t>
        </is>
      </c>
      <c r="U363" s="471" t="n">
        <v>0</v>
      </c>
      <c r="V363" s="471" t="n"/>
      <c r="W363" s="471" t="n">
        <v>7</v>
      </c>
      <c r="X363" s="476">
        <f>W363/K363</f>
        <v/>
      </c>
      <c r="Y363" s="471" t="n"/>
      <c r="Z363" s="471" t="n"/>
      <c r="AA363" s="471" t="n"/>
      <c r="AB363" s="471" t="n"/>
      <c r="AC363" s="471" t="n"/>
      <c r="AD363" s="471" t="n"/>
      <c r="AE363" s="471" t="n"/>
      <c r="AF363" s="471" t="n"/>
      <c r="AG363" s="471" t="n"/>
    </row>
    <row r="364">
      <c r="A364" s="485" t="n"/>
      <c r="B364" s="722" t="n">
        <v>22</v>
      </c>
      <c r="C364" s="423" t="n">
        <v>23</v>
      </c>
      <c r="D364" s="423" t="inlineStr">
        <is>
          <t>Oubandawaki Alfacha</t>
        </is>
      </c>
      <c r="E364" s="423" t="inlineStr">
        <is>
          <t>Sae Saboua</t>
        </is>
      </c>
      <c r="F364" s="423" t="inlineStr">
        <is>
          <t>Intervention</t>
        </is>
      </c>
      <c r="G364" s="420" t="n">
        <v>2024</v>
      </c>
      <c r="H364" s="420" t="n">
        <v>2025</v>
      </c>
      <c r="I364" s="423" t="n">
        <v>3</v>
      </c>
      <c r="J364" s="423" t="n">
        <v>1</v>
      </c>
      <c r="K364" s="423" t="n">
        <v>18</v>
      </c>
      <c r="L364" s="420" t="n">
        <v>2</v>
      </c>
      <c r="M364" s="420" t="n"/>
      <c r="N364" s="425" t="n">
        <v>0</v>
      </c>
      <c r="O364" s="425" t="n">
        <v>0.83</v>
      </c>
      <c r="P364" s="425" t="n">
        <v>1</v>
      </c>
      <c r="Q364" s="420" t="n">
        <v>5</v>
      </c>
      <c r="R364" s="420" t="n">
        <v>13.3</v>
      </c>
      <c r="S364" s="420" t="n">
        <v>7.8</v>
      </c>
      <c r="T364" s="420" t="n">
        <v>14</v>
      </c>
      <c r="U364" s="420" t="n">
        <v>0</v>
      </c>
      <c r="V364" s="420" t="n"/>
      <c r="W364" s="420" t="n">
        <v>6</v>
      </c>
      <c r="X364" s="476">
        <f>W364/K364</f>
        <v/>
      </c>
      <c r="Y364" s="420" t="n"/>
      <c r="Z364" s="420" t="n"/>
      <c r="AA364" s="420" t="n"/>
      <c r="AB364" s="420" t="n"/>
      <c r="AC364" s="420" t="n"/>
      <c r="AD364" s="420" t="n"/>
      <c r="AE364" s="420" t="n"/>
      <c r="AF364" s="420" t="n"/>
      <c r="AG364" s="420" t="n"/>
    </row>
    <row r="365">
      <c r="A365" s="423" t="n"/>
      <c r="B365" s="706" t="n"/>
      <c r="C365" s="423" t="n">
        <v>94</v>
      </c>
      <c r="D365" s="423" t="inlineStr">
        <is>
          <t>Karambi Tsofoua</t>
        </is>
      </c>
      <c r="E365" s="423" t="inlineStr">
        <is>
          <t>Sae Saboua</t>
        </is>
      </c>
      <c r="F365" s="423" t="inlineStr">
        <is>
          <t>Control</t>
        </is>
      </c>
      <c r="G365" s="480" t="n">
        <v>2024</v>
      </c>
      <c r="H365" s="480" t="n">
        <v>2025</v>
      </c>
      <c r="I365" s="423" t="n">
        <v>0</v>
      </c>
      <c r="J365" s="423" t="n">
        <v>0</v>
      </c>
      <c r="K365" s="420" t="inlineStr">
        <is>
          <t>NR</t>
        </is>
      </c>
      <c r="L365" s="420" t="inlineStr">
        <is>
          <t>NR</t>
        </is>
      </c>
      <c r="M365" s="420" t="n"/>
      <c r="N365" s="723" t="inlineStr">
        <is>
          <t>NR</t>
        </is>
      </c>
      <c r="O365" s="723" t="inlineStr">
        <is>
          <t>NR</t>
        </is>
      </c>
      <c r="P365" s="723" t="inlineStr">
        <is>
          <t>NR</t>
        </is>
      </c>
      <c r="Q365" s="488" t="inlineStr">
        <is>
          <t>NR</t>
        </is>
      </c>
      <c r="R365" s="420" t="n">
        <v>5.1</v>
      </c>
      <c r="S365" s="488" t="inlineStr">
        <is>
          <t>NR</t>
        </is>
      </c>
      <c r="T365" s="420" t="n">
        <v>4.9</v>
      </c>
      <c r="U365" s="420" t="n">
        <v>0</v>
      </c>
      <c r="V365" s="420" t="n"/>
      <c r="W365" s="420" t="n">
        <v>3</v>
      </c>
      <c r="X365" s="476">
        <f>W365/K365</f>
        <v/>
      </c>
      <c r="Y365" s="420" t="n"/>
      <c r="Z365" s="420" t="n"/>
      <c r="AA365" s="420" t="n"/>
      <c r="AB365" s="420" t="n"/>
      <c r="AC365" s="420" t="n"/>
      <c r="AD365" s="420" t="n"/>
      <c r="AE365" s="420" t="n"/>
      <c r="AF365" s="420" t="n"/>
      <c r="AG365" s="420" t="n"/>
    </row>
    <row r="366">
      <c r="A366" s="489" t="n"/>
      <c r="B366" s="489" t="n"/>
      <c r="C366" s="489" t="n"/>
      <c r="D366" s="489" t="n"/>
      <c r="E366" s="489" t="n"/>
      <c r="F366" s="489" t="n"/>
      <c r="G366" s="489" t="n"/>
      <c r="H366" s="489" t="n"/>
      <c r="I366" s="489" t="n"/>
      <c r="J366" s="489" t="n"/>
      <c r="K366" s="489" t="n"/>
      <c r="L366" s="470" t="n"/>
      <c r="M366" s="470" t="n"/>
      <c r="N366" s="470" t="n"/>
      <c r="O366" s="470" t="n"/>
      <c r="P366" s="470" t="n"/>
      <c r="Q366" s="470" t="n"/>
      <c r="R366" s="470" t="n"/>
      <c r="S366" s="470" t="n"/>
      <c r="T366" s="470" t="n"/>
      <c r="U366" s="470" t="n"/>
      <c r="V366" s="470" t="n"/>
      <c r="W366" s="470" t="n"/>
      <c r="X366" s="470" t="n"/>
      <c r="Y366" s="470" t="n"/>
      <c r="Z366" s="470" t="n"/>
      <c r="AA366" s="470" t="n"/>
      <c r="AB366" s="470" t="n"/>
      <c r="AC366" s="470" t="n"/>
      <c r="AD366" s="470" t="n"/>
      <c r="AE366" s="470" t="n"/>
      <c r="AF366" s="470" t="n"/>
      <c r="AG366" s="470" t="n"/>
    </row>
    <row r="367">
      <c r="A367" s="489" t="n"/>
      <c r="C367" s="489" t="n"/>
      <c r="D367" s="489" t="n"/>
      <c r="E367" s="489" t="n"/>
      <c r="F367" s="489" t="n"/>
      <c r="G367" s="489" t="n"/>
      <c r="H367" s="489" t="n"/>
      <c r="I367" s="489" t="n"/>
      <c r="J367" s="489" t="n"/>
      <c r="K367" s="489" t="n"/>
      <c r="L367" s="470" t="n"/>
      <c r="M367" s="470" t="n"/>
      <c r="N367" s="470" t="n"/>
      <c r="O367" s="470" t="n"/>
      <c r="P367" s="470" t="n"/>
      <c r="Q367" s="470" t="n"/>
      <c r="R367" s="470" t="n"/>
      <c r="S367" s="470" t="n"/>
      <c r="T367" s="470" t="n"/>
      <c r="U367" s="470" t="n"/>
      <c r="V367" s="470" t="n"/>
      <c r="W367" s="470" t="n"/>
      <c r="X367" s="470" t="n"/>
      <c r="Y367" s="470" t="n"/>
      <c r="Z367" s="470" t="n"/>
      <c r="AA367" s="470" t="n"/>
      <c r="AB367" s="470" t="n"/>
      <c r="AC367" s="470" t="n"/>
      <c r="AD367" s="470" t="n"/>
      <c r="AE367" s="470" t="n"/>
      <c r="AF367" s="470" t="n"/>
      <c r="AG367" s="470" t="n"/>
    </row>
    <row r="368">
      <c r="A368" s="95" t="n"/>
      <c r="B368" s="95" t="n"/>
      <c r="C368" s="95" t="n"/>
      <c r="D368" s="95" t="n"/>
      <c r="E368" s="95" t="n"/>
      <c r="F368" s="95" t="n"/>
      <c r="G368" s="95" t="n"/>
      <c r="H368" s="95" t="n"/>
      <c r="I368" s="95" t="n"/>
      <c r="J368" s="95" t="n"/>
      <c r="K368" s="95" t="n"/>
      <c r="L368" s="99" t="n"/>
      <c r="M368" s="100" t="n"/>
      <c r="N368" s="100" t="n"/>
      <c r="O368" s="100" t="n"/>
      <c r="P368" s="100" t="n"/>
      <c r="Q368" s="100" t="n"/>
      <c r="R368" s="100" t="n"/>
      <c r="S368" s="100" t="n"/>
      <c r="T368" s="100" t="n"/>
      <c r="U368" s="100" t="n"/>
      <c r="V368" s="100" t="n"/>
      <c r="W368" s="100" t="n"/>
      <c r="X368" s="100" t="n"/>
      <c r="Y368" s="100" t="n"/>
      <c r="Z368" s="100" t="n"/>
      <c r="AA368" s="100" t="n"/>
      <c r="AB368" s="100" t="n"/>
      <c r="AC368" s="100" t="n"/>
      <c r="AD368" s="100" t="n"/>
      <c r="AE368" s="100" t="n"/>
      <c r="AF368" s="100" t="n"/>
      <c r="AG368" s="100" t="n"/>
    </row>
    <row r="369">
      <c r="A369" s="204" t="inlineStr">
        <is>
          <t>COHORT 8 CM2 2025 - 2026</t>
        </is>
      </c>
      <c r="B369" s="95" t="n"/>
      <c r="C369" s="95" t="n"/>
      <c r="D369" s="95" t="n"/>
      <c r="E369" s="95" t="n"/>
      <c r="F369" s="95" t="n"/>
      <c r="G369" s="95" t="n"/>
      <c r="H369" s="95" t="n"/>
      <c r="I369" s="95" t="n"/>
      <c r="J369" s="95" t="n"/>
      <c r="K369" s="95" t="n"/>
      <c r="L369" s="99" t="n"/>
      <c r="M369" s="100" t="n"/>
      <c r="N369" s="100" t="n"/>
      <c r="O369" s="100" t="n"/>
      <c r="P369" s="100" t="n"/>
      <c r="Q369" s="100" t="n"/>
      <c r="R369" s="100" t="n"/>
      <c r="S369" s="100" t="n"/>
      <c r="T369" s="100" t="n"/>
      <c r="U369" s="100" t="n"/>
      <c r="V369" s="100" t="n"/>
      <c r="W369" s="100" t="n"/>
      <c r="X369" s="100" t="n"/>
      <c r="Y369" s="100" t="n"/>
      <c r="Z369" s="100" t="n"/>
      <c r="AA369" s="100" t="n"/>
      <c r="AB369" s="100" t="n"/>
      <c r="AC369" s="100" t="n"/>
      <c r="AD369" s="100" t="n"/>
      <c r="AE369" s="100" t="n"/>
      <c r="AF369" s="100" t="n"/>
      <c r="AG369" s="100" t="n"/>
    </row>
    <row r="370">
      <c r="A370" s="724" t="inlineStr">
        <is>
          <t>Tchadoua</t>
        </is>
      </c>
      <c r="B370" s="491" t="n"/>
      <c r="C370" s="470" t="n"/>
      <c r="D370" s="470" t="inlineStr">
        <is>
          <t>Algafia (Kotsi)</t>
        </is>
      </c>
      <c r="E370" s="470" t="inlineStr">
        <is>
          <t>Tchadoua</t>
        </is>
      </c>
      <c r="F370" s="470" t="inlineStr">
        <is>
          <t>Control</t>
        </is>
      </c>
      <c r="G370" s="470" t="n">
        <v>2024</v>
      </c>
      <c r="H370" s="471" t="n">
        <v>2025</v>
      </c>
      <c r="I370" s="470" t="n">
        <v>0</v>
      </c>
      <c r="J370" s="470" t="n">
        <v>0</v>
      </c>
      <c r="K370" s="470" t="inlineStr">
        <is>
          <t>NR</t>
        </is>
      </c>
      <c r="L370" s="470" t="inlineStr">
        <is>
          <t>NR</t>
        </is>
      </c>
      <c r="M370" s="470" t="inlineStr">
        <is>
          <t>NR</t>
        </is>
      </c>
      <c r="N370" s="492" t="n">
        <v>0.38</v>
      </c>
      <c r="O370" s="492" t="n">
        <v>0.02</v>
      </c>
      <c r="P370" s="470" t="inlineStr">
        <is>
          <t>NR</t>
        </is>
      </c>
      <c r="Q370" s="470" t="inlineStr">
        <is>
          <t>NR</t>
        </is>
      </c>
      <c r="R370" s="470" t="inlineStr">
        <is>
          <t>NR</t>
        </is>
      </c>
      <c r="S370" s="470" t="inlineStr">
        <is>
          <t>NR</t>
        </is>
      </c>
      <c r="T370" s="470" t="inlineStr">
        <is>
          <t>NR</t>
        </is>
      </c>
      <c r="U370" s="470" t="n">
        <v>0</v>
      </c>
      <c r="V370" s="470" t="inlineStr">
        <is>
          <t>2024-2025</t>
        </is>
      </c>
      <c r="W370" s="470" t="n"/>
      <c r="X370" s="470" t="n"/>
      <c r="Y370" s="470" t="n"/>
      <c r="Z370" s="470" t="n"/>
      <c r="AA370" s="470" t="n"/>
      <c r="AB370" s="470" t="n"/>
      <c r="AC370" s="470" t="n"/>
      <c r="AD370" s="470" t="n"/>
      <c r="AE370" s="470" t="n"/>
      <c r="AF370" s="470" t="n"/>
      <c r="AG370" s="470" t="n"/>
    </row>
    <row r="371">
      <c r="A371" s="710" t="n"/>
      <c r="C371" s="494" t="n"/>
      <c r="D371" s="494" t="inlineStr">
        <is>
          <t>Guidan Moussa</t>
        </is>
      </c>
      <c r="E371" s="495" t="inlineStr">
        <is>
          <t>Tchadoua</t>
        </is>
      </c>
      <c r="F371" s="495" t="inlineStr">
        <is>
          <t>Intervention</t>
        </is>
      </c>
      <c r="G371" s="470" t="n">
        <v>2024</v>
      </c>
      <c r="H371" s="471" t="n">
        <v>2025</v>
      </c>
      <c r="I371" s="470" t="n">
        <v>0</v>
      </c>
      <c r="J371" s="470" t="n">
        <v>0</v>
      </c>
      <c r="K371" s="470" t="inlineStr">
        <is>
          <t>NR</t>
        </is>
      </c>
      <c r="L371" s="470" t="inlineStr">
        <is>
          <t>NR</t>
        </is>
      </c>
      <c r="M371" s="470" t="inlineStr">
        <is>
          <t>NR</t>
        </is>
      </c>
      <c r="N371" s="492" t="n">
        <v>0.35</v>
      </c>
      <c r="O371" s="492" t="n">
        <v>0.03</v>
      </c>
      <c r="P371" s="470" t="inlineStr">
        <is>
          <t>NR</t>
        </is>
      </c>
      <c r="Q371" s="470" t="inlineStr">
        <is>
          <t>NR</t>
        </is>
      </c>
      <c r="R371" s="470" t="inlineStr">
        <is>
          <t>NR</t>
        </is>
      </c>
      <c r="S371" s="470" t="inlineStr">
        <is>
          <t>NR</t>
        </is>
      </c>
      <c r="T371" s="470" t="inlineStr">
        <is>
          <t>NR</t>
        </is>
      </c>
      <c r="U371" s="494" t="n">
        <v>0</v>
      </c>
      <c r="V371" s="470" t="inlineStr">
        <is>
          <t>2024-2025</t>
        </is>
      </c>
      <c r="W371" s="494" t="n"/>
      <c r="X371" s="494" t="n"/>
      <c r="Y371" s="494" t="n"/>
      <c r="Z371" s="494" t="n"/>
      <c r="AA371" s="494" t="n"/>
      <c r="AB371" s="494" t="n"/>
      <c r="AC371" s="494" t="n"/>
      <c r="AD371" s="494" t="n"/>
      <c r="AE371" s="494" t="n"/>
      <c r="AF371" s="494" t="n"/>
      <c r="AG371" s="494" t="n"/>
    </row>
    <row r="372">
      <c r="A372" s="710" t="n"/>
      <c r="B372" s="496" t="n"/>
      <c r="C372" s="497" t="n"/>
      <c r="D372" s="497" t="inlineStr">
        <is>
          <t>Dan Aicha</t>
        </is>
      </c>
      <c r="E372" s="470" t="inlineStr">
        <is>
          <t>Tchadoua</t>
        </is>
      </c>
      <c r="F372" s="497" t="inlineStr">
        <is>
          <t>Intervention</t>
        </is>
      </c>
      <c r="G372" s="497" t="n">
        <v>2024</v>
      </c>
      <c r="H372" s="480" t="n">
        <v>2025</v>
      </c>
      <c r="I372" s="497" t="n">
        <v>0</v>
      </c>
      <c r="J372" s="497" t="n">
        <v>0</v>
      </c>
      <c r="K372" s="497" t="inlineStr">
        <is>
          <t>NR</t>
        </is>
      </c>
      <c r="L372" s="497" t="inlineStr">
        <is>
          <t>NR</t>
        </is>
      </c>
      <c r="M372" s="497" t="inlineStr">
        <is>
          <t>NR</t>
        </is>
      </c>
      <c r="N372" s="498" t="n">
        <v>0.35</v>
      </c>
      <c r="O372" s="498" t="n">
        <v>0.02</v>
      </c>
      <c r="P372" s="497" t="inlineStr">
        <is>
          <t>NR</t>
        </is>
      </c>
      <c r="Q372" s="497" t="inlineStr">
        <is>
          <t>NR</t>
        </is>
      </c>
      <c r="R372" s="497" t="inlineStr">
        <is>
          <t>NR</t>
        </is>
      </c>
      <c r="S372" s="497" t="inlineStr">
        <is>
          <t>NR</t>
        </is>
      </c>
      <c r="T372" s="470" t="inlineStr">
        <is>
          <t>NR</t>
        </is>
      </c>
      <c r="U372" s="497" t="n">
        <v>1</v>
      </c>
      <c r="V372" s="497" t="n"/>
      <c r="W372" s="497" t="n"/>
      <c r="X372" s="497" t="n"/>
      <c r="Y372" s="497" t="n"/>
      <c r="Z372" s="497" t="n"/>
      <c r="AA372" s="497" t="n"/>
      <c r="AB372" s="497" t="n"/>
      <c r="AC372" s="497" t="n"/>
      <c r="AD372" s="497" t="n"/>
      <c r="AE372" s="497" t="n"/>
      <c r="AF372" s="497" t="n"/>
      <c r="AG372" s="497" t="n"/>
    </row>
    <row r="373">
      <c r="A373" s="710" t="n"/>
      <c r="C373" s="500" t="n"/>
      <c r="D373" s="500" t="inlineStr">
        <is>
          <t>Guidan Dan Galdima</t>
        </is>
      </c>
      <c r="E373" s="495" t="inlineStr">
        <is>
          <t>Tchadoua</t>
        </is>
      </c>
      <c r="F373" s="681" t="inlineStr">
        <is>
          <t>Control</t>
        </is>
      </c>
      <c r="G373" s="497" t="n">
        <v>2024</v>
      </c>
      <c r="H373" s="480" t="n">
        <v>2025</v>
      </c>
      <c r="I373" s="497" t="n">
        <v>0</v>
      </c>
      <c r="J373" s="497" t="n">
        <v>0</v>
      </c>
      <c r="K373" s="497" t="inlineStr">
        <is>
          <t>NR</t>
        </is>
      </c>
      <c r="L373" s="497" t="inlineStr">
        <is>
          <t>NR</t>
        </is>
      </c>
      <c r="M373" s="497" t="inlineStr">
        <is>
          <t>NR</t>
        </is>
      </c>
      <c r="N373" s="498" t="n">
        <v>0.35</v>
      </c>
      <c r="O373" s="498" t="n">
        <v>0.03</v>
      </c>
      <c r="P373" s="497" t="inlineStr">
        <is>
          <t>NR</t>
        </is>
      </c>
      <c r="Q373" s="497" t="inlineStr">
        <is>
          <t>NR</t>
        </is>
      </c>
      <c r="R373" s="497" t="inlineStr">
        <is>
          <t>NR</t>
        </is>
      </c>
      <c r="S373" s="497" t="inlineStr">
        <is>
          <t>NR</t>
        </is>
      </c>
      <c r="T373" s="470" t="inlineStr">
        <is>
          <t>NR</t>
        </is>
      </c>
      <c r="U373" s="500" t="n">
        <v>1</v>
      </c>
      <c r="V373" s="500" t="n"/>
      <c r="W373" s="500" t="n"/>
      <c r="X373" s="500" t="n"/>
      <c r="Y373" s="500" t="n"/>
      <c r="Z373" s="500" t="n"/>
      <c r="AA373" s="500" t="n"/>
      <c r="AB373" s="500" t="n"/>
      <c r="AC373" s="500" t="n"/>
      <c r="AD373" s="500" t="n"/>
      <c r="AE373" s="500" t="n"/>
      <c r="AF373" s="500" t="n"/>
      <c r="AG373" s="500" t="n"/>
    </row>
    <row r="374" ht="16.5" customHeight="1" s="695">
      <c r="A374" s="710" t="n"/>
      <c r="B374" s="491" t="n"/>
      <c r="C374" s="503" t="n"/>
      <c r="D374" s="503" t="inlineStr">
        <is>
          <t>Dan Gamdji</t>
        </is>
      </c>
      <c r="E374" s="470" t="inlineStr">
        <is>
          <t>Tchadoua</t>
        </is>
      </c>
      <c r="F374" s="503" t="inlineStr">
        <is>
          <t>Intervention</t>
        </is>
      </c>
      <c r="G374" s="470" t="n">
        <v>2024</v>
      </c>
      <c r="H374" s="471" t="n">
        <v>2025</v>
      </c>
      <c r="I374" s="470" t="n">
        <v>0</v>
      </c>
      <c r="J374" s="470" t="n">
        <v>0</v>
      </c>
      <c r="K374" s="470" t="inlineStr">
        <is>
          <t>NR</t>
        </is>
      </c>
      <c r="L374" s="470" t="inlineStr">
        <is>
          <t>NR</t>
        </is>
      </c>
      <c r="M374" s="470" t="inlineStr">
        <is>
          <t>NR</t>
        </is>
      </c>
      <c r="N374" s="492" t="n">
        <v>0.4</v>
      </c>
      <c r="O374" s="492" t="n">
        <v>0.02</v>
      </c>
      <c r="P374" s="470" t="inlineStr">
        <is>
          <t>NR</t>
        </is>
      </c>
      <c r="Q374" s="470" t="inlineStr">
        <is>
          <t>NR</t>
        </is>
      </c>
      <c r="R374" s="470" t="inlineStr">
        <is>
          <t>NR</t>
        </is>
      </c>
      <c r="S374" s="470" t="inlineStr">
        <is>
          <t>NR</t>
        </is>
      </c>
      <c r="T374" s="470" t="inlineStr">
        <is>
          <t>NR</t>
        </is>
      </c>
      <c r="U374" s="470" t="n">
        <v>0</v>
      </c>
      <c r="V374" s="503" t="n"/>
      <c r="W374" s="503" t="n"/>
      <c r="X374" s="503" t="n"/>
      <c r="Y374" s="503" t="n"/>
      <c r="Z374" s="503" t="n"/>
      <c r="AA374" s="503" t="n"/>
      <c r="AB374" s="503" t="n"/>
      <c r="AC374" s="503" t="n"/>
      <c r="AD374" s="503" t="n"/>
      <c r="AE374" s="503" t="n"/>
      <c r="AF374" s="503" t="n"/>
      <c r="AG374" s="503" t="n"/>
    </row>
    <row r="375">
      <c r="A375" s="710" t="n"/>
      <c r="C375" s="503" t="n"/>
      <c r="D375" s="503" t="inlineStr">
        <is>
          <t>Dan Toumbi</t>
        </is>
      </c>
      <c r="E375" s="495" t="inlineStr">
        <is>
          <t>Tchadoua</t>
        </is>
      </c>
      <c r="F375" s="504" t="inlineStr">
        <is>
          <t>Control</t>
        </is>
      </c>
      <c r="G375" s="470" t="n">
        <v>2024</v>
      </c>
      <c r="H375" s="471" t="n">
        <v>2025</v>
      </c>
      <c r="I375" s="470" t="n">
        <v>0</v>
      </c>
      <c r="J375" s="470" t="n">
        <v>0</v>
      </c>
      <c r="K375" s="470" t="inlineStr">
        <is>
          <t>NR</t>
        </is>
      </c>
      <c r="L375" s="470" t="inlineStr">
        <is>
          <t>NR</t>
        </is>
      </c>
      <c r="M375" s="470" t="inlineStr">
        <is>
          <t>NR</t>
        </is>
      </c>
      <c r="N375" s="492" t="n">
        <v>0.45</v>
      </c>
      <c r="O375" s="492" t="n">
        <v>0.02</v>
      </c>
      <c r="P375" s="470" t="inlineStr">
        <is>
          <t>NR</t>
        </is>
      </c>
      <c r="Q375" s="470" t="inlineStr">
        <is>
          <t>NR</t>
        </is>
      </c>
      <c r="R375" s="470" t="inlineStr">
        <is>
          <t>NR</t>
        </is>
      </c>
      <c r="S375" s="470" t="inlineStr">
        <is>
          <t>NR</t>
        </is>
      </c>
      <c r="T375" s="470" t="inlineStr">
        <is>
          <t>NR</t>
        </is>
      </c>
      <c r="U375" s="494" t="n">
        <v>1</v>
      </c>
      <c r="V375" s="503" t="n"/>
      <c r="W375" s="503" t="n"/>
      <c r="X375" s="503" t="n"/>
      <c r="Y375" s="503" t="n"/>
      <c r="Z375" s="503" t="n"/>
      <c r="AA375" s="503" t="n"/>
      <c r="AB375" s="503" t="n"/>
      <c r="AC375" s="503" t="n"/>
      <c r="AD375" s="503" t="n"/>
      <c r="AE375" s="503" t="n"/>
      <c r="AF375" s="503" t="n"/>
      <c r="AG375" s="503" t="n"/>
    </row>
    <row r="376">
      <c r="A376" s="710" t="n"/>
      <c r="B376" s="496" t="n"/>
      <c r="C376" s="500" t="n"/>
      <c r="D376" s="500" t="inlineStr">
        <is>
          <t>Bini</t>
        </is>
      </c>
      <c r="E376" s="470" t="inlineStr">
        <is>
          <t>Tchadoua</t>
        </is>
      </c>
      <c r="F376" s="500" t="inlineStr">
        <is>
          <t>Control</t>
        </is>
      </c>
      <c r="G376" s="497" t="n">
        <v>2024</v>
      </c>
      <c r="H376" s="480" t="n">
        <v>2025</v>
      </c>
      <c r="I376" s="497" t="n">
        <v>0</v>
      </c>
      <c r="J376" s="497" t="n">
        <v>0</v>
      </c>
      <c r="K376" s="497" t="inlineStr">
        <is>
          <t>NR</t>
        </is>
      </c>
      <c r="L376" s="497" t="inlineStr">
        <is>
          <t>NR</t>
        </is>
      </c>
      <c r="M376" s="497" t="inlineStr">
        <is>
          <t>NR</t>
        </is>
      </c>
      <c r="N376" s="498" t="n">
        <v>0.38</v>
      </c>
      <c r="O376" s="498" t="n">
        <v>0.11</v>
      </c>
      <c r="P376" s="497" t="inlineStr">
        <is>
          <t>NR</t>
        </is>
      </c>
      <c r="Q376" s="497" t="inlineStr">
        <is>
          <t>NR</t>
        </is>
      </c>
      <c r="R376" s="497" t="inlineStr">
        <is>
          <t>NR</t>
        </is>
      </c>
      <c r="S376" s="497" t="inlineStr">
        <is>
          <t>NR</t>
        </is>
      </c>
      <c r="T376" s="470" t="inlineStr">
        <is>
          <t>NR</t>
        </is>
      </c>
      <c r="U376" s="497" t="n">
        <v>0</v>
      </c>
      <c r="V376" s="500" t="n"/>
      <c r="W376" s="500" t="n"/>
      <c r="X376" s="500" t="n"/>
      <c r="Y376" s="500" t="n"/>
      <c r="Z376" s="500" t="n"/>
      <c r="AA376" s="500" t="n"/>
      <c r="AB376" s="500" t="n"/>
      <c r="AC376" s="500" t="n"/>
      <c r="AD376" s="500" t="n"/>
      <c r="AE376" s="500" t="n"/>
      <c r="AF376" s="500" t="n"/>
      <c r="AG376" s="500" t="n"/>
    </row>
    <row r="377">
      <c r="A377" s="710" t="n"/>
      <c r="C377" s="500" t="n"/>
      <c r="D377" s="500" t="inlineStr">
        <is>
          <t>Guidan Magagi</t>
        </is>
      </c>
      <c r="E377" s="495" t="inlineStr">
        <is>
          <t>Tchadoua</t>
        </is>
      </c>
      <c r="F377" s="681" t="inlineStr">
        <is>
          <t>Intervention</t>
        </is>
      </c>
      <c r="G377" s="497" t="n">
        <v>2024</v>
      </c>
      <c r="H377" s="480" t="n">
        <v>2025</v>
      </c>
      <c r="I377" s="497" t="n">
        <v>0</v>
      </c>
      <c r="J377" s="497" t="n">
        <v>0</v>
      </c>
      <c r="K377" s="497" t="inlineStr">
        <is>
          <t>NR</t>
        </is>
      </c>
      <c r="L377" s="497" t="inlineStr">
        <is>
          <t>NR</t>
        </is>
      </c>
      <c r="M377" s="497" t="inlineStr">
        <is>
          <t>NR</t>
        </is>
      </c>
      <c r="N377" s="498" t="n">
        <v>0.6</v>
      </c>
      <c r="O377" s="498" t="n">
        <v>0.08</v>
      </c>
      <c r="P377" s="497" t="inlineStr">
        <is>
          <t>NR</t>
        </is>
      </c>
      <c r="Q377" s="497" t="inlineStr">
        <is>
          <t>NR</t>
        </is>
      </c>
      <c r="R377" s="497" t="inlineStr">
        <is>
          <t>NR</t>
        </is>
      </c>
      <c r="S377" s="497" t="inlineStr">
        <is>
          <t>NR</t>
        </is>
      </c>
      <c r="T377" s="470" t="inlineStr">
        <is>
          <t>NR</t>
        </is>
      </c>
      <c r="U377" s="500" t="n">
        <v>0</v>
      </c>
      <c r="V377" s="500" t="n"/>
      <c r="W377" s="500" t="n"/>
      <c r="X377" s="500" t="n"/>
      <c r="Y377" s="500" t="n"/>
      <c r="Z377" s="500" t="n"/>
      <c r="AA377" s="500" t="n"/>
      <c r="AB377" s="500" t="n"/>
      <c r="AC377" s="500" t="n"/>
      <c r="AD377" s="500" t="n"/>
      <c r="AE377" s="500" t="n"/>
      <c r="AF377" s="500" t="n"/>
      <c r="AG377" s="500" t="n"/>
    </row>
    <row r="378">
      <c r="A378" s="710" t="n"/>
      <c r="B378" s="491" t="n"/>
      <c r="C378" s="503" t="n"/>
      <c r="D378" s="503" t="inlineStr">
        <is>
          <t>Magami</t>
        </is>
      </c>
      <c r="E378" s="470" t="inlineStr">
        <is>
          <t>Tchadoua</t>
        </is>
      </c>
      <c r="F378" s="503" t="inlineStr">
        <is>
          <t>Control</t>
        </is>
      </c>
      <c r="G378" s="470" t="n">
        <v>2024</v>
      </c>
      <c r="H378" s="471" t="n">
        <v>2025</v>
      </c>
      <c r="I378" s="470" t="n">
        <v>0</v>
      </c>
      <c r="J378" s="470" t="n">
        <v>0</v>
      </c>
      <c r="K378" s="470" t="inlineStr">
        <is>
          <t>NR</t>
        </is>
      </c>
      <c r="L378" s="470" t="inlineStr">
        <is>
          <t>NR</t>
        </is>
      </c>
      <c r="M378" s="470" t="inlineStr">
        <is>
          <t>NR</t>
        </is>
      </c>
      <c r="N378" s="492" t="n">
        <v>0.3</v>
      </c>
      <c r="O378" s="492" t="n">
        <v>0.02</v>
      </c>
      <c r="P378" s="470" t="inlineStr">
        <is>
          <t>NR</t>
        </is>
      </c>
      <c r="Q378" s="470" t="inlineStr">
        <is>
          <t>NR</t>
        </is>
      </c>
      <c r="R378" s="470" t="inlineStr">
        <is>
          <t>NR</t>
        </is>
      </c>
      <c r="S378" s="470" t="inlineStr">
        <is>
          <t>NR</t>
        </is>
      </c>
      <c r="T378" s="470" t="inlineStr">
        <is>
          <t>NR</t>
        </is>
      </c>
      <c r="U378" s="470" t="n">
        <v>0</v>
      </c>
      <c r="V378" s="503" t="n"/>
      <c r="W378" s="503" t="n"/>
      <c r="X378" s="503" t="n"/>
      <c r="Y378" s="503" t="n"/>
      <c r="Z378" s="503" t="n"/>
      <c r="AA378" s="503" t="n"/>
      <c r="AB378" s="503" t="n"/>
      <c r="AC378" s="503" t="n"/>
      <c r="AD378" s="503" t="n"/>
      <c r="AE378" s="503" t="n"/>
      <c r="AF378" s="503" t="n"/>
      <c r="AG378" s="503" t="n"/>
    </row>
    <row r="379">
      <c r="A379" s="710" t="n"/>
      <c r="C379" s="503" t="n"/>
      <c r="D379" s="503" t="inlineStr">
        <is>
          <t>Tchadoua Tawalala</t>
        </is>
      </c>
      <c r="E379" s="495" t="inlineStr">
        <is>
          <t>Tchadoua</t>
        </is>
      </c>
      <c r="F379" s="504" t="inlineStr">
        <is>
          <t>Intervention</t>
        </is>
      </c>
      <c r="G379" s="470" t="n">
        <v>2024</v>
      </c>
      <c r="H379" s="471" t="n">
        <v>2025</v>
      </c>
      <c r="I379" s="470" t="n">
        <v>0</v>
      </c>
      <c r="J379" s="470" t="n">
        <v>0</v>
      </c>
      <c r="K379" s="470" t="inlineStr">
        <is>
          <t>NR</t>
        </is>
      </c>
      <c r="L379" s="470" t="inlineStr">
        <is>
          <t>NR</t>
        </is>
      </c>
      <c r="M379" s="470" t="inlineStr">
        <is>
          <t>NR</t>
        </is>
      </c>
      <c r="N379" s="492" t="n">
        <v>0.33</v>
      </c>
      <c r="O379" s="492" t="n">
        <v>0.01</v>
      </c>
      <c r="P379" s="470" t="inlineStr">
        <is>
          <t>NR</t>
        </is>
      </c>
      <c r="Q379" s="470" t="inlineStr">
        <is>
          <t>NR</t>
        </is>
      </c>
      <c r="R379" s="470" t="inlineStr">
        <is>
          <t>NR</t>
        </is>
      </c>
      <c r="S379" s="470" t="inlineStr">
        <is>
          <t>NR</t>
        </is>
      </c>
      <c r="T379" s="470" t="inlineStr">
        <is>
          <t>NR</t>
        </is>
      </c>
      <c r="U379" s="494" t="n">
        <v>0</v>
      </c>
      <c r="V379" s="503" t="n"/>
      <c r="W379" s="503" t="n"/>
      <c r="X379" s="503" t="n"/>
      <c r="Y379" s="503" t="n"/>
      <c r="Z379" s="503" t="n"/>
      <c r="AA379" s="503" t="n"/>
      <c r="AB379" s="503" t="n"/>
      <c r="AC379" s="503" t="n"/>
      <c r="AD379" s="503" t="n"/>
      <c r="AE379" s="503" t="n"/>
      <c r="AF379" s="503" t="n"/>
      <c r="AG379" s="503" t="n"/>
    </row>
    <row r="380">
      <c r="A380" s="710" t="n"/>
      <c r="B380" s="496" t="n"/>
      <c r="C380" s="500" t="n"/>
      <c r="D380" s="500" t="inlineStr">
        <is>
          <t>Gawaro Maddaci</t>
        </is>
      </c>
      <c r="E380" s="470" t="inlineStr">
        <is>
          <t>Tchadoua</t>
        </is>
      </c>
      <c r="F380" s="500" t="inlineStr">
        <is>
          <t>Intervention</t>
        </is>
      </c>
      <c r="G380" s="497" t="n">
        <v>2024</v>
      </c>
      <c r="H380" s="480" t="n">
        <v>2025</v>
      </c>
      <c r="I380" s="497" t="n">
        <v>0</v>
      </c>
      <c r="J380" s="497" t="n">
        <v>0</v>
      </c>
      <c r="K380" s="497" t="inlineStr">
        <is>
          <t>NR</t>
        </is>
      </c>
      <c r="L380" s="497" t="inlineStr">
        <is>
          <t>NR</t>
        </is>
      </c>
      <c r="M380" s="497" t="inlineStr">
        <is>
          <t>NR</t>
        </is>
      </c>
      <c r="N380" s="498" t="n">
        <v>0.5</v>
      </c>
      <c r="O380" s="498" t="n">
        <v>0</v>
      </c>
      <c r="P380" s="497" t="inlineStr">
        <is>
          <t>NR</t>
        </is>
      </c>
      <c r="Q380" s="497" t="inlineStr">
        <is>
          <t>NR</t>
        </is>
      </c>
      <c r="R380" s="497" t="inlineStr">
        <is>
          <t>NR</t>
        </is>
      </c>
      <c r="S380" s="497" t="inlineStr">
        <is>
          <t>NR</t>
        </is>
      </c>
      <c r="T380" s="470" t="inlineStr">
        <is>
          <t>NR</t>
        </is>
      </c>
      <c r="U380" s="497" t="n">
        <v>0</v>
      </c>
      <c r="V380" s="500" t="n"/>
      <c r="W380" s="500" t="n"/>
      <c r="X380" s="500" t="n"/>
      <c r="Y380" s="500" t="n"/>
      <c r="Z380" s="500" t="n"/>
      <c r="AA380" s="500" t="n"/>
      <c r="AB380" s="500" t="n"/>
      <c r="AC380" s="500" t="n"/>
      <c r="AD380" s="500" t="n"/>
      <c r="AE380" s="500" t="n"/>
      <c r="AF380" s="500" t="n"/>
      <c r="AG380" s="500" t="n"/>
    </row>
    <row r="381">
      <c r="A381" s="710" t="n"/>
      <c r="C381" s="500" t="n"/>
      <c r="D381" s="500" t="inlineStr">
        <is>
          <t>Wakasso</t>
        </is>
      </c>
      <c r="E381" s="495" t="inlineStr">
        <is>
          <t>Tchadoua</t>
        </is>
      </c>
      <c r="F381" s="681" t="inlineStr">
        <is>
          <t>Control</t>
        </is>
      </c>
      <c r="G381" s="497" t="n">
        <v>2024</v>
      </c>
      <c r="H381" s="480" t="n">
        <v>2025</v>
      </c>
      <c r="I381" s="497" t="n">
        <v>0</v>
      </c>
      <c r="J381" s="497" t="n">
        <v>0</v>
      </c>
      <c r="K381" s="497" t="inlineStr">
        <is>
          <t>NR</t>
        </is>
      </c>
      <c r="L381" s="497" t="inlineStr">
        <is>
          <t>NR</t>
        </is>
      </c>
      <c r="M381" s="497" t="inlineStr">
        <is>
          <t>NR</t>
        </is>
      </c>
      <c r="N381" s="498" t="n">
        <v>0.42</v>
      </c>
      <c r="O381" s="498" t="n">
        <v>0.01</v>
      </c>
      <c r="P381" s="497" t="inlineStr">
        <is>
          <t>NR</t>
        </is>
      </c>
      <c r="Q381" s="497" t="inlineStr">
        <is>
          <t>NR</t>
        </is>
      </c>
      <c r="R381" s="497" t="inlineStr">
        <is>
          <t>NR</t>
        </is>
      </c>
      <c r="S381" s="497" t="inlineStr">
        <is>
          <t>NR</t>
        </is>
      </c>
      <c r="T381" s="470" t="inlineStr">
        <is>
          <t>NR</t>
        </is>
      </c>
      <c r="U381" s="500" t="n">
        <v>1</v>
      </c>
      <c r="V381" s="500" t="n"/>
      <c r="W381" s="500" t="n"/>
      <c r="X381" s="500" t="n"/>
      <c r="Y381" s="500" t="n"/>
      <c r="Z381" s="500" t="n"/>
      <c r="AA381" s="500" t="n"/>
      <c r="AB381" s="500" t="n"/>
      <c r="AC381" s="500" t="n"/>
      <c r="AD381" s="500" t="n"/>
      <c r="AE381" s="500" t="n"/>
      <c r="AF381" s="500" t="n"/>
      <c r="AG381" s="500" t="n"/>
    </row>
    <row r="382">
      <c r="A382" s="710" t="n"/>
      <c r="B382" s="491" t="n"/>
      <c r="C382" s="470" t="n"/>
      <c r="D382" s="470" t="inlineStr">
        <is>
          <t>Guidan Karma</t>
        </is>
      </c>
      <c r="E382" s="470" t="inlineStr">
        <is>
          <t>Tchadoua</t>
        </is>
      </c>
      <c r="F382" s="470" t="inlineStr">
        <is>
          <t>Intervention</t>
        </is>
      </c>
      <c r="G382" s="470" t="n">
        <v>2024</v>
      </c>
      <c r="H382" s="471" t="n">
        <v>2025</v>
      </c>
      <c r="I382" s="470" t="n">
        <v>0</v>
      </c>
      <c r="J382" s="470" t="n">
        <v>0</v>
      </c>
      <c r="K382" s="470" t="inlineStr">
        <is>
          <t>NR</t>
        </is>
      </c>
      <c r="L382" s="470" t="inlineStr">
        <is>
          <t>NR</t>
        </is>
      </c>
      <c r="M382" s="470" t="inlineStr">
        <is>
          <t>NR</t>
        </is>
      </c>
      <c r="N382" s="492" t="n">
        <v>0.61</v>
      </c>
      <c r="O382" s="492" t="n">
        <v>0.02</v>
      </c>
      <c r="P382" s="470" t="inlineStr">
        <is>
          <t>NR</t>
        </is>
      </c>
      <c r="Q382" s="470" t="inlineStr">
        <is>
          <t>NR</t>
        </is>
      </c>
      <c r="R382" s="470" t="inlineStr">
        <is>
          <t>NR</t>
        </is>
      </c>
      <c r="S382" s="470" t="inlineStr">
        <is>
          <t>NR</t>
        </is>
      </c>
      <c r="T382" s="470" t="inlineStr">
        <is>
          <t>NR</t>
        </is>
      </c>
      <c r="U382" s="470" t="n">
        <v>0</v>
      </c>
      <c r="V382" s="470" t="n"/>
      <c r="W382" s="470" t="n"/>
      <c r="X382" s="470" t="n"/>
      <c r="Y382" s="470" t="n"/>
      <c r="Z382" s="470" t="n"/>
      <c r="AA382" s="470" t="n"/>
      <c r="AB382" s="470" t="n"/>
      <c r="AC382" s="470" t="n"/>
      <c r="AD382" s="470" t="n"/>
      <c r="AE382" s="470" t="n"/>
      <c r="AF382" s="470" t="n"/>
      <c r="AG382" s="470" t="n"/>
    </row>
    <row r="383">
      <c r="A383" s="710" t="n"/>
      <c r="C383" s="470" t="n"/>
      <c r="D383" s="470" t="inlineStr">
        <is>
          <t>Guidan Zoudi</t>
        </is>
      </c>
      <c r="E383" s="495" t="inlineStr">
        <is>
          <t>Tchadoua</t>
        </is>
      </c>
      <c r="F383" s="495" t="inlineStr">
        <is>
          <t>Control</t>
        </is>
      </c>
      <c r="G383" s="470" t="n">
        <v>2024</v>
      </c>
      <c r="H383" s="471" t="n">
        <v>2025</v>
      </c>
      <c r="I383" s="470" t="n">
        <v>0</v>
      </c>
      <c r="J383" s="470" t="n">
        <v>0</v>
      </c>
      <c r="K383" s="470" t="inlineStr">
        <is>
          <t>NR</t>
        </is>
      </c>
      <c r="L383" s="470" t="inlineStr">
        <is>
          <t>NR</t>
        </is>
      </c>
      <c r="M383" s="470" t="inlineStr">
        <is>
          <t>NR</t>
        </is>
      </c>
      <c r="N383" s="492" t="n">
        <v>0.57</v>
      </c>
      <c r="O383" s="492" t="n">
        <v>0.01</v>
      </c>
      <c r="P383" s="470" t="inlineStr">
        <is>
          <t>NR</t>
        </is>
      </c>
      <c r="Q383" s="470" t="inlineStr">
        <is>
          <t>NR</t>
        </is>
      </c>
      <c r="R383" s="470" t="inlineStr">
        <is>
          <t>NR</t>
        </is>
      </c>
      <c r="S383" s="470" t="inlineStr">
        <is>
          <t>NR</t>
        </is>
      </c>
      <c r="T383" s="470" t="inlineStr">
        <is>
          <t>NR</t>
        </is>
      </c>
      <c r="U383" s="494" t="n">
        <v>0</v>
      </c>
      <c r="V383" s="470" t="n"/>
      <c r="W383" s="470" t="n"/>
      <c r="X383" s="470" t="n"/>
      <c r="Y383" s="470" t="n"/>
      <c r="Z383" s="470" t="n"/>
      <c r="AA383" s="470" t="n"/>
      <c r="AB383" s="470" t="n"/>
      <c r="AC383" s="470" t="n"/>
      <c r="AD383" s="470" t="n"/>
      <c r="AE383" s="470" t="n"/>
      <c r="AF383" s="470" t="n"/>
      <c r="AG383" s="470" t="n"/>
    </row>
    <row r="384">
      <c r="A384" s="710" t="n"/>
      <c r="B384" s="496" t="n"/>
      <c r="C384" s="497" t="n"/>
      <c r="D384" s="497" t="inlineStr">
        <is>
          <t>Janroua Sedentaire</t>
        </is>
      </c>
      <c r="E384" s="470" t="inlineStr">
        <is>
          <t>Tchadoua</t>
        </is>
      </c>
      <c r="F384" s="497" t="inlineStr">
        <is>
          <t>Intervention</t>
        </is>
      </c>
      <c r="G384" s="497" t="n">
        <v>2024</v>
      </c>
      <c r="H384" s="480" t="n">
        <v>2025</v>
      </c>
      <c r="I384" s="497" t="n">
        <v>0</v>
      </c>
      <c r="J384" s="497" t="n">
        <v>0</v>
      </c>
      <c r="K384" s="497" t="inlineStr">
        <is>
          <t>NR</t>
        </is>
      </c>
      <c r="L384" s="497" t="inlineStr">
        <is>
          <t>NR</t>
        </is>
      </c>
      <c r="M384" s="497" t="inlineStr">
        <is>
          <t>NR</t>
        </is>
      </c>
      <c r="N384" s="498" t="n">
        <v>0.6</v>
      </c>
      <c r="O384" s="498" t="n">
        <v>0.05</v>
      </c>
      <c r="P384" s="497" t="inlineStr">
        <is>
          <t>NR</t>
        </is>
      </c>
      <c r="Q384" s="497" t="inlineStr">
        <is>
          <t>NR</t>
        </is>
      </c>
      <c r="R384" s="497" t="inlineStr">
        <is>
          <t>NR</t>
        </is>
      </c>
      <c r="S384" s="497" t="inlineStr">
        <is>
          <t>NR</t>
        </is>
      </c>
      <c r="T384" s="470" t="inlineStr">
        <is>
          <t>NR</t>
        </is>
      </c>
      <c r="U384" s="497" t="n">
        <v>0</v>
      </c>
      <c r="V384" s="497" t="n"/>
      <c r="W384" s="497" t="n"/>
      <c r="X384" s="497" t="n"/>
      <c r="Y384" s="497" t="n"/>
      <c r="Z384" s="497" t="n"/>
      <c r="AA384" s="497" t="n"/>
      <c r="AB384" s="497" t="n"/>
      <c r="AC384" s="497" t="n"/>
      <c r="AD384" s="497" t="n"/>
      <c r="AE384" s="497" t="n"/>
      <c r="AF384" s="497" t="n"/>
      <c r="AG384" s="497" t="n"/>
    </row>
    <row r="385">
      <c r="A385" s="710" t="n"/>
      <c r="C385" s="497" t="n"/>
      <c r="D385" s="497" t="inlineStr">
        <is>
          <t>Zabon Mousso</t>
        </is>
      </c>
      <c r="E385" s="495" t="inlineStr">
        <is>
          <t>Tchadoua</t>
        </is>
      </c>
      <c r="F385" s="79" t="inlineStr">
        <is>
          <t>Control</t>
        </is>
      </c>
      <c r="G385" s="497" t="n">
        <v>2024</v>
      </c>
      <c r="H385" s="480" t="n">
        <v>2025</v>
      </c>
      <c r="I385" s="497" t="n">
        <v>0</v>
      </c>
      <c r="J385" s="497" t="n">
        <v>0</v>
      </c>
      <c r="K385" s="497" t="inlineStr">
        <is>
          <t>NR</t>
        </is>
      </c>
      <c r="L385" s="497" t="inlineStr">
        <is>
          <t>NR</t>
        </is>
      </c>
      <c r="M385" s="497" t="inlineStr">
        <is>
          <t>NR</t>
        </is>
      </c>
      <c r="N385" s="498" t="n">
        <v>0.43</v>
      </c>
      <c r="O385" s="498" t="n">
        <v>0.06</v>
      </c>
      <c r="P385" s="497" t="inlineStr">
        <is>
          <t>NR</t>
        </is>
      </c>
      <c r="Q385" s="497" t="inlineStr">
        <is>
          <t>NR</t>
        </is>
      </c>
      <c r="R385" s="497" t="inlineStr">
        <is>
          <t>NR</t>
        </is>
      </c>
      <c r="S385" s="497" t="inlineStr">
        <is>
          <t>NR</t>
        </is>
      </c>
      <c r="T385" s="470" t="inlineStr">
        <is>
          <t>NR</t>
        </is>
      </c>
      <c r="U385" s="500" t="n">
        <v>0</v>
      </c>
      <c r="V385" s="497" t="n"/>
      <c r="W385" s="497" t="n"/>
      <c r="X385" s="497" t="n"/>
      <c r="Y385" s="497" t="n"/>
      <c r="Z385" s="497" t="n"/>
      <c r="AA385" s="497" t="n"/>
      <c r="AB385" s="497" t="n"/>
      <c r="AC385" s="497" t="n"/>
      <c r="AD385" s="497" t="n"/>
      <c r="AE385" s="497" t="n"/>
      <c r="AF385" s="497" t="n"/>
      <c r="AG385" s="497" t="n"/>
    </row>
    <row r="386">
      <c r="A386" s="710" t="n"/>
      <c r="B386" s="491" t="n"/>
      <c r="C386" s="470" t="n"/>
      <c r="D386" s="470" t="inlineStr">
        <is>
          <t>Guidan Tambari</t>
        </is>
      </c>
      <c r="E386" s="470" t="inlineStr">
        <is>
          <t>Tchadoua</t>
        </is>
      </c>
      <c r="F386" s="470" t="inlineStr">
        <is>
          <t>Control</t>
        </is>
      </c>
      <c r="G386" s="470" t="n">
        <v>2024</v>
      </c>
      <c r="H386" s="471" t="n">
        <v>2025</v>
      </c>
      <c r="I386" s="470" t="n">
        <v>0</v>
      </c>
      <c r="J386" s="470" t="n">
        <v>0</v>
      </c>
      <c r="K386" s="470" t="inlineStr">
        <is>
          <t>NR</t>
        </is>
      </c>
      <c r="L386" s="470" t="inlineStr">
        <is>
          <t>NR</t>
        </is>
      </c>
      <c r="M386" s="470" t="inlineStr">
        <is>
          <t>NR</t>
        </is>
      </c>
      <c r="N386" s="492" t="n">
        <v>0.5</v>
      </c>
      <c r="O386" s="492" t="n">
        <v>0</v>
      </c>
      <c r="P386" s="470" t="inlineStr">
        <is>
          <t>NR</t>
        </is>
      </c>
      <c r="Q386" s="470" t="inlineStr">
        <is>
          <t>NR</t>
        </is>
      </c>
      <c r="R386" s="470" t="inlineStr">
        <is>
          <t>NR</t>
        </is>
      </c>
      <c r="S386" s="470" t="inlineStr">
        <is>
          <t>NR</t>
        </is>
      </c>
      <c r="T386" s="470" t="inlineStr">
        <is>
          <t>NR</t>
        </is>
      </c>
      <c r="U386" s="470" t="n">
        <v>0</v>
      </c>
      <c r="V386" s="470" t="n"/>
      <c r="W386" s="470" t="n"/>
      <c r="X386" s="470" t="n"/>
      <c r="Y386" s="470" t="n"/>
      <c r="Z386" s="470" t="n"/>
      <c r="AA386" s="470" t="n"/>
      <c r="AB386" s="470" t="n"/>
      <c r="AC386" s="470" t="n"/>
      <c r="AD386" s="470" t="n"/>
      <c r="AE386" s="470" t="n"/>
      <c r="AF386" s="470" t="n"/>
      <c r="AG386" s="470" t="n"/>
    </row>
    <row r="387">
      <c r="A387" s="710" t="n"/>
      <c r="C387" s="470" t="n"/>
      <c r="D387" s="470" t="inlineStr">
        <is>
          <t>Zangon Naroua</t>
        </is>
      </c>
      <c r="E387" s="495" t="inlineStr">
        <is>
          <t>Tchadoua</t>
        </is>
      </c>
      <c r="F387" s="495" t="inlineStr">
        <is>
          <t>Intervention</t>
        </is>
      </c>
      <c r="G387" s="470" t="n">
        <v>2024</v>
      </c>
      <c r="H387" s="471" t="n">
        <v>2025</v>
      </c>
      <c r="I387" s="470" t="n">
        <v>0</v>
      </c>
      <c r="J387" s="470" t="n">
        <v>0</v>
      </c>
      <c r="K387" s="470" t="inlineStr">
        <is>
          <t>NR</t>
        </is>
      </c>
      <c r="L387" s="470" t="inlineStr">
        <is>
          <t>NR</t>
        </is>
      </c>
      <c r="M387" s="470" t="inlineStr">
        <is>
          <t>NR</t>
        </is>
      </c>
      <c r="N387" s="492" t="n">
        <v>0.64</v>
      </c>
      <c r="O387" s="492" t="n">
        <v>0.01</v>
      </c>
      <c r="P387" s="470" t="inlineStr">
        <is>
          <t>NR</t>
        </is>
      </c>
      <c r="Q387" s="470" t="inlineStr">
        <is>
          <t>NR</t>
        </is>
      </c>
      <c r="R387" s="470" t="inlineStr">
        <is>
          <t>NR</t>
        </is>
      </c>
      <c r="S387" s="470" t="inlineStr">
        <is>
          <t>NR</t>
        </is>
      </c>
      <c r="T387" s="470" t="inlineStr">
        <is>
          <t>NR</t>
        </is>
      </c>
      <c r="U387" s="494" t="n">
        <v>0</v>
      </c>
      <c r="V387" s="470" t="n"/>
      <c r="W387" s="470" t="n"/>
      <c r="X387" s="470" t="n"/>
      <c r="Y387" s="470" t="n"/>
      <c r="Z387" s="470" t="n"/>
      <c r="AA387" s="470" t="n"/>
      <c r="AB387" s="470" t="n"/>
      <c r="AC387" s="470" t="n"/>
      <c r="AD387" s="470" t="n"/>
      <c r="AE387" s="470" t="n"/>
      <c r="AF387" s="470" t="n"/>
      <c r="AG387" s="470" t="n"/>
    </row>
    <row r="388">
      <c r="A388" s="710" t="n"/>
      <c r="B388" s="496" t="n"/>
      <c r="C388" s="497" t="n"/>
      <c r="D388" s="497" t="inlineStr">
        <is>
          <t>Dan Bouzou</t>
        </is>
      </c>
      <c r="E388" s="470" t="inlineStr">
        <is>
          <t>Tchadoua</t>
        </is>
      </c>
      <c r="F388" s="497" t="inlineStr">
        <is>
          <t>Control</t>
        </is>
      </c>
      <c r="G388" s="497" t="n">
        <v>2024</v>
      </c>
      <c r="H388" s="480" t="n">
        <v>2025</v>
      </c>
      <c r="I388" s="497" t="n">
        <v>0</v>
      </c>
      <c r="J388" s="497" t="n">
        <v>0</v>
      </c>
      <c r="K388" s="497" t="inlineStr">
        <is>
          <t>NR</t>
        </is>
      </c>
      <c r="L388" s="497" t="inlineStr">
        <is>
          <t>NR</t>
        </is>
      </c>
      <c r="M388" s="497" t="inlineStr">
        <is>
          <t>NR</t>
        </is>
      </c>
      <c r="N388" s="498" t="n">
        <v>0.49</v>
      </c>
      <c r="O388" s="498" t="n">
        <v>0.1</v>
      </c>
      <c r="P388" s="497" t="inlineStr">
        <is>
          <t>NR</t>
        </is>
      </c>
      <c r="Q388" s="497" t="inlineStr">
        <is>
          <t>NR</t>
        </is>
      </c>
      <c r="R388" s="497" t="inlineStr">
        <is>
          <t>NR</t>
        </is>
      </c>
      <c r="S388" s="497" t="inlineStr">
        <is>
          <t>NR</t>
        </is>
      </c>
      <c r="T388" s="470" t="inlineStr">
        <is>
          <t>NR</t>
        </is>
      </c>
      <c r="U388" s="497" t="n">
        <v>0</v>
      </c>
      <c r="V388" s="497" t="n"/>
      <c r="W388" s="497" t="n"/>
      <c r="X388" s="497" t="n"/>
      <c r="Y388" s="497" t="n"/>
      <c r="Z388" s="497" t="n"/>
      <c r="AA388" s="497" t="n"/>
      <c r="AB388" s="497" t="n"/>
      <c r="AC388" s="497" t="n"/>
      <c r="AD388" s="497" t="n"/>
      <c r="AE388" s="497" t="n"/>
      <c r="AF388" s="497" t="n"/>
      <c r="AG388" s="497" t="n"/>
    </row>
    <row r="389">
      <c r="A389" s="710" t="n"/>
      <c r="C389" s="497" t="n"/>
      <c r="D389" s="497" t="inlineStr">
        <is>
          <t>Maijanguero</t>
        </is>
      </c>
      <c r="E389" s="495" t="inlineStr">
        <is>
          <t>Tchadoua</t>
        </is>
      </c>
      <c r="F389" s="79" t="inlineStr">
        <is>
          <t>Intervention</t>
        </is>
      </c>
      <c r="G389" s="497" t="n">
        <v>2024</v>
      </c>
      <c r="H389" s="480" t="n">
        <v>2025</v>
      </c>
      <c r="I389" s="497" t="n">
        <v>0</v>
      </c>
      <c r="J389" s="497" t="n">
        <v>0</v>
      </c>
      <c r="K389" s="497" t="inlineStr">
        <is>
          <t>NR</t>
        </is>
      </c>
      <c r="L389" s="497" t="inlineStr">
        <is>
          <t>NR</t>
        </is>
      </c>
      <c r="M389" s="497" t="inlineStr">
        <is>
          <t>NR</t>
        </is>
      </c>
      <c r="N389" s="498" t="n">
        <v>0.5600000000000001</v>
      </c>
      <c r="O389" s="498" t="n">
        <v>0.02</v>
      </c>
      <c r="P389" s="497" t="inlineStr">
        <is>
          <t>NR</t>
        </is>
      </c>
      <c r="Q389" s="497" t="inlineStr">
        <is>
          <t>NR</t>
        </is>
      </c>
      <c r="R389" s="497" t="inlineStr">
        <is>
          <t>NR</t>
        </is>
      </c>
      <c r="S389" s="497" t="inlineStr">
        <is>
          <t>NR</t>
        </is>
      </c>
      <c r="T389" s="470" t="inlineStr">
        <is>
          <t>NR</t>
        </is>
      </c>
      <c r="U389" s="500" t="n">
        <v>0</v>
      </c>
      <c r="V389" s="497" t="n"/>
      <c r="W389" s="497" t="n"/>
      <c r="X389" s="497" t="n"/>
      <c r="Y389" s="497" t="n"/>
      <c r="Z389" s="497" t="n"/>
      <c r="AA389" s="497" t="n"/>
      <c r="AB389" s="497" t="n"/>
      <c r="AC389" s="497" t="n"/>
      <c r="AD389" s="497" t="n"/>
      <c r="AE389" s="497" t="n"/>
      <c r="AF389" s="497" t="n"/>
      <c r="AG389" s="497" t="n"/>
    </row>
    <row r="390">
      <c r="A390" s="710" t="n"/>
      <c r="B390" s="491" t="n"/>
      <c r="C390" s="470" t="n"/>
      <c r="D390" s="470" t="inlineStr">
        <is>
          <t>Douma 1</t>
        </is>
      </c>
      <c r="E390" s="470" t="inlineStr">
        <is>
          <t>Tchadoua</t>
        </is>
      </c>
      <c r="F390" s="470" t="inlineStr">
        <is>
          <t>Intervention</t>
        </is>
      </c>
      <c r="G390" s="470" t="n">
        <v>2024</v>
      </c>
      <c r="H390" s="471" t="n">
        <v>2025</v>
      </c>
      <c r="I390" s="470" t="n">
        <v>0</v>
      </c>
      <c r="J390" s="470" t="n">
        <v>0</v>
      </c>
      <c r="K390" s="470" t="inlineStr">
        <is>
          <t>NR</t>
        </is>
      </c>
      <c r="L390" s="470" t="inlineStr">
        <is>
          <t>NR</t>
        </is>
      </c>
      <c r="M390" s="470" t="inlineStr">
        <is>
          <t>NR</t>
        </is>
      </c>
      <c r="N390" s="492" t="n">
        <v>0.39</v>
      </c>
      <c r="O390" s="492" t="n">
        <v>0.07000000000000001</v>
      </c>
      <c r="P390" s="470" t="inlineStr">
        <is>
          <t>NR</t>
        </is>
      </c>
      <c r="Q390" s="470" t="inlineStr">
        <is>
          <t>NR</t>
        </is>
      </c>
      <c r="R390" s="470" t="inlineStr">
        <is>
          <t>NR</t>
        </is>
      </c>
      <c r="S390" s="470" t="inlineStr">
        <is>
          <t>NR</t>
        </is>
      </c>
      <c r="T390" s="470" t="inlineStr">
        <is>
          <t>NR</t>
        </is>
      </c>
      <c r="U390" s="470" t="n">
        <v>0</v>
      </c>
      <c r="V390" s="470" t="n"/>
      <c r="W390" s="470" t="n"/>
      <c r="X390" s="470" t="n"/>
      <c r="Y390" s="470" t="n"/>
      <c r="Z390" s="470" t="n"/>
      <c r="AA390" s="470" t="n"/>
      <c r="AB390" s="470" t="n"/>
      <c r="AC390" s="470" t="n"/>
      <c r="AD390" s="470" t="n"/>
      <c r="AE390" s="470" t="n"/>
      <c r="AF390" s="470" t="n"/>
      <c r="AG390" s="470" t="n"/>
    </row>
    <row r="391">
      <c r="A391" s="710" t="n"/>
      <c r="C391" s="470" t="n"/>
      <c r="D391" s="470" t="inlineStr">
        <is>
          <t>Guidan Koumbe</t>
        </is>
      </c>
      <c r="E391" s="495" t="inlineStr">
        <is>
          <t>Tchadoua</t>
        </is>
      </c>
      <c r="F391" s="495" t="inlineStr">
        <is>
          <t>Control</t>
        </is>
      </c>
      <c r="G391" s="470" t="n">
        <v>2024</v>
      </c>
      <c r="H391" s="471" t="n">
        <v>2025</v>
      </c>
      <c r="I391" s="470" t="n">
        <v>0</v>
      </c>
      <c r="J391" s="470" t="n">
        <v>0</v>
      </c>
      <c r="K391" s="470" t="inlineStr">
        <is>
          <t>NR</t>
        </is>
      </c>
      <c r="L391" s="470" t="inlineStr">
        <is>
          <t>NR</t>
        </is>
      </c>
      <c r="M391" s="470" t="inlineStr">
        <is>
          <t>NR</t>
        </is>
      </c>
      <c r="N391" s="492" t="n">
        <v>0.43</v>
      </c>
      <c r="O391" s="492" t="n">
        <v>0.1</v>
      </c>
      <c r="P391" s="470" t="inlineStr">
        <is>
          <t>NR</t>
        </is>
      </c>
      <c r="Q391" s="470" t="inlineStr">
        <is>
          <t>NR</t>
        </is>
      </c>
      <c r="R391" s="470" t="inlineStr">
        <is>
          <t>NR</t>
        </is>
      </c>
      <c r="S391" s="470" t="inlineStr">
        <is>
          <t>NR</t>
        </is>
      </c>
      <c r="T391" s="470" t="inlineStr">
        <is>
          <t>NR</t>
        </is>
      </c>
      <c r="U391" s="494" t="n">
        <v>0</v>
      </c>
      <c r="V391" s="470" t="n"/>
      <c r="W391" s="470" t="n"/>
      <c r="X391" s="470" t="n"/>
      <c r="Y391" s="470" t="n"/>
      <c r="Z391" s="470" t="n"/>
      <c r="AA391" s="470" t="n"/>
      <c r="AB391" s="470" t="n"/>
      <c r="AC391" s="470" t="n"/>
      <c r="AD391" s="470" t="n"/>
      <c r="AE391" s="470" t="n"/>
      <c r="AF391" s="470" t="n"/>
      <c r="AG391" s="470" t="n"/>
    </row>
    <row r="392">
      <c r="A392" s="710" t="n"/>
      <c r="B392" s="496" t="n"/>
      <c r="C392" s="506" t="n"/>
      <c r="D392" s="506" t="inlineStr">
        <is>
          <t>Kouran Mota</t>
        </is>
      </c>
      <c r="E392" s="470" t="inlineStr">
        <is>
          <t>Tchadoua</t>
        </is>
      </c>
      <c r="F392" s="506" t="inlineStr">
        <is>
          <t>Intervention</t>
        </is>
      </c>
      <c r="G392" s="497" t="n">
        <v>2024</v>
      </c>
      <c r="H392" s="480" t="n">
        <v>2025</v>
      </c>
      <c r="I392" s="497" t="n">
        <v>0</v>
      </c>
      <c r="J392" s="497" t="n">
        <v>0</v>
      </c>
      <c r="K392" s="497" t="inlineStr">
        <is>
          <t>NR</t>
        </is>
      </c>
      <c r="L392" s="497" t="inlineStr">
        <is>
          <t>NR</t>
        </is>
      </c>
      <c r="M392" s="497" t="inlineStr">
        <is>
          <t>NR</t>
        </is>
      </c>
      <c r="N392" s="498" t="n">
        <v>0.33</v>
      </c>
      <c r="O392" s="498" t="n">
        <v>0.05</v>
      </c>
      <c r="P392" s="497" t="inlineStr">
        <is>
          <t>NR</t>
        </is>
      </c>
      <c r="Q392" s="497" t="inlineStr">
        <is>
          <t>NR</t>
        </is>
      </c>
      <c r="R392" s="497" t="inlineStr">
        <is>
          <t>NR</t>
        </is>
      </c>
      <c r="S392" s="497" t="inlineStr">
        <is>
          <t>NR</t>
        </is>
      </c>
      <c r="T392" s="470" t="inlineStr">
        <is>
          <t>NR</t>
        </is>
      </c>
      <c r="U392" s="497" t="n">
        <v>0</v>
      </c>
      <c r="V392" s="497" t="n"/>
      <c r="W392" s="497" t="n"/>
      <c r="X392" s="497" t="n"/>
      <c r="Y392" s="497" t="n"/>
      <c r="Z392" s="497" t="n"/>
      <c r="AA392" s="497" t="n"/>
      <c r="AB392" s="497" t="n"/>
      <c r="AC392" s="497" t="n"/>
      <c r="AD392" s="497" t="n"/>
      <c r="AE392" s="497" t="n"/>
      <c r="AF392" s="497" t="n"/>
      <c r="AG392" s="497" t="n"/>
    </row>
    <row r="393">
      <c r="A393" s="706" t="n"/>
      <c r="C393" s="506" t="n"/>
      <c r="D393" s="506" t="inlineStr">
        <is>
          <t>Chapke</t>
        </is>
      </c>
      <c r="E393" s="495" t="inlineStr">
        <is>
          <t>Tchadoua</t>
        </is>
      </c>
      <c r="F393" s="507" t="inlineStr">
        <is>
          <t>Control</t>
        </is>
      </c>
      <c r="G393" s="497" t="n">
        <v>2024</v>
      </c>
      <c r="H393" s="480" t="n">
        <v>2025</v>
      </c>
      <c r="I393" s="497" t="n">
        <v>0</v>
      </c>
      <c r="J393" s="497" t="n">
        <v>0</v>
      </c>
      <c r="K393" s="497" t="inlineStr">
        <is>
          <t>NR</t>
        </is>
      </c>
      <c r="L393" s="497" t="inlineStr">
        <is>
          <t>NR</t>
        </is>
      </c>
      <c r="M393" s="497" t="inlineStr">
        <is>
          <t>NR</t>
        </is>
      </c>
      <c r="N393" s="498" t="n">
        <v>0.37</v>
      </c>
      <c r="O393" s="498" t="n">
        <v>0.06</v>
      </c>
      <c r="P393" s="497" t="inlineStr">
        <is>
          <t>NR</t>
        </is>
      </c>
      <c r="Q393" s="497" t="inlineStr">
        <is>
          <t>NR</t>
        </is>
      </c>
      <c r="R393" s="497" t="inlineStr">
        <is>
          <t>NR</t>
        </is>
      </c>
      <c r="S393" s="497" t="inlineStr">
        <is>
          <t>NR</t>
        </is>
      </c>
      <c r="T393" s="470" t="inlineStr">
        <is>
          <t>NR</t>
        </is>
      </c>
      <c r="U393" s="500" t="n">
        <v>0</v>
      </c>
      <c r="V393" s="497" t="n"/>
      <c r="W393" s="497" t="n"/>
      <c r="X393" s="497" t="n"/>
      <c r="Y393" s="497" t="n"/>
      <c r="Z393" s="497" t="n"/>
      <c r="AA393" s="497" t="n"/>
      <c r="AB393" s="497" t="n"/>
      <c r="AC393" s="497" t="n"/>
      <c r="AD393" s="497" t="n"/>
      <c r="AE393" s="497" t="n"/>
      <c r="AF393" s="497" t="n"/>
      <c r="AG393" s="497" t="n"/>
    </row>
    <row r="394">
      <c r="A394" s="489" t="n"/>
      <c r="B394" s="489" t="n"/>
      <c r="C394" s="489" t="n"/>
      <c r="D394" s="489" t="n"/>
      <c r="E394" s="489" t="n"/>
      <c r="F394" s="489" t="n"/>
      <c r="G394" s="489" t="n"/>
      <c r="H394" s="168" t="n"/>
      <c r="I394" s="168" t="n"/>
      <c r="J394" s="168" t="n"/>
      <c r="K394" s="168" t="n"/>
      <c r="L394" s="168" t="n"/>
      <c r="M394" s="168" t="n"/>
      <c r="N394" s="168" t="n"/>
      <c r="O394" s="168" t="n"/>
      <c r="P394" s="168" t="n"/>
      <c r="Q394" s="168" t="n"/>
      <c r="R394" s="168" t="n"/>
      <c r="S394" s="168" t="n"/>
      <c r="T394" s="168" t="n"/>
      <c r="U394" s="168" t="n"/>
      <c r="V394" s="470" t="n"/>
      <c r="W394" s="470" t="n"/>
      <c r="X394" s="470" t="n"/>
      <c r="Y394" s="470" t="n"/>
      <c r="Z394" s="470" t="n"/>
      <c r="AA394" s="470" t="n"/>
      <c r="AB394" s="470" t="n"/>
      <c r="AC394" s="470" t="n"/>
      <c r="AD394" s="470" t="n"/>
      <c r="AE394" s="470" t="n"/>
      <c r="AF394" s="470" t="n"/>
      <c r="AG394" s="470" t="n"/>
    </row>
    <row r="395">
      <c r="A395" s="489" t="n"/>
      <c r="B395" s="489" t="n"/>
      <c r="C395" s="489" t="n"/>
      <c r="D395" s="489" t="n"/>
      <c r="E395" s="489" t="n"/>
      <c r="F395" s="489" t="n"/>
      <c r="G395" s="489" t="n"/>
      <c r="H395" s="168" t="n"/>
      <c r="I395" s="168" t="n"/>
      <c r="J395" s="168" t="n"/>
      <c r="K395" s="168" t="n"/>
      <c r="L395" s="168" t="n"/>
      <c r="M395" s="168" t="n"/>
      <c r="N395" s="168" t="n"/>
      <c r="O395" s="168" t="n"/>
      <c r="P395" s="168" t="n"/>
      <c r="Q395" s="168" t="n"/>
      <c r="R395" s="168" t="n"/>
      <c r="S395" s="168" t="n"/>
      <c r="T395" s="168" t="n"/>
      <c r="U395" s="168" t="n"/>
      <c r="V395" s="470" t="n"/>
      <c r="W395" s="470" t="n"/>
      <c r="X395" s="470" t="n"/>
      <c r="Y395" s="470" t="n"/>
      <c r="Z395" s="470" t="n"/>
      <c r="AA395" s="470" t="n"/>
      <c r="AB395" s="470" t="n"/>
      <c r="AC395" s="470" t="n"/>
      <c r="AD395" s="470" t="n"/>
      <c r="AE395" s="470" t="n"/>
      <c r="AF395" s="470" t="n"/>
      <c r="AG395" s="470" t="n"/>
    </row>
    <row r="396">
      <c r="A396" s="725" t="inlineStr">
        <is>
          <t>Djirataoua</t>
        </is>
      </c>
      <c r="B396" s="722" t="n">
        <v>1</v>
      </c>
      <c r="C396" s="423" t="n"/>
      <c r="D396" s="423" t="inlineStr">
        <is>
          <t>Koderaoua</t>
        </is>
      </c>
      <c r="E396" s="420" t="inlineStr">
        <is>
          <t>Djirataoua</t>
        </is>
      </c>
      <c r="F396" s="420" t="inlineStr">
        <is>
          <t>Intervention</t>
        </is>
      </c>
      <c r="G396" s="507" t="n">
        <v>2025</v>
      </c>
      <c r="H396" s="480" t="n">
        <v>2026</v>
      </c>
      <c r="I396" s="420" t="n">
        <v>5</v>
      </c>
      <c r="J396" s="509" t="inlineStr">
        <is>
          <t>NR</t>
        </is>
      </c>
      <c r="K396" s="420" t="n">
        <v>34</v>
      </c>
      <c r="L396" s="420" t="n">
        <v>2</v>
      </c>
      <c r="M396" s="420" t="n"/>
      <c r="N396" s="420" t="n"/>
      <c r="O396" s="420" t="n"/>
      <c r="P396" s="420" t="n"/>
      <c r="Q396" s="420" t="n">
        <v>3.2</v>
      </c>
      <c r="R396" s="420" t="n"/>
      <c r="S396" s="420" t="n">
        <v>3.5</v>
      </c>
      <c r="T396" s="420" t="n"/>
      <c r="U396" s="420" t="n">
        <v>0</v>
      </c>
      <c r="V396" s="470" t="n"/>
      <c r="W396" s="470" t="n"/>
      <c r="X396" s="470" t="n"/>
      <c r="Y396" s="470" t="n"/>
      <c r="Z396" s="470" t="n"/>
      <c r="AA396" s="470" t="n"/>
      <c r="AB396" s="470" t="n"/>
      <c r="AC396" s="470" t="n"/>
      <c r="AD396" s="470" t="n"/>
      <c r="AE396" s="470" t="n"/>
      <c r="AF396" s="470" t="n"/>
      <c r="AG396" s="470" t="n"/>
    </row>
    <row r="397">
      <c r="A397" s="710" t="n"/>
      <c r="B397" s="706" t="n"/>
      <c r="C397" s="423" t="n"/>
      <c r="D397" s="510" t="inlineStr">
        <is>
          <t>Oumarou Laouali Gago</t>
        </is>
      </c>
      <c r="E397" s="420" t="inlineStr">
        <is>
          <t>Djirataoua</t>
        </is>
      </c>
      <c r="F397" s="420" t="inlineStr">
        <is>
          <t>Control</t>
        </is>
      </c>
      <c r="G397" s="507" t="n">
        <v>2025</v>
      </c>
      <c r="H397" s="480" t="n">
        <v>2026</v>
      </c>
      <c r="I397" s="420" t="n">
        <v>0</v>
      </c>
      <c r="J397" s="420" t="n">
        <v>0</v>
      </c>
      <c r="K397" s="420" t="n">
        <v>29</v>
      </c>
      <c r="L397" s="420" t="n">
        <v>0</v>
      </c>
      <c r="M397" s="420" t="inlineStr">
        <is>
          <t>NR</t>
        </is>
      </c>
      <c r="N397" s="420" t="n"/>
      <c r="O397" s="420" t="n"/>
      <c r="P397" s="420" t="n"/>
      <c r="Q397" s="420" t="n">
        <v>0.7</v>
      </c>
      <c r="R397" s="420" t="n"/>
      <c r="S397" s="420" t="n">
        <v>0.6</v>
      </c>
      <c r="T397" s="420" t="n"/>
      <c r="U397" s="420" t="n">
        <v>0</v>
      </c>
      <c r="V397" s="470" t="n"/>
      <c r="W397" s="470" t="n"/>
      <c r="X397" s="470" t="n"/>
      <c r="Y397" s="470" t="n"/>
      <c r="Z397" s="470" t="n"/>
      <c r="AA397" s="470" t="n"/>
      <c r="AB397" s="470" t="n"/>
      <c r="AC397" s="470" t="n"/>
      <c r="AD397" s="470" t="n"/>
      <c r="AE397" s="470" t="n"/>
      <c r="AF397" s="470" t="n"/>
      <c r="AG397" s="470" t="n"/>
    </row>
    <row r="398">
      <c r="A398" s="710" t="n"/>
      <c r="B398" s="721" t="n">
        <v>2</v>
      </c>
      <c r="C398" s="471" t="n">
        <v>30</v>
      </c>
      <c r="D398" s="471" t="inlineStr">
        <is>
          <t>Takalmaoua 1</t>
        </is>
      </c>
      <c r="E398" s="471" t="inlineStr">
        <is>
          <t>Djirataoua</t>
        </is>
      </c>
      <c r="F398" s="471" t="inlineStr">
        <is>
          <t>Intervention</t>
        </is>
      </c>
      <c r="G398" s="470" t="n">
        <v>2025</v>
      </c>
      <c r="H398" s="471" t="n">
        <v>2026</v>
      </c>
      <c r="I398" s="470" t="n">
        <v>6</v>
      </c>
      <c r="J398" s="509" t="inlineStr">
        <is>
          <t>NR</t>
        </is>
      </c>
      <c r="K398" s="470" t="n">
        <v>25</v>
      </c>
      <c r="L398" s="470" t="n">
        <v>2</v>
      </c>
      <c r="M398" s="470" t="inlineStr">
        <is>
          <t>NR</t>
        </is>
      </c>
      <c r="N398" s="470" t="inlineStr">
        <is>
          <t>NR</t>
        </is>
      </c>
      <c r="O398" s="470" t="inlineStr">
        <is>
          <t>NR</t>
        </is>
      </c>
      <c r="P398" s="470" t="inlineStr">
        <is>
          <t>NR</t>
        </is>
      </c>
      <c r="Q398" s="470" t="n">
        <v>2.9</v>
      </c>
      <c r="R398" s="470" t="inlineStr">
        <is>
          <t>NR</t>
        </is>
      </c>
      <c r="S398" s="470" t="n">
        <v>3</v>
      </c>
      <c r="T398" s="509" t="inlineStr">
        <is>
          <t>NR</t>
        </is>
      </c>
      <c r="U398" s="470" t="n">
        <v>0</v>
      </c>
      <c r="V398" s="470" t="n"/>
      <c r="W398" s="470" t="n"/>
      <c r="X398" s="470" t="n"/>
      <c r="Y398" s="470" t="n"/>
      <c r="Z398" s="470" t="n"/>
      <c r="AA398" s="470" t="n"/>
      <c r="AB398" s="470" t="n"/>
      <c r="AC398" s="470" t="n"/>
      <c r="AD398" s="470" t="n"/>
      <c r="AE398" s="470" t="n"/>
      <c r="AF398" s="470" t="n"/>
      <c r="AG398" s="470" t="n"/>
    </row>
    <row r="399">
      <c r="A399" s="710" t="n"/>
      <c r="B399" s="706" t="n"/>
      <c r="C399" s="471" t="n">
        <v>84</v>
      </c>
      <c r="D399" s="471" t="inlineStr">
        <is>
          <t>Kontagora Tsohoua</t>
        </is>
      </c>
      <c r="E399" s="471" t="inlineStr">
        <is>
          <t>Djirataoua</t>
        </is>
      </c>
      <c r="F399" s="471" t="inlineStr">
        <is>
          <t>Control</t>
        </is>
      </c>
      <c r="G399" s="495" t="n">
        <v>2025</v>
      </c>
      <c r="H399" s="471" t="n">
        <v>2026</v>
      </c>
      <c r="I399" s="487" t="n">
        <v>0</v>
      </c>
      <c r="J399" s="487" t="n">
        <v>0</v>
      </c>
      <c r="K399" s="487" t="n">
        <v>26</v>
      </c>
      <c r="L399" s="470" t="n">
        <v>0</v>
      </c>
      <c r="M399" s="509" t="inlineStr">
        <is>
          <t>NR</t>
        </is>
      </c>
      <c r="N399" s="509" t="inlineStr">
        <is>
          <t>NR</t>
        </is>
      </c>
      <c r="O399" s="509" t="inlineStr">
        <is>
          <t>NR</t>
        </is>
      </c>
      <c r="P399" s="509" t="inlineStr">
        <is>
          <t>NR</t>
        </is>
      </c>
      <c r="Q399" s="511" t="n">
        <v>1</v>
      </c>
      <c r="R399" s="509" t="inlineStr">
        <is>
          <t>NR</t>
        </is>
      </c>
      <c r="S399" s="511" t="n">
        <v>0.6</v>
      </c>
      <c r="T399" s="509" t="inlineStr">
        <is>
          <t>NR</t>
        </is>
      </c>
      <c r="U399" s="494" t="n">
        <v>0</v>
      </c>
      <c r="V399" s="470" t="n"/>
      <c r="W399" s="470" t="n"/>
      <c r="X399" s="470" t="n"/>
      <c r="Y399" s="470" t="n"/>
      <c r="Z399" s="470" t="n"/>
      <c r="AA399" s="470" t="n"/>
      <c r="AB399" s="470" t="n"/>
      <c r="AC399" s="470" t="n"/>
      <c r="AD399" s="470" t="n"/>
      <c r="AE399" s="470" t="n"/>
      <c r="AF399" s="470" t="n"/>
      <c r="AG399" s="470" t="n"/>
    </row>
    <row r="400">
      <c r="A400" s="710" t="n"/>
      <c r="B400" s="722" t="n">
        <v>3</v>
      </c>
      <c r="C400" s="420" t="n">
        <v>27</v>
      </c>
      <c r="D400" s="420" t="inlineStr">
        <is>
          <t>Sabon Garin Kolta</t>
        </is>
      </c>
      <c r="E400" s="420" t="inlineStr">
        <is>
          <t>Djirataoua</t>
        </is>
      </c>
      <c r="F400" s="420" t="inlineStr">
        <is>
          <t>Intervention</t>
        </is>
      </c>
      <c r="G400" s="507" t="n">
        <v>2025</v>
      </c>
      <c r="H400" s="480" t="n">
        <v>2026</v>
      </c>
      <c r="I400" s="497" t="n">
        <v>7</v>
      </c>
      <c r="J400" s="509" t="inlineStr">
        <is>
          <t>NR</t>
        </is>
      </c>
      <c r="K400" s="497" t="n">
        <v>49</v>
      </c>
      <c r="L400" s="420" t="n">
        <v>2</v>
      </c>
      <c r="M400" s="497" t="inlineStr">
        <is>
          <t>NR</t>
        </is>
      </c>
      <c r="N400" s="497" t="inlineStr">
        <is>
          <t>NR</t>
        </is>
      </c>
      <c r="O400" s="497" t="inlineStr">
        <is>
          <t>NR</t>
        </is>
      </c>
      <c r="P400" s="497" t="inlineStr">
        <is>
          <t>NR</t>
        </is>
      </c>
      <c r="Q400" s="497" t="n">
        <v>2.8</v>
      </c>
      <c r="R400" s="497" t="inlineStr">
        <is>
          <t>NR</t>
        </is>
      </c>
      <c r="S400" s="497" t="n">
        <v>3</v>
      </c>
      <c r="T400" s="509" t="inlineStr">
        <is>
          <t>NR</t>
        </is>
      </c>
      <c r="U400" s="497" t="n">
        <v>0</v>
      </c>
      <c r="V400" s="470" t="n"/>
      <c r="W400" s="470" t="n"/>
      <c r="X400" s="470" t="n"/>
      <c r="Y400" s="470" t="n"/>
      <c r="Z400" s="470" t="n"/>
      <c r="AA400" s="470" t="n"/>
      <c r="AB400" s="470" t="n"/>
      <c r="AC400" s="470" t="n"/>
      <c r="AD400" s="470" t="n"/>
      <c r="AE400" s="470" t="n"/>
      <c r="AF400" s="470" t="n"/>
      <c r="AG400" s="470" t="n"/>
    </row>
    <row r="401">
      <c r="A401" s="710" t="n"/>
      <c r="B401" s="706" t="n"/>
      <c r="C401" s="480" t="n">
        <v>86</v>
      </c>
      <c r="D401" s="480" t="inlineStr">
        <is>
          <t>Galadantchi</t>
        </is>
      </c>
      <c r="E401" s="420" t="inlineStr">
        <is>
          <t>Djirataoua</t>
        </is>
      </c>
      <c r="F401" s="420" t="inlineStr">
        <is>
          <t>Control</t>
        </is>
      </c>
      <c r="G401" s="507" t="n">
        <v>2025</v>
      </c>
      <c r="H401" s="480" t="n">
        <v>2026</v>
      </c>
      <c r="I401" s="423" t="n">
        <v>0</v>
      </c>
      <c r="J401" s="423" t="n">
        <v>0</v>
      </c>
      <c r="K401" s="423" t="n">
        <v>40</v>
      </c>
      <c r="L401" s="420" t="n">
        <v>0</v>
      </c>
      <c r="M401" s="509" t="inlineStr">
        <is>
          <t>NR</t>
        </is>
      </c>
      <c r="N401" s="509" t="inlineStr">
        <is>
          <t>NR</t>
        </is>
      </c>
      <c r="O401" s="509" t="inlineStr">
        <is>
          <t>NR</t>
        </is>
      </c>
      <c r="P401" s="509" t="inlineStr">
        <is>
          <t>NR</t>
        </is>
      </c>
      <c r="Q401" s="497" t="n">
        <v>0.9</v>
      </c>
      <c r="R401" s="497" t="inlineStr">
        <is>
          <t>NR</t>
        </is>
      </c>
      <c r="S401" s="497" t="n">
        <v>0.9</v>
      </c>
      <c r="T401" s="509" t="inlineStr">
        <is>
          <t>NR</t>
        </is>
      </c>
      <c r="U401" s="500" t="n">
        <v>1</v>
      </c>
      <c r="V401" s="470" t="n"/>
      <c r="W401" s="470" t="n"/>
      <c r="X401" s="470" t="n"/>
      <c r="Y401" s="470" t="n"/>
      <c r="Z401" s="470" t="n"/>
      <c r="AA401" s="470" t="n"/>
      <c r="AB401" s="470" t="n"/>
      <c r="AC401" s="470" t="n"/>
      <c r="AD401" s="470" t="n"/>
      <c r="AE401" s="470" t="n"/>
      <c r="AF401" s="470" t="n"/>
      <c r="AG401" s="470" t="n"/>
    </row>
    <row r="402">
      <c r="A402" s="710" t="n"/>
      <c r="B402" s="721" t="n">
        <v>4</v>
      </c>
      <c r="C402" s="483" t="n">
        <v>28</v>
      </c>
      <c r="D402" s="483" t="inlineStr">
        <is>
          <t>Danja 1</t>
        </is>
      </c>
      <c r="E402" s="471" t="inlineStr">
        <is>
          <t>Djirataoua</t>
        </is>
      </c>
      <c r="F402" s="483" t="inlineStr">
        <is>
          <t>Intervention</t>
        </is>
      </c>
      <c r="G402" s="470" t="n">
        <v>2025</v>
      </c>
      <c r="H402" s="471" t="n">
        <v>2026</v>
      </c>
      <c r="I402" s="470" t="n">
        <v>6</v>
      </c>
      <c r="J402" s="509" t="inlineStr">
        <is>
          <t>NR</t>
        </is>
      </c>
      <c r="K402" s="470" t="n">
        <v>65</v>
      </c>
      <c r="L402" s="470" t="n">
        <v>2</v>
      </c>
      <c r="M402" s="470" t="inlineStr">
        <is>
          <t>NR</t>
        </is>
      </c>
      <c r="N402" s="470" t="inlineStr">
        <is>
          <t>NR</t>
        </is>
      </c>
      <c r="O402" s="470" t="inlineStr">
        <is>
          <t>NR</t>
        </is>
      </c>
      <c r="P402" s="470" t="inlineStr">
        <is>
          <t>NR</t>
        </is>
      </c>
      <c r="Q402" s="470" t="n">
        <v>2.9</v>
      </c>
      <c r="R402" s="470" t="inlineStr">
        <is>
          <t>NR</t>
        </is>
      </c>
      <c r="S402" s="470" t="n">
        <v>3.2</v>
      </c>
      <c r="T402" s="509" t="inlineStr">
        <is>
          <t>NR</t>
        </is>
      </c>
      <c r="U402" s="470" t="n">
        <v>0</v>
      </c>
      <c r="V402" s="470" t="n"/>
      <c r="W402" s="470" t="n"/>
      <c r="X402" s="470" t="n"/>
      <c r="Y402" s="470" t="n"/>
      <c r="Z402" s="470" t="n"/>
      <c r="AA402" s="470" t="n"/>
      <c r="AB402" s="470" t="n"/>
      <c r="AC402" s="470" t="n"/>
      <c r="AD402" s="470" t="n"/>
      <c r="AE402" s="470" t="n"/>
      <c r="AF402" s="470" t="n"/>
      <c r="AG402" s="470" t="n"/>
    </row>
    <row r="403">
      <c r="A403" s="710" t="n"/>
      <c r="B403" s="706" t="n"/>
      <c r="C403" s="483" t="n">
        <v>83</v>
      </c>
      <c r="D403" s="483" t="inlineStr">
        <is>
          <t>Djirataoua Bilingue</t>
        </is>
      </c>
      <c r="E403" s="471" t="inlineStr">
        <is>
          <t>Djirataoua</t>
        </is>
      </c>
      <c r="F403" s="483" t="inlineStr">
        <is>
          <t>Control</t>
        </is>
      </c>
      <c r="G403" s="495" t="n">
        <v>2025</v>
      </c>
      <c r="H403" s="471" t="n">
        <v>2026</v>
      </c>
      <c r="I403" s="487" t="n">
        <v>0</v>
      </c>
      <c r="J403" s="487" t="n">
        <v>0</v>
      </c>
      <c r="K403" s="487" t="n">
        <v>29</v>
      </c>
      <c r="L403" s="470" t="n">
        <v>0</v>
      </c>
      <c r="M403" s="509" t="inlineStr">
        <is>
          <t>NR</t>
        </is>
      </c>
      <c r="N403" s="509" t="inlineStr">
        <is>
          <t>NR</t>
        </is>
      </c>
      <c r="O403" s="509" t="inlineStr">
        <is>
          <t>NR</t>
        </is>
      </c>
      <c r="P403" s="509" t="inlineStr">
        <is>
          <t>NR</t>
        </is>
      </c>
      <c r="Q403" s="511" t="n">
        <v>1</v>
      </c>
      <c r="R403" s="509" t="inlineStr">
        <is>
          <t>NR</t>
        </is>
      </c>
      <c r="S403" s="511" t="n">
        <v>0.7</v>
      </c>
      <c r="T403" s="509" t="inlineStr">
        <is>
          <t>NR</t>
        </is>
      </c>
      <c r="U403" s="494" t="n">
        <v>0</v>
      </c>
      <c r="V403" s="470" t="n"/>
      <c r="W403" s="470" t="n"/>
      <c r="X403" s="470" t="n"/>
      <c r="Y403" s="470" t="n"/>
      <c r="Z403" s="470" t="n"/>
      <c r="AA403" s="470" t="n"/>
      <c r="AB403" s="470" t="n"/>
      <c r="AC403" s="470" t="n"/>
      <c r="AD403" s="470" t="n"/>
      <c r="AE403" s="470" t="n"/>
      <c r="AF403" s="470" t="n"/>
      <c r="AG403" s="470" t="n"/>
    </row>
    <row r="404">
      <c r="A404" s="710" t="n"/>
      <c r="B404" s="722" t="n">
        <v>5</v>
      </c>
      <c r="C404" s="480" t="n">
        <v>29</v>
      </c>
      <c r="D404" s="480" t="inlineStr">
        <is>
          <t>Danja 2</t>
        </is>
      </c>
      <c r="E404" s="420" t="inlineStr">
        <is>
          <t>Djirataoua</t>
        </is>
      </c>
      <c r="F404" s="480" t="inlineStr">
        <is>
          <t>Intervention</t>
        </is>
      </c>
      <c r="G404" s="507" t="n">
        <v>2025</v>
      </c>
      <c r="H404" s="480" t="n">
        <v>2026</v>
      </c>
      <c r="I404" s="497" t="n">
        <v>5</v>
      </c>
      <c r="J404" s="509" t="inlineStr">
        <is>
          <t>NR</t>
        </is>
      </c>
      <c r="K404" s="497" t="n">
        <v>32</v>
      </c>
      <c r="L404" s="420" t="n">
        <v>2</v>
      </c>
      <c r="M404" s="497" t="inlineStr">
        <is>
          <t>NR</t>
        </is>
      </c>
      <c r="N404" s="497" t="inlineStr">
        <is>
          <t>NR</t>
        </is>
      </c>
      <c r="O404" s="497" t="inlineStr">
        <is>
          <t>NR</t>
        </is>
      </c>
      <c r="P404" s="497" t="inlineStr">
        <is>
          <t>NR</t>
        </is>
      </c>
      <c r="Q404" s="497" t="n">
        <v>2.5</v>
      </c>
      <c r="R404" s="497" t="inlineStr">
        <is>
          <t>NR</t>
        </is>
      </c>
      <c r="S404" s="497" t="n">
        <v>2.8</v>
      </c>
      <c r="T404" s="509" t="inlineStr">
        <is>
          <t>NR</t>
        </is>
      </c>
      <c r="U404" s="497" t="n">
        <v>0</v>
      </c>
      <c r="V404" s="470" t="n"/>
      <c r="W404" s="470" t="n"/>
      <c r="X404" s="470" t="n"/>
      <c r="Y404" s="470" t="n"/>
      <c r="Z404" s="470" t="n"/>
      <c r="AA404" s="470" t="n"/>
      <c r="AB404" s="470" t="n"/>
      <c r="AC404" s="470" t="n"/>
      <c r="AD404" s="470" t="n"/>
      <c r="AE404" s="470" t="n"/>
      <c r="AF404" s="470" t="n"/>
      <c r="AG404" s="470" t="n"/>
    </row>
    <row r="405">
      <c r="A405" s="710" t="n"/>
      <c r="B405" s="706" t="n"/>
      <c r="C405" s="480" t="n">
        <v>85</v>
      </c>
      <c r="D405" s="480" t="inlineStr">
        <is>
          <t>Kontagora Goussawa</t>
        </is>
      </c>
      <c r="E405" s="420" t="inlineStr">
        <is>
          <t>Djirataoua</t>
        </is>
      </c>
      <c r="F405" s="480" t="inlineStr">
        <is>
          <t>Control</t>
        </is>
      </c>
      <c r="G405" s="507" t="n">
        <v>2025</v>
      </c>
      <c r="H405" s="480" t="n">
        <v>2026</v>
      </c>
      <c r="I405" s="423" t="n">
        <v>0</v>
      </c>
      <c r="J405" s="423" t="n">
        <v>0</v>
      </c>
      <c r="K405" s="423" t="n">
        <v>22</v>
      </c>
      <c r="L405" s="420" t="n">
        <v>0</v>
      </c>
      <c r="M405" s="509" t="inlineStr">
        <is>
          <t>NR</t>
        </is>
      </c>
      <c r="N405" s="509" t="inlineStr">
        <is>
          <t>NR</t>
        </is>
      </c>
      <c r="O405" s="509" t="inlineStr">
        <is>
          <t>NR</t>
        </is>
      </c>
      <c r="P405" s="509" t="inlineStr">
        <is>
          <t>NR</t>
        </is>
      </c>
      <c r="Q405" s="497" t="n">
        <v>0.8</v>
      </c>
      <c r="R405" s="497" t="inlineStr">
        <is>
          <t>NR</t>
        </is>
      </c>
      <c r="S405" s="497" t="n">
        <v>0.8</v>
      </c>
      <c r="T405" s="509" t="inlineStr">
        <is>
          <t>NR</t>
        </is>
      </c>
      <c r="U405" s="500" t="n">
        <v>1</v>
      </c>
      <c r="V405" s="470" t="n"/>
      <c r="W405" s="470" t="n"/>
      <c r="X405" s="470" t="n"/>
      <c r="Y405" s="470" t="n"/>
      <c r="Z405" s="470" t="n"/>
      <c r="AA405" s="470" t="n"/>
      <c r="AB405" s="470" t="n"/>
      <c r="AC405" s="470" t="n"/>
      <c r="AD405" s="470" t="n"/>
      <c r="AE405" s="470" t="n"/>
      <c r="AF405" s="470" t="n"/>
      <c r="AG405" s="470" t="n"/>
    </row>
    <row r="406">
      <c r="A406" s="710" t="n"/>
      <c r="B406" s="721" t="n">
        <v>6</v>
      </c>
      <c r="C406" s="483" t="n">
        <v>31</v>
      </c>
      <c r="D406" s="483" t="inlineStr">
        <is>
          <t>Takalmaoua 2</t>
        </is>
      </c>
      <c r="E406" s="471" t="inlineStr">
        <is>
          <t>Djirataoua</t>
        </is>
      </c>
      <c r="F406" s="483" t="inlineStr">
        <is>
          <t>Intervention</t>
        </is>
      </c>
      <c r="G406" s="470" t="n">
        <v>2025</v>
      </c>
      <c r="H406" s="471" t="n">
        <v>2026</v>
      </c>
      <c r="I406" s="470" t="n">
        <v>5</v>
      </c>
      <c r="J406" s="509" t="inlineStr">
        <is>
          <t>NR</t>
        </is>
      </c>
      <c r="K406" s="470" t="n">
        <v>16</v>
      </c>
      <c r="L406" s="470" t="n">
        <v>2</v>
      </c>
      <c r="M406" s="470" t="inlineStr">
        <is>
          <t>NR</t>
        </is>
      </c>
      <c r="N406" s="470" t="inlineStr">
        <is>
          <t>NR</t>
        </is>
      </c>
      <c r="O406" s="470" t="inlineStr">
        <is>
          <t>NR</t>
        </is>
      </c>
      <c r="P406" s="470" t="inlineStr">
        <is>
          <t>NR</t>
        </is>
      </c>
      <c r="Q406" s="470" t="n">
        <v>2.3</v>
      </c>
      <c r="R406" s="470" t="inlineStr">
        <is>
          <t>NR</t>
        </is>
      </c>
      <c r="S406" s="470" t="n">
        <v>2.8</v>
      </c>
      <c r="T406" s="509" t="inlineStr">
        <is>
          <t>NR</t>
        </is>
      </c>
      <c r="U406" s="470" t="n">
        <v>0</v>
      </c>
      <c r="V406" s="470" t="n"/>
      <c r="W406" s="470" t="n"/>
      <c r="X406" s="470" t="n"/>
      <c r="Y406" s="470" t="n"/>
      <c r="Z406" s="470" t="n"/>
      <c r="AA406" s="470" t="n"/>
      <c r="AB406" s="470" t="n"/>
      <c r="AC406" s="470" t="n"/>
      <c r="AD406" s="470" t="n"/>
      <c r="AE406" s="470" t="n"/>
      <c r="AF406" s="470" t="n"/>
      <c r="AG406" s="470" t="n"/>
    </row>
    <row r="407">
      <c r="A407" s="706" t="n"/>
      <c r="B407" s="706" t="n"/>
      <c r="C407" s="483" t="n">
        <v>87</v>
      </c>
      <c r="D407" s="483" t="inlineStr">
        <is>
          <t>Tajaye Djirataoua</t>
        </is>
      </c>
      <c r="E407" s="471" t="inlineStr">
        <is>
          <t>Djirataoua</t>
        </is>
      </c>
      <c r="F407" s="483" t="inlineStr">
        <is>
          <t>Control</t>
        </is>
      </c>
      <c r="G407" s="495" t="n">
        <v>2025</v>
      </c>
      <c r="H407" s="471" t="n">
        <v>2026</v>
      </c>
      <c r="I407" s="487" t="n">
        <v>0</v>
      </c>
      <c r="J407" s="487" t="n">
        <v>0</v>
      </c>
      <c r="K407" s="487" t="n">
        <v>26</v>
      </c>
      <c r="L407" s="470" t="n">
        <v>0</v>
      </c>
      <c r="M407" s="509" t="inlineStr">
        <is>
          <t>NR</t>
        </is>
      </c>
      <c r="N407" s="509" t="inlineStr">
        <is>
          <t>NR</t>
        </is>
      </c>
      <c r="O407" s="509" t="inlineStr">
        <is>
          <t>NR</t>
        </is>
      </c>
      <c r="P407" s="509" t="inlineStr">
        <is>
          <t>NR</t>
        </is>
      </c>
      <c r="Q407" s="511" t="n">
        <v>0.9</v>
      </c>
      <c r="R407" s="509" t="inlineStr">
        <is>
          <t>NR</t>
        </is>
      </c>
      <c r="S407" s="511" t="n">
        <v>0.9</v>
      </c>
      <c r="T407" s="509" t="inlineStr">
        <is>
          <t>NR</t>
        </is>
      </c>
      <c r="U407" s="494" t="n">
        <v>0</v>
      </c>
      <c r="V407" s="470" t="n"/>
      <c r="W407" s="470" t="n"/>
      <c r="X407" s="470" t="n"/>
      <c r="Y407" s="470" t="n"/>
      <c r="Z407" s="470" t="n"/>
      <c r="AA407" s="470" t="n"/>
      <c r="AB407" s="470" t="n"/>
      <c r="AC407" s="470" t="n"/>
      <c r="AD407" s="470" t="n"/>
      <c r="AE407" s="470" t="n"/>
      <c r="AF407" s="470" t="n"/>
      <c r="AG407" s="470" t="n"/>
    </row>
    <row r="408">
      <c r="A408" s="726" t="inlineStr">
        <is>
          <t>Safo</t>
        </is>
      </c>
      <c r="B408" s="722" t="n">
        <v>7</v>
      </c>
      <c r="C408" s="480" t="n">
        <v>35</v>
      </c>
      <c r="D408" s="480" t="inlineStr">
        <is>
          <t>Safo Nassaraoua</t>
        </is>
      </c>
      <c r="E408" s="480" t="inlineStr">
        <is>
          <t>Safo</t>
        </is>
      </c>
      <c r="F408" s="480" t="inlineStr">
        <is>
          <t>Intervention</t>
        </is>
      </c>
      <c r="G408" s="507" t="n">
        <v>2025</v>
      </c>
      <c r="H408" s="480" t="n">
        <v>2026</v>
      </c>
      <c r="I408" s="497" t="n">
        <v>4</v>
      </c>
      <c r="J408" s="509" t="inlineStr">
        <is>
          <t>NR</t>
        </is>
      </c>
      <c r="K408" s="497" t="n">
        <v>20</v>
      </c>
      <c r="L408" s="420" t="n">
        <v>2</v>
      </c>
      <c r="M408" s="497" t="inlineStr">
        <is>
          <t>NR</t>
        </is>
      </c>
      <c r="N408" s="497" t="inlineStr">
        <is>
          <t>NR</t>
        </is>
      </c>
      <c r="O408" s="497" t="inlineStr">
        <is>
          <t>NR</t>
        </is>
      </c>
      <c r="P408" s="497" t="inlineStr">
        <is>
          <t>NR</t>
        </is>
      </c>
      <c r="Q408" s="497" t="n">
        <v>2.4</v>
      </c>
      <c r="R408" s="497" t="inlineStr">
        <is>
          <t>NR</t>
        </is>
      </c>
      <c r="S408" s="497" t="n">
        <v>2.4</v>
      </c>
      <c r="T408" s="509" t="inlineStr">
        <is>
          <t>NR</t>
        </is>
      </c>
      <c r="U408" s="497" t="n">
        <v>0</v>
      </c>
      <c r="V408" s="470" t="n"/>
      <c r="W408" s="470" t="n"/>
      <c r="X408" s="470" t="n"/>
      <c r="Y408" s="470" t="n"/>
      <c r="Z408" s="470" t="n"/>
      <c r="AA408" s="470" t="n"/>
      <c r="AB408" s="470" t="n"/>
      <c r="AC408" s="470" t="n"/>
      <c r="AD408" s="470" t="n"/>
      <c r="AE408" s="470" t="n"/>
      <c r="AF408" s="470" t="n"/>
      <c r="AG408" s="470" t="n"/>
    </row>
    <row r="409">
      <c r="A409" s="710" t="n"/>
      <c r="B409" s="706" t="n"/>
      <c r="C409" s="480" t="n">
        <v>80</v>
      </c>
      <c r="D409" s="480" t="inlineStr">
        <is>
          <t>Radi Centre 2</t>
        </is>
      </c>
      <c r="E409" s="480" t="inlineStr">
        <is>
          <t>Safo</t>
        </is>
      </c>
      <c r="F409" s="480" t="inlineStr">
        <is>
          <t>Control</t>
        </is>
      </c>
      <c r="G409" s="507" t="n">
        <v>2025</v>
      </c>
      <c r="H409" s="480" t="n">
        <v>2026</v>
      </c>
      <c r="I409" s="423" t="n">
        <v>0</v>
      </c>
      <c r="J409" s="423" t="n">
        <v>0</v>
      </c>
      <c r="K409" s="423" t="n">
        <v>35</v>
      </c>
      <c r="L409" s="420" t="n">
        <v>0</v>
      </c>
      <c r="M409" s="509" t="inlineStr">
        <is>
          <t>NR</t>
        </is>
      </c>
      <c r="N409" s="509" t="inlineStr">
        <is>
          <t>NR</t>
        </is>
      </c>
      <c r="O409" s="509" t="inlineStr">
        <is>
          <t>NR</t>
        </is>
      </c>
      <c r="P409" s="509" t="inlineStr">
        <is>
          <t>NR</t>
        </is>
      </c>
      <c r="Q409" s="497" t="n">
        <v>0.7</v>
      </c>
      <c r="R409" s="497" t="inlineStr">
        <is>
          <t>NR</t>
        </is>
      </c>
      <c r="S409" s="497" t="n">
        <v>0.6</v>
      </c>
      <c r="T409" s="509" t="inlineStr">
        <is>
          <t>NR</t>
        </is>
      </c>
      <c r="U409" s="500" t="n">
        <v>0</v>
      </c>
      <c r="V409" s="470" t="n"/>
      <c r="W409" s="470" t="n"/>
      <c r="X409" s="470" t="n"/>
      <c r="Y409" s="470" t="n"/>
      <c r="Z409" s="470" t="n"/>
      <c r="AA409" s="470" t="n"/>
      <c r="AB409" s="470" t="n"/>
      <c r="AC409" s="470" t="n"/>
      <c r="AD409" s="470" t="n"/>
      <c r="AE409" s="470" t="n"/>
      <c r="AF409" s="470" t="n"/>
      <c r="AG409" s="470" t="n"/>
    </row>
    <row r="410">
      <c r="A410" s="710" t="n"/>
      <c r="B410" s="721" t="n">
        <v>8</v>
      </c>
      <c r="C410" s="471" t="n">
        <v>60</v>
      </c>
      <c r="D410" s="471" t="inlineStr">
        <is>
          <t>Tchikaji Centre</t>
        </is>
      </c>
      <c r="E410" s="513" t="inlineStr">
        <is>
          <t>Safo</t>
        </is>
      </c>
      <c r="F410" s="132" t="inlineStr">
        <is>
          <t>Intervention</t>
        </is>
      </c>
      <c r="G410" s="470" t="n">
        <v>2025</v>
      </c>
      <c r="H410" s="471" t="n">
        <v>2026</v>
      </c>
      <c r="I410" s="470" t="n">
        <v>4</v>
      </c>
      <c r="J410" s="509" t="inlineStr">
        <is>
          <t>NR</t>
        </is>
      </c>
      <c r="K410" s="470" t="n">
        <v>48</v>
      </c>
      <c r="L410" s="470" t="n">
        <v>2</v>
      </c>
      <c r="M410" s="470" t="inlineStr">
        <is>
          <t>NR</t>
        </is>
      </c>
      <c r="N410" s="470" t="inlineStr">
        <is>
          <t>NR</t>
        </is>
      </c>
      <c r="O410" s="470" t="inlineStr">
        <is>
          <t>NR</t>
        </is>
      </c>
      <c r="P410" s="470" t="inlineStr">
        <is>
          <t>NR</t>
        </is>
      </c>
      <c r="Q410" s="470" t="n">
        <v>3.6</v>
      </c>
      <c r="R410" s="470" t="inlineStr">
        <is>
          <t>NR</t>
        </is>
      </c>
      <c r="S410" s="470" t="n">
        <v>2.9</v>
      </c>
      <c r="T410" s="509" t="inlineStr">
        <is>
          <t>NR</t>
        </is>
      </c>
      <c r="U410" s="470" t="n">
        <v>0</v>
      </c>
      <c r="V410" s="470" t="n"/>
      <c r="W410" s="470" t="n"/>
      <c r="X410" s="470" t="n"/>
      <c r="Y410" s="470" t="n"/>
      <c r="Z410" s="470" t="n"/>
      <c r="AA410" s="470" t="n"/>
      <c r="AB410" s="470" t="n"/>
      <c r="AC410" s="470" t="n"/>
      <c r="AD410" s="470" t="n"/>
      <c r="AE410" s="470" t="n"/>
      <c r="AF410" s="470" t="n"/>
      <c r="AG410" s="470" t="n"/>
    </row>
    <row r="411">
      <c r="A411" s="710" t="n"/>
      <c r="B411" s="706" t="n"/>
      <c r="C411" s="471" t="n">
        <v>82</v>
      </c>
      <c r="D411" s="471" t="inlineStr">
        <is>
          <t>Radi Centre 1</t>
        </is>
      </c>
      <c r="E411" s="513" t="inlineStr">
        <is>
          <t>Safo</t>
        </is>
      </c>
      <c r="F411" s="132" t="inlineStr">
        <is>
          <t>Control</t>
        </is>
      </c>
      <c r="G411" s="495" t="n">
        <v>2025</v>
      </c>
      <c r="H411" s="471" t="n">
        <v>2026</v>
      </c>
      <c r="I411" s="487" t="n">
        <v>0</v>
      </c>
      <c r="J411" s="487" t="n">
        <v>0</v>
      </c>
      <c r="K411" s="487" t="n">
        <v>35</v>
      </c>
      <c r="L411" s="470" t="n">
        <v>0</v>
      </c>
      <c r="M411" s="509" t="inlineStr">
        <is>
          <t>NR</t>
        </is>
      </c>
      <c r="N411" s="509" t="inlineStr">
        <is>
          <t>NR</t>
        </is>
      </c>
      <c r="O411" s="509" t="inlineStr">
        <is>
          <t>NR</t>
        </is>
      </c>
      <c r="P411" s="509" t="inlineStr">
        <is>
          <t>NR</t>
        </is>
      </c>
      <c r="Q411" s="520" t="n">
        <v>0.5</v>
      </c>
      <c r="R411" s="520" t="n">
        <v>0.5</v>
      </c>
      <c r="S411" s="520" t="n">
        <v>0.5</v>
      </c>
      <c r="T411" s="509" t="inlineStr">
        <is>
          <t>NR</t>
        </is>
      </c>
      <c r="U411" s="494" t="n">
        <v>0</v>
      </c>
      <c r="V411" s="470" t="n"/>
      <c r="W411" s="470" t="n"/>
      <c r="X411" s="470" t="n"/>
      <c r="Y411" s="470" t="n"/>
      <c r="Z411" s="470" t="n"/>
      <c r="AA411" s="470" t="n"/>
      <c r="AB411" s="470" t="n"/>
      <c r="AC411" s="470" t="n"/>
      <c r="AD411" s="470" t="n"/>
      <c r="AE411" s="470" t="n"/>
      <c r="AF411" s="470" t="n"/>
      <c r="AG411" s="470" t="n"/>
    </row>
    <row r="412">
      <c r="A412" s="710" t="n"/>
      <c r="B412" s="722" t="n">
        <v>9</v>
      </c>
      <c r="C412" s="420" t="n">
        <v>34</v>
      </c>
      <c r="D412" s="420" t="inlineStr">
        <is>
          <t>Maradou Centre</t>
        </is>
      </c>
      <c r="E412" s="480" t="inlineStr">
        <is>
          <t>Safo</t>
        </is>
      </c>
      <c r="F412" s="420" t="inlineStr">
        <is>
          <t>Intervention</t>
        </is>
      </c>
      <c r="G412" s="507" t="n">
        <v>2025</v>
      </c>
      <c r="H412" s="480" t="n">
        <v>2026</v>
      </c>
      <c r="I412" s="497" t="n">
        <v>5</v>
      </c>
      <c r="J412" s="509" t="inlineStr">
        <is>
          <t>NR</t>
        </is>
      </c>
      <c r="K412" s="497" t="n">
        <v>30</v>
      </c>
      <c r="L412" s="420" t="n">
        <v>2</v>
      </c>
      <c r="M412" s="497" t="inlineStr">
        <is>
          <t>NR</t>
        </is>
      </c>
      <c r="N412" s="497" t="inlineStr">
        <is>
          <t>NR</t>
        </is>
      </c>
      <c r="O412" s="497" t="inlineStr">
        <is>
          <t>NR</t>
        </is>
      </c>
      <c r="P412" s="497" t="inlineStr">
        <is>
          <t>NR</t>
        </is>
      </c>
      <c r="Q412" s="497" t="n">
        <v>3.9</v>
      </c>
      <c r="R412" s="497" t="inlineStr">
        <is>
          <t>NR</t>
        </is>
      </c>
      <c r="S412" s="497" t="n">
        <v>4</v>
      </c>
      <c r="T412" s="509" t="inlineStr">
        <is>
          <t>NR</t>
        </is>
      </c>
      <c r="U412" s="497" t="n">
        <v>0</v>
      </c>
      <c r="V412" s="470" t="n"/>
      <c r="W412" s="470" t="n"/>
      <c r="X412" s="470" t="n"/>
      <c r="Y412" s="470" t="n"/>
      <c r="Z412" s="470" t="n"/>
      <c r="AA412" s="470" t="n"/>
      <c r="AB412" s="470" t="n"/>
      <c r="AC412" s="470" t="n"/>
      <c r="AD412" s="470" t="n"/>
      <c r="AE412" s="470" t="n"/>
      <c r="AF412" s="470" t="n"/>
      <c r="AG412" s="470" t="n"/>
    </row>
    <row r="413">
      <c r="A413" s="710" t="n"/>
      <c r="B413" s="706" t="n"/>
      <c r="C413" s="420" t="n">
        <v>81</v>
      </c>
      <c r="D413" s="420" t="inlineStr">
        <is>
          <t>Radi Quartier</t>
        </is>
      </c>
      <c r="E413" s="480" t="inlineStr">
        <is>
          <t>Safo</t>
        </is>
      </c>
      <c r="F413" s="420" t="inlineStr">
        <is>
          <t>Control</t>
        </is>
      </c>
      <c r="G413" s="507" t="n">
        <v>2025</v>
      </c>
      <c r="H413" s="480" t="n">
        <v>2026</v>
      </c>
      <c r="I413" s="423" t="n">
        <v>0</v>
      </c>
      <c r="J413" s="423" t="n">
        <v>0</v>
      </c>
      <c r="K413" s="423" t="n">
        <v>42</v>
      </c>
      <c r="L413" s="420" t="n">
        <v>0</v>
      </c>
      <c r="M413" s="509" t="inlineStr">
        <is>
          <t>NR</t>
        </is>
      </c>
      <c r="N413" s="509" t="inlineStr">
        <is>
          <t>NR</t>
        </is>
      </c>
      <c r="O413" s="509" t="inlineStr">
        <is>
          <t>NR</t>
        </is>
      </c>
      <c r="P413" s="509" t="inlineStr">
        <is>
          <t>NR</t>
        </is>
      </c>
      <c r="Q413" s="497" t="n">
        <v>0.7</v>
      </c>
      <c r="R413" s="497" t="inlineStr">
        <is>
          <t>NR</t>
        </is>
      </c>
      <c r="S413" s="497" t="n">
        <v>0.7</v>
      </c>
      <c r="T413" s="509" t="inlineStr">
        <is>
          <t>NR</t>
        </is>
      </c>
      <c r="U413" s="500" t="n">
        <v>0</v>
      </c>
      <c r="V413" s="470" t="n"/>
      <c r="W413" s="470" t="n"/>
      <c r="X413" s="470" t="n"/>
      <c r="Y413" s="470" t="n"/>
      <c r="Z413" s="470" t="n"/>
      <c r="AA413" s="470" t="n"/>
      <c r="AB413" s="470" t="n"/>
      <c r="AC413" s="470" t="n"/>
      <c r="AD413" s="470" t="n"/>
      <c r="AE413" s="470" t="n"/>
      <c r="AF413" s="470" t="n"/>
      <c r="AG413" s="470" t="n"/>
    </row>
    <row r="414">
      <c r="A414" s="710" t="n"/>
      <c r="B414" s="727" t="n">
        <v>9</v>
      </c>
      <c r="C414" s="132" t="n">
        <v>54</v>
      </c>
      <c r="D414" s="471" t="inlineStr">
        <is>
          <t>Safo El Mougou</t>
        </is>
      </c>
      <c r="E414" s="513" t="inlineStr">
        <is>
          <t>Safo</t>
        </is>
      </c>
      <c r="F414" s="471" t="inlineStr">
        <is>
          <t>Intervention</t>
        </is>
      </c>
      <c r="G414" s="470" t="n">
        <v>2025</v>
      </c>
      <c r="H414" s="471" t="n">
        <v>2026</v>
      </c>
      <c r="I414" s="470" t="n">
        <v>1</v>
      </c>
      <c r="J414" s="509" t="inlineStr">
        <is>
          <t>NR</t>
        </is>
      </c>
      <c r="K414" s="470" t="n">
        <v>13</v>
      </c>
      <c r="L414" s="470" t="n">
        <v>2</v>
      </c>
      <c r="M414" s="470" t="inlineStr">
        <is>
          <t>NR</t>
        </is>
      </c>
      <c r="N414" s="470" t="inlineStr">
        <is>
          <t>NR</t>
        </is>
      </c>
      <c r="O414" s="470" t="inlineStr">
        <is>
          <t>NR</t>
        </is>
      </c>
      <c r="P414" s="470" t="inlineStr">
        <is>
          <t>NR</t>
        </is>
      </c>
      <c r="Q414" s="470" t="n">
        <v>3.6</v>
      </c>
      <c r="R414" s="470" t="inlineStr">
        <is>
          <t>NR</t>
        </is>
      </c>
      <c r="S414" s="470" t="n">
        <v>3.3</v>
      </c>
      <c r="T414" s="509" t="inlineStr">
        <is>
          <t>NR</t>
        </is>
      </c>
      <c r="U414" s="470" t="n">
        <v>0</v>
      </c>
      <c r="V414" s="470" t="n"/>
      <c r="W414" s="470" t="n"/>
      <c r="X414" s="470" t="n"/>
      <c r="Y414" s="470" t="n"/>
      <c r="Z414" s="470" t="n"/>
      <c r="AA414" s="470" t="n"/>
      <c r="AB414" s="470" t="n"/>
      <c r="AC414" s="470" t="n"/>
      <c r="AD414" s="470" t="n"/>
      <c r="AE414" s="470" t="n"/>
      <c r="AF414" s="470" t="n"/>
      <c r="AG414" s="470" t="n"/>
    </row>
    <row r="415">
      <c r="A415" s="710" t="n"/>
      <c r="B415" s="706" t="n"/>
      <c r="C415" s="132" t="n">
        <v>81</v>
      </c>
      <c r="D415" s="132" t="inlineStr">
        <is>
          <t>Gadé</t>
        </is>
      </c>
      <c r="E415" s="513" t="inlineStr">
        <is>
          <t>Safo</t>
        </is>
      </c>
      <c r="F415" s="471" t="inlineStr">
        <is>
          <t>Control</t>
        </is>
      </c>
      <c r="G415" s="495" t="n">
        <v>2025</v>
      </c>
      <c r="H415" s="471" t="n">
        <v>2026</v>
      </c>
      <c r="I415" s="487" t="n">
        <v>0</v>
      </c>
      <c r="J415" s="487" t="n">
        <v>0</v>
      </c>
      <c r="K415" s="487" t="n">
        <v>26</v>
      </c>
      <c r="L415" s="470" t="n">
        <v>0</v>
      </c>
      <c r="M415" s="509" t="inlineStr">
        <is>
          <t>NR</t>
        </is>
      </c>
      <c r="N415" s="509" t="inlineStr">
        <is>
          <t>NR</t>
        </is>
      </c>
      <c r="O415" s="509" t="inlineStr">
        <is>
          <t>NR</t>
        </is>
      </c>
      <c r="P415" s="509" t="inlineStr">
        <is>
          <t>NR</t>
        </is>
      </c>
      <c r="Q415" s="520" t="n">
        <v>0.5</v>
      </c>
      <c r="R415" s="520" t="n">
        <v>0.5</v>
      </c>
      <c r="S415" s="520" t="n">
        <v>0.5</v>
      </c>
      <c r="T415" s="509" t="inlineStr">
        <is>
          <t>NR</t>
        </is>
      </c>
      <c r="U415" s="494" t="n">
        <v>0</v>
      </c>
      <c r="V415" s="470" t="n"/>
      <c r="W415" s="470" t="n"/>
      <c r="X415" s="470" t="n"/>
      <c r="Y415" s="470" t="n"/>
      <c r="Z415" s="470" t="n"/>
      <c r="AA415" s="470" t="n"/>
      <c r="AB415" s="470" t="n"/>
      <c r="AC415" s="470" t="n"/>
      <c r="AD415" s="470" t="n"/>
      <c r="AE415" s="470" t="n"/>
      <c r="AF415" s="470" t="n"/>
      <c r="AG415" s="470" t="n"/>
    </row>
    <row r="416">
      <c r="A416" s="710" t="n"/>
      <c r="B416" s="722" t="n">
        <v>10</v>
      </c>
      <c r="C416" s="420" t="n">
        <v>56</v>
      </c>
      <c r="D416" s="420" t="inlineStr">
        <is>
          <t>Tchikaji Quartier</t>
        </is>
      </c>
      <c r="E416" s="480" t="inlineStr">
        <is>
          <t>Safo</t>
        </is>
      </c>
      <c r="F416" s="420" t="inlineStr">
        <is>
          <t>Intervention</t>
        </is>
      </c>
      <c r="G416" s="507" t="n">
        <v>2025</v>
      </c>
      <c r="H416" s="480" t="n">
        <v>2026</v>
      </c>
      <c r="I416" s="497" t="n">
        <v>1</v>
      </c>
      <c r="J416" s="509" t="inlineStr">
        <is>
          <t>NR</t>
        </is>
      </c>
      <c r="K416" s="497" t="n">
        <v>22</v>
      </c>
      <c r="L416" s="420" t="n">
        <v>2</v>
      </c>
      <c r="M416" s="497" t="inlineStr">
        <is>
          <t>NR</t>
        </is>
      </c>
      <c r="N416" s="497" t="inlineStr">
        <is>
          <t>NR</t>
        </is>
      </c>
      <c r="O416" s="497" t="inlineStr">
        <is>
          <t>NR</t>
        </is>
      </c>
      <c r="P416" s="497" t="inlineStr">
        <is>
          <t>NR</t>
        </is>
      </c>
      <c r="Q416" s="497" t="n">
        <v>2.8</v>
      </c>
      <c r="R416" s="497" t="inlineStr">
        <is>
          <t>NR</t>
        </is>
      </c>
      <c r="S416" s="497" t="n">
        <v>2.3</v>
      </c>
      <c r="T416" s="509" t="inlineStr">
        <is>
          <t>NR</t>
        </is>
      </c>
      <c r="U416" s="497" t="n">
        <v>0</v>
      </c>
      <c r="V416" s="470" t="n"/>
      <c r="W416" s="470" t="n"/>
      <c r="X416" s="470" t="n"/>
      <c r="Y416" s="470" t="n"/>
      <c r="Z416" s="470" t="n"/>
      <c r="AA416" s="470" t="n"/>
      <c r="AB416" s="470" t="n"/>
      <c r="AC416" s="470" t="n"/>
      <c r="AD416" s="470" t="n"/>
      <c r="AE416" s="470" t="n"/>
      <c r="AF416" s="470" t="n"/>
      <c r="AG416" s="470" t="n"/>
    </row>
    <row r="417">
      <c r="A417" s="710" t="n"/>
      <c r="B417" s="706" t="n"/>
      <c r="C417" s="420" t="n">
        <v>78</v>
      </c>
      <c r="D417" s="420" t="inlineStr">
        <is>
          <t>Soumarana</t>
        </is>
      </c>
      <c r="E417" s="480" t="inlineStr">
        <is>
          <t>Safo</t>
        </is>
      </c>
      <c r="F417" s="420" t="inlineStr">
        <is>
          <t>Control</t>
        </is>
      </c>
      <c r="G417" s="507" t="n">
        <v>2025</v>
      </c>
      <c r="H417" s="480" t="n">
        <v>2026</v>
      </c>
      <c r="I417" s="423" t="n">
        <v>0</v>
      </c>
      <c r="J417" s="423" t="n">
        <v>0</v>
      </c>
      <c r="K417" s="423" t="n">
        <v>31</v>
      </c>
      <c r="L417" s="420" t="n">
        <v>0</v>
      </c>
      <c r="M417" s="509" t="inlineStr">
        <is>
          <t>NR</t>
        </is>
      </c>
      <c r="N417" s="509" t="inlineStr">
        <is>
          <t>NR</t>
        </is>
      </c>
      <c r="O417" s="509" t="inlineStr">
        <is>
          <t>NR</t>
        </is>
      </c>
      <c r="P417" s="509" t="inlineStr">
        <is>
          <t>NR</t>
        </is>
      </c>
      <c r="Q417" s="497" t="n">
        <v>1</v>
      </c>
      <c r="R417" s="497" t="inlineStr">
        <is>
          <t>NR</t>
        </is>
      </c>
      <c r="S417" s="497" t="n">
        <v>0.7</v>
      </c>
      <c r="T417" s="509" t="inlineStr">
        <is>
          <t>NR</t>
        </is>
      </c>
      <c r="U417" s="500" t="n">
        <v>0</v>
      </c>
      <c r="V417" s="470" t="n"/>
      <c r="W417" s="470" t="n"/>
      <c r="X417" s="470" t="n"/>
      <c r="Y417" s="470" t="n"/>
      <c r="Z417" s="470" t="n"/>
      <c r="AA417" s="470" t="n"/>
      <c r="AB417" s="470" t="n"/>
      <c r="AC417" s="470" t="n"/>
      <c r="AD417" s="470" t="n"/>
      <c r="AE417" s="470" t="n"/>
      <c r="AF417" s="470" t="n"/>
      <c r="AG417" s="470" t="n"/>
    </row>
    <row r="418">
      <c r="A418" s="710" t="n"/>
      <c r="B418" s="727" t="n">
        <v>11</v>
      </c>
      <c r="C418" s="132" t="n"/>
      <c r="D418" s="471" t="inlineStr">
        <is>
          <t>Safo Quartier</t>
        </is>
      </c>
      <c r="E418" s="513" t="inlineStr">
        <is>
          <t>Safo</t>
        </is>
      </c>
      <c r="F418" s="471" t="inlineStr">
        <is>
          <t>Intervention</t>
        </is>
      </c>
      <c r="G418" s="470" t="n">
        <v>2025</v>
      </c>
      <c r="H418" s="471" t="n">
        <v>2026</v>
      </c>
      <c r="I418" s="470" t="n">
        <v>1</v>
      </c>
      <c r="J418" s="509" t="inlineStr">
        <is>
          <t>NR</t>
        </is>
      </c>
      <c r="K418" s="470" t="n">
        <v>24</v>
      </c>
      <c r="L418" s="470" t="n">
        <v>2</v>
      </c>
      <c r="M418" s="470" t="inlineStr">
        <is>
          <t>NR</t>
        </is>
      </c>
      <c r="N418" s="470" t="inlineStr">
        <is>
          <t>NR</t>
        </is>
      </c>
      <c r="O418" s="470" t="inlineStr">
        <is>
          <t>NR</t>
        </is>
      </c>
      <c r="P418" s="470" t="inlineStr">
        <is>
          <t>NR</t>
        </is>
      </c>
      <c r="Q418" s="470" t="n">
        <v>3.2</v>
      </c>
      <c r="R418" s="470" t="inlineStr">
        <is>
          <t>NR</t>
        </is>
      </c>
      <c r="S418" s="470" t="n">
        <v>3.8</v>
      </c>
      <c r="T418" s="509" t="inlineStr">
        <is>
          <t>NR</t>
        </is>
      </c>
      <c r="U418" s="470" t="n">
        <v>0</v>
      </c>
      <c r="V418" s="470" t="n"/>
      <c r="W418" s="470" t="n"/>
      <c r="X418" s="470" t="n"/>
      <c r="Y418" s="470" t="n"/>
      <c r="Z418" s="470" t="n"/>
      <c r="AA418" s="470" t="n"/>
      <c r="AB418" s="470" t="n"/>
      <c r="AC418" s="470" t="n"/>
      <c r="AD418" s="470" t="n"/>
      <c r="AE418" s="470" t="n"/>
      <c r="AF418" s="470" t="n"/>
      <c r="AG418" s="470" t="n"/>
    </row>
    <row r="419">
      <c r="A419" s="706" t="n"/>
      <c r="B419" s="706" t="n"/>
      <c r="C419" s="132" t="n">
        <v>102</v>
      </c>
      <c r="D419" s="132" t="inlineStr">
        <is>
          <t>Safo Chadaoua</t>
        </is>
      </c>
      <c r="E419" s="513" t="inlineStr">
        <is>
          <t>Safo</t>
        </is>
      </c>
      <c r="F419" s="471" t="inlineStr">
        <is>
          <t>Control</t>
        </is>
      </c>
      <c r="G419" s="495" t="n">
        <v>2025</v>
      </c>
      <c r="H419" s="471" t="n">
        <v>2026</v>
      </c>
      <c r="I419" s="487" t="n">
        <v>0</v>
      </c>
      <c r="J419" s="487" t="n">
        <v>0</v>
      </c>
      <c r="K419" s="487" t="n">
        <v>17</v>
      </c>
      <c r="L419" s="470" t="n">
        <v>0</v>
      </c>
      <c r="M419" s="509" t="inlineStr">
        <is>
          <t>NR</t>
        </is>
      </c>
      <c r="N419" s="509" t="inlineStr">
        <is>
          <t>NR</t>
        </is>
      </c>
      <c r="O419" s="509" t="inlineStr">
        <is>
          <t>NR</t>
        </is>
      </c>
      <c r="P419" s="509" t="inlineStr">
        <is>
          <t>NR</t>
        </is>
      </c>
      <c r="Q419" s="470" t="n">
        <v>0.6</v>
      </c>
      <c r="R419" s="509" t="inlineStr">
        <is>
          <t>NR</t>
        </is>
      </c>
      <c r="S419" s="470" t="n">
        <v>0.7</v>
      </c>
      <c r="T419" s="509" t="inlineStr">
        <is>
          <t>NR</t>
        </is>
      </c>
      <c r="U419" s="494" t="n">
        <v>0</v>
      </c>
      <c r="V419" s="470" t="n"/>
      <c r="W419" s="470" t="n"/>
      <c r="X419" s="470" t="n"/>
      <c r="Y419" s="470" t="n"/>
      <c r="Z419" s="470" t="n"/>
      <c r="AA419" s="470" t="n"/>
      <c r="AB419" s="470" t="n"/>
      <c r="AC419" s="470" t="n"/>
      <c r="AD419" s="470" t="n"/>
      <c r="AE419" s="470" t="n"/>
      <c r="AF419" s="470" t="n"/>
      <c r="AG419" s="470" t="n"/>
    </row>
    <row r="420">
      <c r="A420" s="728" t="inlineStr">
        <is>
          <t>Tibiri</t>
        </is>
      </c>
      <c r="B420" s="722" t="n">
        <v>12</v>
      </c>
      <c r="C420" s="420" t="n">
        <v>9</v>
      </c>
      <c r="D420" s="420" t="inlineStr">
        <is>
          <t>Yari Idi</t>
        </is>
      </c>
      <c r="E420" s="420" t="inlineStr">
        <is>
          <t>Tibiri</t>
        </is>
      </c>
      <c r="F420" s="420" t="inlineStr">
        <is>
          <t>Intervention</t>
        </is>
      </c>
      <c r="G420" s="507" t="n">
        <v>2025</v>
      </c>
      <c r="H420" s="480" t="n">
        <v>2026</v>
      </c>
      <c r="I420" s="497" t="n">
        <v>2</v>
      </c>
      <c r="J420" s="509" t="inlineStr">
        <is>
          <t>NR</t>
        </is>
      </c>
      <c r="K420" s="497" t="n">
        <v>37</v>
      </c>
      <c r="L420" s="420" t="n">
        <v>2</v>
      </c>
      <c r="M420" s="497" t="inlineStr">
        <is>
          <t>NR</t>
        </is>
      </c>
      <c r="N420" s="497" t="inlineStr">
        <is>
          <t>NR</t>
        </is>
      </c>
      <c r="O420" s="497" t="inlineStr">
        <is>
          <t>NR</t>
        </is>
      </c>
      <c r="P420" s="497" t="inlineStr">
        <is>
          <t>NR</t>
        </is>
      </c>
      <c r="Q420" s="497" t="n">
        <v>2.6</v>
      </c>
      <c r="R420" s="497" t="inlineStr">
        <is>
          <t>NR</t>
        </is>
      </c>
      <c r="S420" s="497" t="n">
        <v>2.7</v>
      </c>
      <c r="T420" s="509" t="inlineStr">
        <is>
          <t>NR</t>
        </is>
      </c>
      <c r="U420" s="497" t="n">
        <v>0</v>
      </c>
      <c r="V420" s="470" t="n"/>
      <c r="W420" s="470" t="n"/>
      <c r="X420" s="470" t="n"/>
      <c r="Y420" s="470" t="n"/>
      <c r="Z420" s="470" t="n"/>
      <c r="AA420" s="470" t="n"/>
      <c r="AB420" s="470" t="n"/>
      <c r="AC420" s="470" t="n"/>
      <c r="AD420" s="470" t="n"/>
      <c r="AE420" s="470" t="n"/>
      <c r="AF420" s="470" t="n"/>
      <c r="AG420" s="470" t="n"/>
    </row>
    <row r="421">
      <c r="A421" s="710" t="n"/>
      <c r="B421" s="706" t="n"/>
      <c r="C421" s="420" t="n">
        <v>74</v>
      </c>
      <c r="D421" s="420" t="inlineStr">
        <is>
          <t>Maza Tsaye 1</t>
        </is>
      </c>
      <c r="E421" s="420" t="inlineStr">
        <is>
          <t>Tibiri</t>
        </is>
      </c>
      <c r="F421" s="420" t="inlineStr">
        <is>
          <t>Control</t>
        </is>
      </c>
      <c r="G421" s="507" t="n">
        <v>2025</v>
      </c>
      <c r="H421" s="480" t="n">
        <v>2026</v>
      </c>
      <c r="I421" s="423" t="n">
        <v>0</v>
      </c>
      <c r="J421" s="423" t="n">
        <v>0</v>
      </c>
      <c r="K421" s="423" t="n">
        <v>53</v>
      </c>
      <c r="L421" s="420" t="n">
        <v>0</v>
      </c>
      <c r="M421" s="509" t="inlineStr">
        <is>
          <t>NR</t>
        </is>
      </c>
      <c r="N421" s="509" t="inlineStr">
        <is>
          <t>NR</t>
        </is>
      </c>
      <c r="O421" s="509" t="inlineStr">
        <is>
          <t>NR</t>
        </is>
      </c>
      <c r="P421" s="509" t="inlineStr">
        <is>
          <t>NR</t>
        </is>
      </c>
      <c r="Q421" s="497" t="n">
        <v>1.3</v>
      </c>
      <c r="R421" s="497" t="inlineStr">
        <is>
          <t>NR</t>
        </is>
      </c>
      <c r="S421" s="497" t="n">
        <v>1.5</v>
      </c>
      <c r="T421" s="509" t="inlineStr">
        <is>
          <t>NR</t>
        </is>
      </c>
      <c r="U421" s="500" t="n">
        <v>0</v>
      </c>
      <c r="V421" s="470" t="n"/>
      <c r="W421" s="470" t="n"/>
      <c r="X421" s="470" t="n"/>
      <c r="Y421" s="470" t="n"/>
      <c r="Z421" s="470" t="n"/>
      <c r="AA421" s="470" t="n"/>
      <c r="AB421" s="470" t="n"/>
      <c r="AC421" s="470" t="n"/>
      <c r="AD421" s="470" t="n"/>
      <c r="AE421" s="470" t="n"/>
      <c r="AF421" s="470" t="n"/>
      <c r="AG421" s="470" t="n"/>
    </row>
    <row r="422">
      <c r="A422" s="710" t="n"/>
      <c r="B422" s="727" t="n">
        <v>13</v>
      </c>
      <c r="C422" s="132" t="n">
        <v>8</v>
      </c>
      <c r="D422" s="132" t="inlineStr">
        <is>
          <t>Kataré 1</t>
        </is>
      </c>
      <c r="E422" s="132" t="inlineStr">
        <is>
          <t>Tibiri</t>
        </is>
      </c>
      <c r="F422" s="132" t="inlineStr">
        <is>
          <t>Intervention</t>
        </is>
      </c>
      <c r="G422" s="470" t="n">
        <v>2025</v>
      </c>
      <c r="H422" s="471" t="n">
        <v>2026</v>
      </c>
      <c r="I422" s="470" t="n">
        <v>7</v>
      </c>
      <c r="J422" s="509" t="inlineStr">
        <is>
          <t>NR</t>
        </is>
      </c>
      <c r="K422" s="470" t="n">
        <v>38</v>
      </c>
      <c r="L422" s="470" t="n">
        <v>2</v>
      </c>
      <c r="M422" s="470" t="inlineStr">
        <is>
          <t>NR</t>
        </is>
      </c>
      <c r="N422" s="470" t="inlineStr">
        <is>
          <t>NR</t>
        </is>
      </c>
      <c r="O422" s="470" t="inlineStr">
        <is>
          <t>NR</t>
        </is>
      </c>
      <c r="P422" s="470" t="inlineStr">
        <is>
          <t>NR</t>
        </is>
      </c>
      <c r="Q422" s="470" t="n">
        <v>2.1</v>
      </c>
      <c r="R422" s="470" t="inlineStr">
        <is>
          <t>NR</t>
        </is>
      </c>
      <c r="S422" s="470" t="n">
        <v>2.2</v>
      </c>
      <c r="T422" s="509" t="inlineStr">
        <is>
          <t>NR</t>
        </is>
      </c>
      <c r="U422" s="470" t="n">
        <v>0</v>
      </c>
      <c r="V422" s="470" t="n"/>
      <c r="W422" s="470" t="n"/>
      <c r="X422" s="470" t="n"/>
      <c r="Y422" s="470" t="n"/>
      <c r="Z422" s="470" t="n"/>
      <c r="AA422" s="470" t="n"/>
      <c r="AB422" s="470" t="n"/>
      <c r="AC422" s="470" t="n"/>
      <c r="AD422" s="470" t="n"/>
      <c r="AE422" s="470" t="n"/>
      <c r="AF422" s="470" t="n"/>
      <c r="AG422" s="470" t="n"/>
    </row>
    <row r="423">
      <c r="A423" s="710" t="n"/>
      <c r="B423" s="706" t="n"/>
      <c r="C423" s="132" t="n">
        <v>70</v>
      </c>
      <c r="D423" s="132" t="inlineStr">
        <is>
          <t>Karakara 3</t>
        </is>
      </c>
      <c r="E423" s="132" t="inlineStr">
        <is>
          <t>Tibiri</t>
        </is>
      </c>
      <c r="F423" s="132" t="inlineStr">
        <is>
          <t>Control</t>
        </is>
      </c>
      <c r="G423" s="495" t="n">
        <v>2025</v>
      </c>
      <c r="H423" s="471" t="n">
        <v>2026</v>
      </c>
      <c r="I423" s="487" t="n">
        <v>0</v>
      </c>
      <c r="J423" s="487" t="n">
        <v>0</v>
      </c>
      <c r="K423" s="487" t="n">
        <v>21</v>
      </c>
      <c r="L423" s="470" t="n">
        <v>0</v>
      </c>
      <c r="M423" s="509" t="inlineStr">
        <is>
          <t>NR</t>
        </is>
      </c>
      <c r="N423" s="509" t="inlineStr">
        <is>
          <t>NR</t>
        </is>
      </c>
      <c r="O423" s="509" t="inlineStr">
        <is>
          <t>NR</t>
        </is>
      </c>
      <c r="P423" s="509" t="inlineStr">
        <is>
          <t>NR</t>
        </is>
      </c>
      <c r="Q423" s="470" t="n">
        <v>2.5</v>
      </c>
      <c r="R423" s="509" t="inlineStr">
        <is>
          <t>NR</t>
        </is>
      </c>
      <c r="S423" s="470" t="n">
        <v>1.5</v>
      </c>
      <c r="T423" s="509" t="inlineStr">
        <is>
          <t>NR</t>
        </is>
      </c>
      <c r="U423" s="494" t="n">
        <v>0</v>
      </c>
      <c r="V423" s="470" t="n"/>
      <c r="W423" s="470" t="n"/>
      <c r="X423" s="470" t="n"/>
      <c r="Y423" s="470" t="n"/>
      <c r="Z423" s="470" t="n"/>
      <c r="AA423" s="470" t="n"/>
      <c r="AB423" s="470" t="n"/>
      <c r="AC423" s="470" t="n"/>
      <c r="AD423" s="470" t="n"/>
      <c r="AE423" s="470" t="n"/>
      <c r="AF423" s="470" t="n"/>
      <c r="AG423" s="470" t="n"/>
    </row>
    <row r="424">
      <c r="A424" s="710" t="n"/>
      <c r="B424" s="722" t="n">
        <v>14</v>
      </c>
      <c r="C424" s="420" t="n">
        <v>1</v>
      </c>
      <c r="D424" s="420" t="inlineStr">
        <is>
          <t>Kataré 2</t>
        </is>
      </c>
      <c r="E424" s="420" t="inlineStr">
        <is>
          <t>Tibiri</t>
        </is>
      </c>
      <c r="F424" s="420" t="inlineStr">
        <is>
          <t>Intervention</t>
        </is>
      </c>
      <c r="G424" s="507" t="n">
        <v>2025</v>
      </c>
      <c r="H424" s="480" t="n">
        <v>2026</v>
      </c>
      <c r="I424" s="497" t="n">
        <v>7</v>
      </c>
      <c r="J424" s="509" t="inlineStr">
        <is>
          <t>NR</t>
        </is>
      </c>
      <c r="K424" s="497" t="n">
        <v>23</v>
      </c>
      <c r="L424" s="420" t="n">
        <v>2</v>
      </c>
      <c r="M424" s="497" t="inlineStr">
        <is>
          <t>NR</t>
        </is>
      </c>
      <c r="N424" s="497" t="inlineStr">
        <is>
          <t>NR</t>
        </is>
      </c>
      <c r="O424" s="497" t="inlineStr">
        <is>
          <t>NR</t>
        </is>
      </c>
      <c r="P424" s="497" t="inlineStr">
        <is>
          <t>NR</t>
        </is>
      </c>
      <c r="Q424" s="497" t="n">
        <v>2.2</v>
      </c>
      <c r="R424" s="497" t="inlineStr">
        <is>
          <t>NR</t>
        </is>
      </c>
      <c r="S424" s="497" t="n">
        <v>2.3</v>
      </c>
      <c r="T424" s="509" t="inlineStr">
        <is>
          <t>NR</t>
        </is>
      </c>
      <c r="U424" s="497" t="n">
        <v>0</v>
      </c>
      <c r="V424" s="470" t="n"/>
      <c r="W424" s="470" t="n"/>
      <c r="X424" s="470" t="n"/>
      <c r="Y424" s="470" t="n"/>
      <c r="Z424" s="470" t="n"/>
      <c r="AA424" s="470" t="n"/>
      <c r="AB424" s="470" t="n"/>
      <c r="AC424" s="470" t="n"/>
      <c r="AD424" s="470" t="n"/>
      <c r="AE424" s="470" t="n"/>
      <c r="AF424" s="470" t="n"/>
      <c r="AG424" s="470" t="n"/>
    </row>
    <row r="425">
      <c r="A425" s="710" t="n"/>
      <c r="B425" s="706" t="n"/>
      <c r="C425" s="420" t="n">
        <v>68</v>
      </c>
      <c r="D425" s="420" t="inlineStr">
        <is>
          <t>Karakara 1</t>
        </is>
      </c>
      <c r="E425" s="420" t="inlineStr">
        <is>
          <t>Tibiri</t>
        </is>
      </c>
      <c r="F425" s="420" t="inlineStr">
        <is>
          <t>Control</t>
        </is>
      </c>
      <c r="G425" s="507" t="n">
        <v>2025</v>
      </c>
      <c r="H425" s="480" t="n">
        <v>2026</v>
      </c>
      <c r="I425" s="423" t="n">
        <v>0</v>
      </c>
      <c r="J425" s="423" t="n">
        <v>0</v>
      </c>
      <c r="K425" s="423" t="n">
        <v>39</v>
      </c>
      <c r="L425" s="420" t="n">
        <v>0</v>
      </c>
      <c r="M425" s="509" t="inlineStr">
        <is>
          <t>NR</t>
        </is>
      </c>
      <c r="N425" s="509" t="inlineStr">
        <is>
          <t>NR</t>
        </is>
      </c>
      <c r="O425" s="509" t="inlineStr">
        <is>
          <t>NR</t>
        </is>
      </c>
      <c r="P425" s="509" t="inlineStr">
        <is>
          <t>NR</t>
        </is>
      </c>
      <c r="Q425" s="497" t="n">
        <v>1.2</v>
      </c>
      <c r="R425" s="497" t="inlineStr">
        <is>
          <t>NR</t>
        </is>
      </c>
      <c r="S425" s="497" t="n">
        <v>1.8</v>
      </c>
      <c r="T425" s="509" t="inlineStr">
        <is>
          <t>NR</t>
        </is>
      </c>
      <c r="U425" s="500" t="n">
        <v>0</v>
      </c>
      <c r="V425" s="470" t="n"/>
      <c r="W425" s="470" t="n"/>
      <c r="X425" s="470" t="n"/>
      <c r="Y425" s="470" t="n"/>
      <c r="Z425" s="470" t="n"/>
      <c r="AA425" s="470" t="n"/>
      <c r="AB425" s="470" t="n"/>
      <c r="AC425" s="470" t="n"/>
      <c r="AD425" s="470" t="n"/>
      <c r="AE425" s="470" t="n"/>
      <c r="AF425" s="470" t="n"/>
      <c r="AG425" s="470" t="n"/>
    </row>
    <row r="426">
      <c r="A426" s="710" t="n"/>
      <c r="B426" s="727" t="n">
        <v>15</v>
      </c>
      <c r="C426" s="132" t="n">
        <v>5</v>
      </c>
      <c r="D426" s="132" t="inlineStr">
        <is>
          <t>Dan Fillo</t>
        </is>
      </c>
      <c r="E426" s="132" t="inlineStr">
        <is>
          <t>Tibiri</t>
        </is>
      </c>
      <c r="F426" s="132" t="inlineStr">
        <is>
          <t>Intervention</t>
        </is>
      </c>
      <c r="G426" s="470" t="n">
        <v>2025</v>
      </c>
      <c r="H426" s="471" t="n">
        <v>2026</v>
      </c>
      <c r="I426" s="470" t="n">
        <v>7</v>
      </c>
      <c r="J426" s="509" t="inlineStr">
        <is>
          <t>NR</t>
        </is>
      </c>
      <c r="K426" s="470" t="n">
        <v>28</v>
      </c>
      <c r="L426" s="470" t="n">
        <v>2</v>
      </c>
      <c r="M426" s="470" t="inlineStr">
        <is>
          <t>NR</t>
        </is>
      </c>
      <c r="N426" s="470" t="inlineStr">
        <is>
          <t>NR</t>
        </is>
      </c>
      <c r="O426" s="470" t="inlineStr">
        <is>
          <t>NR</t>
        </is>
      </c>
      <c r="P426" s="470" t="inlineStr">
        <is>
          <t>NR</t>
        </is>
      </c>
      <c r="Q426" s="470" t="n">
        <v>2.1</v>
      </c>
      <c r="R426" s="470" t="inlineStr">
        <is>
          <t>NR</t>
        </is>
      </c>
      <c r="S426" s="470" t="n">
        <v>2</v>
      </c>
      <c r="T426" s="509" t="inlineStr">
        <is>
          <t>NR</t>
        </is>
      </c>
      <c r="U426" s="470" t="n">
        <v>0</v>
      </c>
      <c r="V426" s="470" t="n"/>
      <c r="W426" s="470" t="n"/>
      <c r="X426" s="470" t="n"/>
      <c r="Y426" s="470" t="n"/>
      <c r="Z426" s="470" t="n"/>
      <c r="AA426" s="470" t="n"/>
      <c r="AB426" s="470" t="n"/>
      <c r="AC426" s="470" t="n"/>
      <c r="AD426" s="470" t="n"/>
      <c r="AE426" s="470" t="n"/>
      <c r="AF426" s="470" t="n"/>
      <c r="AG426" s="470" t="n"/>
    </row>
    <row r="427">
      <c r="A427" s="710" t="n"/>
      <c r="B427" s="706" t="n"/>
      <c r="C427" s="132" t="n">
        <v>69</v>
      </c>
      <c r="D427" s="132" t="inlineStr">
        <is>
          <t>Karakara 2</t>
        </is>
      </c>
      <c r="E427" s="132" t="inlineStr">
        <is>
          <t>Tibiri</t>
        </is>
      </c>
      <c r="F427" s="132" t="inlineStr">
        <is>
          <t>Control</t>
        </is>
      </c>
      <c r="G427" s="495" t="n">
        <v>2025</v>
      </c>
      <c r="H427" s="471" t="n">
        <v>2026</v>
      </c>
      <c r="I427" s="487" t="n">
        <v>0</v>
      </c>
      <c r="J427" s="487" t="n">
        <v>0</v>
      </c>
      <c r="K427" s="487" t="n">
        <v>47</v>
      </c>
      <c r="L427" s="470" t="n">
        <v>0</v>
      </c>
      <c r="M427" s="509" t="inlineStr">
        <is>
          <t>NR</t>
        </is>
      </c>
      <c r="N427" s="509" t="inlineStr">
        <is>
          <t>NR</t>
        </is>
      </c>
      <c r="O427" s="509" t="inlineStr">
        <is>
          <t>NR</t>
        </is>
      </c>
      <c r="P427" s="509" t="inlineStr">
        <is>
          <t>NR</t>
        </is>
      </c>
      <c r="Q427" s="470" t="n">
        <v>1.5</v>
      </c>
      <c r="R427" s="509" t="inlineStr">
        <is>
          <t>NR</t>
        </is>
      </c>
      <c r="S427" s="470" t="n">
        <v>1.5</v>
      </c>
      <c r="T427" s="509" t="inlineStr">
        <is>
          <t>NR</t>
        </is>
      </c>
      <c r="U427" s="494" t="n">
        <v>0</v>
      </c>
      <c r="V427" s="470" t="n"/>
      <c r="W427" s="470" t="n"/>
      <c r="X427" s="470" t="n"/>
      <c r="Y427" s="470" t="n"/>
      <c r="Z427" s="470" t="n"/>
      <c r="AA427" s="470" t="n"/>
      <c r="AB427" s="470" t="n"/>
      <c r="AC427" s="470" t="n"/>
      <c r="AD427" s="470" t="n"/>
      <c r="AE427" s="470" t="n"/>
      <c r="AF427" s="470" t="n"/>
      <c r="AG427" s="470" t="n"/>
    </row>
    <row r="428">
      <c r="A428" s="710" t="n"/>
      <c r="B428" s="722" t="n">
        <v>16</v>
      </c>
      <c r="C428" s="420" t="n">
        <v>11</v>
      </c>
      <c r="D428" s="420" t="inlineStr">
        <is>
          <t>Soura 1</t>
        </is>
      </c>
      <c r="E428" s="420" t="inlineStr">
        <is>
          <t>Tibiri</t>
        </is>
      </c>
      <c r="F428" s="420" t="inlineStr">
        <is>
          <t>Intervention</t>
        </is>
      </c>
      <c r="G428" s="507" t="n">
        <v>2025</v>
      </c>
      <c r="H428" s="480" t="n">
        <v>2026</v>
      </c>
      <c r="I428" s="497" t="n">
        <v>4</v>
      </c>
      <c r="J428" s="509" t="inlineStr">
        <is>
          <t>NR</t>
        </is>
      </c>
      <c r="K428" s="497" t="n">
        <v>21</v>
      </c>
      <c r="L428" s="420" t="n">
        <v>2</v>
      </c>
      <c r="M428" s="497" t="inlineStr">
        <is>
          <t>NR</t>
        </is>
      </c>
      <c r="N428" s="497" t="inlineStr">
        <is>
          <t>NR</t>
        </is>
      </c>
      <c r="O428" s="497" t="inlineStr">
        <is>
          <t>NR</t>
        </is>
      </c>
      <c r="P428" s="497" t="inlineStr">
        <is>
          <t>NR</t>
        </is>
      </c>
      <c r="Q428" s="497" t="n">
        <v>2.2</v>
      </c>
      <c r="R428" s="497" t="inlineStr">
        <is>
          <t>NR</t>
        </is>
      </c>
      <c r="S428" s="497" t="n">
        <v>2.2</v>
      </c>
      <c r="T428" s="509" t="inlineStr">
        <is>
          <t>NR</t>
        </is>
      </c>
      <c r="U428" s="497" t="n">
        <v>0</v>
      </c>
      <c r="V428" s="470" t="n"/>
      <c r="W428" s="470" t="n"/>
      <c r="X428" s="470" t="n"/>
      <c r="Y428" s="470" t="n"/>
      <c r="Z428" s="470" t="n"/>
      <c r="AA428" s="470" t="n"/>
      <c r="AB428" s="470" t="n"/>
      <c r="AC428" s="470" t="n"/>
      <c r="AD428" s="470" t="n"/>
      <c r="AE428" s="470" t="n"/>
      <c r="AF428" s="470" t="n"/>
      <c r="AG428" s="470" t="n"/>
    </row>
    <row r="429">
      <c r="A429" s="710" t="n"/>
      <c r="B429" s="706" t="n"/>
      <c r="C429" s="420" t="n">
        <v>75</v>
      </c>
      <c r="D429" s="420" t="inlineStr">
        <is>
          <t>Maza Tsayé 2</t>
        </is>
      </c>
      <c r="E429" s="420" t="inlineStr">
        <is>
          <t>Tibiri</t>
        </is>
      </c>
      <c r="F429" s="420" t="inlineStr">
        <is>
          <t>Control</t>
        </is>
      </c>
      <c r="G429" s="507" t="n">
        <v>2025</v>
      </c>
      <c r="H429" s="480" t="n">
        <v>2026</v>
      </c>
      <c r="I429" s="423" t="n">
        <v>0</v>
      </c>
      <c r="J429" s="423" t="n">
        <v>0</v>
      </c>
      <c r="K429" s="423" t="n">
        <v>20</v>
      </c>
      <c r="L429" s="420" t="n">
        <v>0</v>
      </c>
      <c r="M429" s="509" t="inlineStr">
        <is>
          <t>NR</t>
        </is>
      </c>
      <c r="N429" s="509" t="inlineStr">
        <is>
          <t>NR</t>
        </is>
      </c>
      <c r="O429" s="509" t="inlineStr">
        <is>
          <t>NR</t>
        </is>
      </c>
      <c r="P429" s="509" t="inlineStr">
        <is>
          <t>NR</t>
        </is>
      </c>
      <c r="Q429" s="497" t="n">
        <v>1.1</v>
      </c>
      <c r="R429" s="497" t="inlineStr">
        <is>
          <t>NR</t>
        </is>
      </c>
      <c r="S429" s="497" t="n">
        <v>1.6</v>
      </c>
      <c r="T429" s="509" t="inlineStr">
        <is>
          <t>NR</t>
        </is>
      </c>
      <c r="U429" s="500" t="n">
        <v>0</v>
      </c>
      <c r="V429" s="470" t="n"/>
      <c r="W429" s="470" t="n"/>
      <c r="X429" s="470" t="n"/>
      <c r="Y429" s="470" t="n"/>
      <c r="Z429" s="470" t="n"/>
      <c r="AA429" s="470" t="n"/>
      <c r="AB429" s="470" t="n"/>
      <c r="AC429" s="470" t="n"/>
      <c r="AD429" s="470" t="n"/>
      <c r="AE429" s="470" t="n"/>
      <c r="AF429" s="470" t="n"/>
      <c r="AG429" s="470" t="n"/>
    </row>
    <row r="430">
      <c r="A430" s="710" t="n"/>
      <c r="B430" s="727" t="n">
        <v>17</v>
      </c>
      <c r="C430" s="132" t="n">
        <v>12</v>
      </c>
      <c r="D430" s="132" t="inlineStr">
        <is>
          <t>Soura 2</t>
        </is>
      </c>
      <c r="E430" s="132" t="inlineStr">
        <is>
          <t>Tibiri</t>
        </is>
      </c>
      <c r="F430" s="132" t="inlineStr">
        <is>
          <t>Intervention</t>
        </is>
      </c>
      <c r="G430" s="470" t="n">
        <v>2025</v>
      </c>
      <c r="H430" s="471" t="n">
        <v>2026</v>
      </c>
      <c r="I430" s="470" t="n">
        <v>6</v>
      </c>
      <c r="J430" s="509" t="inlineStr">
        <is>
          <t>NR</t>
        </is>
      </c>
      <c r="K430" s="470" t="n">
        <v>23</v>
      </c>
      <c r="L430" s="470" t="n">
        <v>2</v>
      </c>
      <c r="M430" s="470" t="inlineStr">
        <is>
          <t>NR</t>
        </is>
      </c>
      <c r="N430" s="470" t="inlineStr">
        <is>
          <t>NR</t>
        </is>
      </c>
      <c r="O430" s="470" t="inlineStr">
        <is>
          <t>NR</t>
        </is>
      </c>
      <c r="P430" s="470" t="inlineStr">
        <is>
          <t>NR</t>
        </is>
      </c>
      <c r="Q430" s="470" t="n">
        <v>2.7</v>
      </c>
      <c r="R430" s="470" t="inlineStr">
        <is>
          <t>NR</t>
        </is>
      </c>
      <c r="S430" s="470" t="n">
        <v>2.4</v>
      </c>
      <c r="T430" s="509" t="inlineStr">
        <is>
          <t>NR</t>
        </is>
      </c>
      <c r="U430" s="470" t="n">
        <v>0</v>
      </c>
      <c r="V430" s="470" t="n"/>
      <c r="W430" s="470" t="n"/>
      <c r="X430" s="470" t="n"/>
      <c r="Y430" s="470" t="n"/>
      <c r="Z430" s="470" t="n"/>
      <c r="AA430" s="470" t="n"/>
      <c r="AB430" s="470" t="n"/>
      <c r="AC430" s="470" t="n"/>
      <c r="AD430" s="470" t="n"/>
      <c r="AE430" s="470" t="n"/>
      <c r="AF430" s="470" t="n"/>
      <c r="AG430" s="470" t="n"/>
    </row>
    <row r="431">
      <c r="A431" s="710" t="n"/>
      <c r="B431" s="706" t="n"/>
      <c r="C431" s="132" t="n">
        <v>67</v>
      </c>
      <c r="D431" s="132" t="inlineStr">
        <is>
          <t>Garin Magé</t>
        </is>
      </c>
      <c r="E431" s="132" t="inlineStr">
        <is>
          <t>Tibiri</t>
        </is>
      </c>
      <c r="F431" s="132" t="inlineStr">
        <is>
          <t>Control</t>
        </is>
      </c>
      <c r="G431" s="495" t="n">
        <v>2025</v>
      </c>
      <c r="H431" s="471" t="n">
        <v>2026</v>
      </c>
      <c r="I431" s="487" t="n">
        <v>0</v>
      </c>
      <c r="J431" s="487" t="n">
        <v>0</v>
      </c>
      <c r="K431" s="487" t="n">
        <v>4</v>
      </c>
      <c r="L431" s="470" t="n">
        <v>0</v>
      </c>
      <c r="M431" s="509" t="inlineStr">
        <is>
          <t>NR</t>
        </is>
      </c>
      <c r="N431" s="509" t="inlineStr">
        <is>
          <t>NR</t>
        </is>
      </c>
      <c r="O431" s="509" t="inlineStr">
        <is>
          <t>NR</t>
        </is>
      </c>
      <c r="P431" s="509" t="inlineStr">
        <is>
          <t>NR</t>
        </is>
      </c>
      <c r="Q431" s="470" t="n">
        <v>1.8</v>
      </c>
      <c r="R431" s="509" t="inlineStr">
        <is>
          <t>NR</t>
        </is>
      </c>
      <c r="S431" s="470" t="n">
        <v>2</v>
      </c>
      <c r="T431" s="509" t="inlineStr">
        <is>
          <t>NR</t>
        </is>
      </c>
      <c r="U431" s="494" t="n">
        <v>0</v>
      </c>
      <c r="V431" s="470" t="n"/>
      <c r="W431" s="470" t="n"/>
      <c r="X431" s="470" t="n"/>
      <c r="Y431" s="470" t="n"/>
      <c r="Z431" s="470" t="n"/>
      <c r="AA431" s="470" t="n"/>
      <c r="AB431" s="470" t="n"/>
      <c r="AC431" s="470" t="n"/>
      <c r="AD431" s="470" t="n"/>
      <c r="AE431" s="470" t="n"/>
      <c r="AF431" s="470" t="n"/>
      <c r="AG431" s="470" t="n"/>
    </row>
    <row r="432">
      <c r="A432" s="710" t="n"/>
      <c r="B432" s="722" t="n">
        <v>18</v>
      </c>
      <c r="C432" s="420" t="n">
        <v>4</v>
      </c>
      <c r="D432" s="420" t="inlineStr">
        <is>
          <t>Soura 3</t>
        </is>
      </c>
      <c r="E432" s="420" t="inlineStr">
        <is>
          <t>Tibiri</t>
        </is>
      </c>
      <c r="F432" s="423" t="inlineStr">
        <is>
          <t>Intervention</t>
        </is>
      </c>
      <c r="G432" s="507" t="n">
        <v>2025</v>
      </c>
      <c r="H432" s="480" t="n">
        <v>2026</v>
      </c>
      <c r="I432" s="497" t="n">
        <v>6</v>
      </c>
      <c r="J432" s="509" t="inlineStr">
        <is>
          <t>NR</t>
        </is>
      </c>
      <c r="K432" s="497" t="n">
        <v>31</v>
      </c>
      <c r="L432" s="420" t="n">
        <v>2</v>
      </c>
      <c r="M432" s="497" t="inlineStr">
        <is>
          <t>NR</t>
        </is>
      </c>
      <c r="N432" s="497" t="inlineStr">
        <is>
          <t>NR</t>
        </is>
      </c>
      <c r="O432" s="497" t="inlineStr">
        <is>
          <t>NR</t>
        </is>
      </c>
      <c r="P432" s="497" t="inlineStr">
        <is>
          <t>NR</t>
        </is>
      </c>
      <c r="Q432" s="497" t="n">
        <v>2.4</v>
      </c>
      <c r="R432" s="497" t="inlineStr">
        <is>
          <t>NR</t>
        </is>
      </c>
      <c r="S432" s="497" t="n">
        <v>2.3</v>
      </c>
      <c r="T432" s="509" t="inlineStr">
        <is>
          <t>NR</t>
        </is>
      </c>
      <c r="U432" s="497" t="n">
        <v>0</v>
      </c>
      <c r="V432" s="470" t="n"/>
      <c r="W432" s="470" t="n"/>
      <c r="X432" s="470" t="n"/>
      <c r="Y432" s="470" t="n"/>
      <c r="Z432" s="470" t="n"/>
      <c r="AA432" s="470" t="n"/>
      <c r="AB432" s="470" t="n"/>
      <c r="AC432" s="470" t="n"/>
      <c r="AD432" s="470" t="n"/>
      <c r="AE432" s="470" t="n"/>
      <c r="AF432" s="470" t="n"/>
      <c r="AG432" s="470" t="n"/>
    </row>
    <row r="433">
      <c r="A433" s="710" t="n"/>
      <c r="B433" s="706" t="n"/>
      <c r="C433" s="420" t="n">
        <v>63</v>
      </c>
      <c r="D433" s="420" t="inlineStr">
        <is>
          <t>Yan Zango</t>
        </is>
      </c>
      <c r="E433" s="420" t="inlineStr">
        <is>
          <t>Tibiri</t>
        </is>
      </c>
      <c r="F433" s="423" t="inlineStr">
        <is>
          <t>Control</t>
        </is>
      </c>
      <c r="G433" s="507" t="n">
        <v>2025</v>
      </c>
      <c r="H433" s="480" t="n">
        <v>2026</v>
      </c>
      <c r="I433" s="423" t="n">
        <v>0</v>
      </c>
      <c r="J433" s="423" t="n">
        <v>0</v>
      </c>
      <c r="K433" s="423" t="n">
        <v>27</v>
      </c>
      <c r="L433" s="420" t="n">
        <v>0</v>
      </c>
      <c r="M433" s="509" t="inlineStr">
        <is>
          <t>NR</t>
        </is>
      </c>
      <c r="N433" s="509" t="inlineStr">
        <is>
          <t>NR</t>
        </is>
      </c>
      <c r="O433" s="509" t="inlineStr">
        <is>
          <t>NR</t>
        </is>
      </c>
      <c r="P433" s="509" t="inlineStr">
        <is>
          <t>NR</t>
        </is>
      </c>
      <c r="Q433" s="497" t="n">
        <v>1.6</v>
      </c>
      <c r="R433" s="497" t="inlineStr">
        <is>
          <t>NR</t>
        </is>
      </c>
      <c r="S433" s="497" t="n">
        <v>1</v>
      </c>
      <c r="T433" s="509" t="inlineStr">
        <is>
          <t>NR</t>
        </is>
      </c>
      <c r="U433" s="500" t="n">
        <v>0</v>
      </c>
      <c r="V433" s="470" t="n"/>
      <c r="W433" s="470" t="n"/>
      <c r="X433" s="470" t="n"/>
      <c r="Y433" s="470" t="n"/>
      <c r="Z433" s="470" t="n"/>
      <c r="AA433" s="470" t="n"/>
      <c r="AB433" s="470" t="n"/>
      <c r="AC433" s="470" t="n"/>
      <c r="AD433" s="470" t="n"/>
      <c r="AE433" s="470" t="n"/>
      <c r="AF433" s="470" t="n"/>
      <c r="AG433" s="470" t="n"/>
    </row>
    <row r="434">
      <c r="A434" s="710" t="n"/>
      <c r="B434" s="727" t="n">
        <v>19</v>
      </c>
      <c r="C434" s="132" t="n">
        <v>6</v>
      </c>
      <c r="D434" s="132" t="inlineStr">
        <is>
          <t>(Soura sarkin ) Galma 1</t>
        </is>
      </c>
      <c r="E434" s="132" t="inlineStr">
        <is>
          <t>Tibiri</t>
        </is>
      </c>
      <c r="F434" s="471" t="inlineStr">
        <is>
          <t>Intervention</t>
        </is>
      </c>
      <c r="G434" s="470" t="n">
        <v>2025</v>
      </c>
      <c r="H434" s="471" t="n">
        <v>2026</v>
      </c>
      <c r="I434" s="470" t="n">
        <v>6</v>
      </c>
      <c r="J434" s="509" t="inlineStr">
        <is>
          <t>NR</t>
        </is>
      </c>
      <c r="K434" s="470" t="n">
        <v>35</v>
      </c>
      <c r="L434" s="470" t="n">
        <v>2</v>
      </c>
      <c r="M434" s="470" t="inlineStr">
        <is>
          <t>NR</t>
        </is>
      </c>
      <c r="N434" s="470" t="inlineStr">
        <is>
          <t>NR</t>
        </is>
      </c>
      <c r="O434" s="470" t="inlineStr">
        <is>
          <t>NR</t>
        </is>
      </c>
      <c r="P434" s="470" t="inlineStr">
        <is>
          <t>NR</t>
        </is>
      </c>
      <c r="Q434" s="470" t="n">
        <v>2.5</v>
      </c>
      <c r="R434" s="470" t="inlineStr">
        <is>
          <t>NR</t>
        </is>
      </c>
      <c r="S434" s="470" t="n">
        <v>2.7</v>
      </c>
      <c r="T434" s="509" t="inlineStr">
        <is>
          <t>NR</t>
        </is>
      </c>
      <c r="U434" s="470" t="n">
        <v>2</v>
      </c>
      <c r="V434" s="470" t="n"/>
      <c r="W434" s="470" t="n"/>
      <c r="X434" s="470" t="n"/>
      <c r="Y434" s="470" t="n"/>
      <c r="Z434" s="470" t="n"/>
      <c r="AA434" s="470" t="n"/>
      <c r="AB434" s="470" t="n"/>
      <c r="AC434" s="470" t="n"/>
      <c r="AD434" s="470" t="n"/>
      <c r="AE434" s="470" t="n"/>
      <c r="AF434" s="470" t="n"/>
      <c r="AG434" s="470" t="n"/>
    </row>
    <row r="435">
      <c r="A435" s="710" t="n"/>
      <c r="B435" s="706" t="n"/>
      <c r="C435" s="132" t="n">
        <v>73</v>
      </c>
      <c r="D435" s="132" t="inlineStr">
        <is>
          <t>Yan Belbelou 3</t>
        </is>
      </c>
      <c r="E435" s="132" t="inlineStr">
        <is>
          <t>Tibiri</t>
        </is>
      </c>
      <c r="F435" s="471" t="inlineStr">
        <is>
          <t>Control</t>
        </is>
      </c>
      <c r="G435" s="495" t="n">
        <v>2025</v>
      </c>
      <c r="H435" s="471" t="n">
        <v>2026</v>
      </c>
      <c r="I435" s="487" t="n">
        <v>0</v>
      </c>
      <c r="J435" s="487" t="n">
        <v>0</v>
      </c>
      <c r="K435" s="487" t="n">
        <v>33</v>
      </c>
      <c r="L435" s="470" t="n">
        <v>0</v>
      </c>
      <c r="M435" s="509" t="inlineStr">
        <is>
          <t>NR</t>
        </is>
      </c>
      <c r="N435" s="509" t="inlineStr">
        <is>
          <t>NR</t>
        </is>
      </c>
      <c r="O435" s="509" t="inlineStr">
        <is>
          <t>NR</t>
        </is>
      </c>
      <c r="P435" s="509" t="inlineStr">
        <is>
          <t>NR</t>
        </is>
      </c>
      <c r="Q435" s="470" t="n">
        <v>1.6</v>
      </c>
      <c r="R435" s="509" t="inlineStr">
        <is>
          <t>NR</t>
        </is>
      </c>
      <c r="S435" s="470" t="n">
        <v>1.4</v>
      </c>
      <c r="T435" s="509" t="inlineStr">
        <is>
          <t>NR</t>
        </is>
      </c>
      <c r="U435" s="494" t="n">
        <v>0</v>
      </c>
      <c r="V435" s="470" t="n"/>
      <c r="W435" s="470" t="n"/>
      <c r="X435" s="470" t="n"/>
      <c r="Y435" s="470" t="n"/>
      <c r="Z435" s="470" t="n"/>
      <c r="AA435" s="470" t="n"/>
      <c r="AB435" s="470" t="n"/>
      <c r="AC435" s="470" t="n"/>
      <c r="AD435" s="470" t="n"/>
      <c r="AE435" s="470" t="n"/>
      <c r="AF435" s="470" t="n"/>
      <c r="AG435" s="470" t="n"/>
    </row>
    <row r="436">
      <c r="A436" s="710" t="n"/>
      <c r="B436" s="722" t="n">
        <v>20</v>
      </c>
      <c r="C436" s="423" t="n">
        <v>7</v>
      </c>
      <c r="D436" s="423" t="inlineStr">
        <is>
          <t>Galma 2</t>
        </is>
      </c>
      <c r="E436" s="420" t="inlineStr">
        <is>
          <t>Tibiri</t>
        </is>
      </c>
      <c r="F436" s="423" t="inlineStr">
        <is>
          <t>Intervention</t>
        </is>
      </c>
      <c r="G436" s="507" t="n">
        <v>2025</v>
      </c>
      <c r="H436" s="480" t="n">
        <v>2026</v>
      </c>
      <c r="I436" s="497" t="n">
        <v>6</v>
      </c>
      <c r="J436" s="509" t="inlineStr">
        <is>
          <t>NR</t>
        </is>
      </c>
      <c r="K436" s="497" t="n">
        <v>19</v>
      </c>
      <c r="L436" s="420" t="n">
        <v>2</v>
      </c>
      <c r="M436" s="497" t="inlineStr">
        <is>
          <t>NR</t>
        </is>
      </c>
      <c r="N436" s="497" t="inlineStr">
        <is>
          <t>NR</t>
        </is>
      </c>
      <c r="O436" s="497" t="inlineStr">
        <is>
          <t>NR</t>
        </is>
      </c>
      <c r="P436" s="497" t="inlineStr">
        <is>
          <t>NR</t>
        </is>
      </c>
      <c r="Q436" s="497" t="n">
        <v>2.4</v>
      </c>
      <c r="R436" s="497" t="inlineStr">
        <is>
          <t>NR</t>
        </is>
      </c>
      <c r="S436" s="497" t="n">
        <v>2.3</v>
      </c>
      <c r="T436" s="509" t="inlineStr">
        <is>
          <t>NR</t>
        </is>
      </c>
      <c r="U436" s="497" t="n">
        <v>1</v>
      </c>
      <c r="V436" s="470" t="n"/>
      <c r="W436" s="470" t="n"/>
      <c r="X436" s="470" t="n"/>
      <c r="Y436" s="470" t="n"/>
      <c r="Z436" s="470" t="n"/>
      <c r="AA436" s="470" t="n"/>
      <c r="AB436" s="470" t="n"/>
      <c r="AC436" s="470" t="n"/>
      <c r="AD436" s="470" t="n"/>
      <c r="AE436" s="470" t="n"/>
      <c r="AF436" s="470" t="n"/>
      <c r="AG436" s="470" t="n"/>
    </row>
    <row r="437">
      <c r="A437" s="710" t="n"/>
      <c r="B437" s="706" t="n"/>
      <c r="C437" s="423" t="n">
        <v>66</v>
      </c>
      <c r="D437" s="423" t="inlineStr">
        <is>
          <t>Sarkin Aski</t>
        </is>
      </c>
      <c r="E437" s="420" t="inlineStr">
        <is>
          <t>Tibiri</t>
        </is>
      </c>
      <c r="F437" s="423" t="inlineStr">
        <is>
          <t>Control</t>
        </is>
      </c>
      <c r="G437" s="507" t="n">
        <v>2025</v>
      </c>
      <c r="H437" s="480" t="n">
        <v>2026</v>
      </c>
      <c r="I437" s="423" t="n">
        <v>0</v>
      </c>
      <c r="J437" s="423" t="n">
        <v>0</v>
      </c>
      <c r="K437" s="423" t="n">
        <v>4</v>
      </c>
      <c r="L437" s="420" t="n">
        <v>0</v>
      </c>
      <c r="M437" s="509" t="inlineStr">
        <is>
          <t>NR</t>
        </is>
      </c>
      <c r="N437" s="509" t="inlineStr">
        <is>
          <t>NR</t>
        </is>
      </c>
      <c r="O437" s="509" t="inlineStr">
        <is>
          <t>NR</t>
        </is>
      </c>
      <c r="P437" s="509" t="inlineStr">
        <is>
          <t>NR</t>
        </is>
      </c>
      <c r="Q437" s="497" t="n">
        <v>0.4</v>
      </c>
      <c r="R437" s="497" t="inlineStr">
        <is>
          <t>NR</t>
        </is>
      </c>
      <c r="S437" s="497" t="n">
        <v>1.4</v>
      </c>
      <c r="T437" s="509" t="inlineStr">
        <is>
          <t>NR</t>
        </is>
      </c>
      <c r="U437" s="500" t="n">
        <v>1</v>
      </c>
      <c r="V437" s="470" t="n"/>
      <c r="W437" s="470" t="n"/>
      <c r="X437" s="470" t="n"/>
      <c r="Y437" s="470" t="n"/>
      <c r="Z437" s="470" t="n"/>
      <c r="AA437" s="470" t="n"/>
      <c r="AB437" s="470" t="n"/>
      <c r="AC437" s="470" t="n"/>
      <c r="AD437" s="470" t="n"/>
      <c r="AE437" s="470" t="n"/>
      <c r="AF437" s="470" t="n"/>
      <c r="AG437" s="470" t="n"/>
    </row>
    <row r="438">
      <c r="A438" s="710" t="n"/>
      <c r="B438" s="727" t="n">
        <v>21</v>
      </c>
      <c r="C438" s="273" t="n">
        <v>13</v>
      </c>
      <c r="D438" s="273" t="inlineStr">
        <is>
          <t>Soura Magagin Rogo</t>
        </is>
      </c>
      <c r="E438" s="132" t="inlineStr">
        <is>
          <t>Tibiri</t>
        </is>
      </c>
      <c r="F438" s="487" t="inlineStr">
        <is>
          <t>Intervention</t>
        </is>
      </c>
      <c r="G438" s="470" t="n">
        <v>2025</v>
      </c>
      <c r="H438" s="471" t="n">
        <v>2026</v>
      </c>
      <c r="I438" s="470" t="n">
        <v>5</v>
      </c>
      <c r="J438" s="509" t="inlineStr">
        <is>
          <t>NR</t>
        </is>
      </c>
      <c r="K438" s="470" t="n">
        <v>35</v>
      </c>
      <c r="L438" s="470" t="n">
        <v>2</v>
      </c>
      <c r="M438" s="470" t="inlineStr">
        <is>
          <t>NR</t>
        </is>
      </c>
      <c r="N438" s="470" t="inlineStr">
        <is>
          <t>NR</t>
        </is>
      </c>
      <c r="O438" s="470" t="inlineStr">
        <is>
          <t>NR</t>
        </is>
      </c>
      <c r="P438" s="470" t="inlineStr">
        <is>
          <t>NR</t>
        </is>
      </c>
      <c r="Q438" s="470" t="n">
        <v>2.1</v>
      </c>
      <c r="R438" s="470" t="inlineStr">
        <is>
          <t>NR</t>
        </is>
      </c>
      <c r="S438" s="470" t="n">
        <v>2.3</v>
      </c>
      <c r="T438" s="509" t="inlineStr">
        <is>
          <t>NR</t>
        </is>
      </c>
      <c r="U438" s="470" t="n">
        <v>1</v>
      </c>
      <c r="V438" s="470" t="n"/>
      <c r="W438" s="470" t="n"/>
      <c r="X438" s="470" t="n"/>
      <c r="Y438" s="470" t="n"/>
      <c r="Z438" s="470" t="n"/>
      <c r="AA438" s="470" t="n"/>
      <c r="AB438" s="470" t="n"/>
      <c r="AC438" s="470" t="n"/>
      <c r="AD438" s="470" t="n"/>
      <c r="AE438" s="470" t="n"/>
      <c r="AF438" s="470" t="n"/>
      <c r="AG438" s="470" t="n"/>
    </row>
    <row r="439">
      <c r="A439" s="710" t="n"/>
      <c r="B439" s="706" t="n"/>
      <c r="C439" s="273" t="n">
        <v>76</v>
      </c>
      <c r="D439" s="273" t="inlineStr">
        <is>
          <t>Maisso</t>
        </is>
      </c>
      <c r="E439" s="132" t="inlineStr">
        <is>
          <t>Tibiri</t>
        </is>
      </c>
      <c r="F439" s="487" t="inlineStr">
        <is>
          <t>Control</t>
        </is>
      </c>
      <c r="G439" s="495" t="n">
        <v>2025</v>
      </c>
      <c r="H439" s="471" t="n">
        <v>2026</v>
      </c>
      <c r="I439" s="487" t="n">
        <v>0</v>
      </c>
      <c r="J439" s="487" t="n">
        <v>0</v>
      </c>
      <c r="K439" s="487" t="n">
        <v>15</v>
      </c>
      <c r="L439" s="470" t="n">
        <v>0</v>
      </c>
      <c r="M439" s="509" t="inlineStr">
        <is>
          <t>NR</t>
        </is>
      </c>
      <c r="N439" s="509" t="inlineStr">
        <is>
          <t>NR</t>
        </is>
      </c>
      <c r="O439" s="509" t="inlineStr">
        <is>
          <t>NR</t>
        </is>
      </c>
      <c r="P439" s="509" t="inlineStr">
        <is>
          <t>NR</t>
        </is>
      </c>
      <c r="Q439" s="470" t="n">
        <v>1.6</v>
      </c>
      <c r="R439" s="509" t="inlineStr">
        <is>
          <t>NR</t>
        </is>
      </c>
      <c r="S439" s="470" t="n">
        <v>1.9</v>
      </c>
      <c r="T439" s="509" t="inlineStr">
        <is>
          <t>NR</t>
        </is>
      </c>
      <c r="U439" s="494" t="n">
        <v>0</v>
      </c>
      <c r="V439" s="470" t="n"/>
      <c r="W439" s="470" t="n"/>
      <c r="X439" s="470" t="n"/>
      <c r="Y439" s="470" t="n"/>
      <c r="Z439" s="470" t="n"/>
      <c r="AA439" s="470" t="n"/>
      <c r="AB439" s="470" t="n"/>
      <c r="AC439" s="470" t="n"/>
      <c r="AD439" s="470" t="n"/>
      <c r="AE439" s="470" t="n"/>
      <c r="AF439" s="470" t="n"/>
      <c r="AG439" s="470" t="n"/>
    </row>
    <row r="440">
      <c r="A440" s="710" t="n"/>
      <c r="B440" s="722" t="n">
        <v>22</v>
      </c>
      <c r="C440" s="423" t="n">
        <v>3</v>
      </c>
      <c r="D440" s="423" t="inlineStr">
        <is>
          <t>Waraou</t>
        </is>
      </c>
      <c r="E440" s="420" t="inlineStr">
        <is>
          <t>Tibiri</t>
        </is>
      </c>
      <c r="F440" s="423" t="inlineStr">
        <is>
          <t>Intervention</t>
        </is>
      </c>
      <c r="G440" s="507" t="n">
        <v>2025</v>
      </c>
      <c r="H440" s="480" t="n">
        <v>2026</v>
      </c>
      <c r="I440" s="497" t="n">
        <v>6</v>
      </c>
      <c r="J440" s="509" t="inlineStr">
        <is>
          <t>NR</t>
        </is>
      </c>
      <c r="K440" s="497" t="n">
        <v>55</v>
      </c>
      <c r="L440" s="420" t="n">
        <v>2</v>
      </c>
      <c r="M440" s="497" t="inlineStr">
        <is>
          <t>NR</t>
        </is>
      </c>
      <c r="N440" s="497" t="inlineStr">
        <is>
          <t>NR</t>
        </is>
      </c>
      <c r="O440" s="497" t="inlineStr">
        <is>
          <t>NR</t>
        </is>
      </c>
      <c r="P440" s="497" t="inlineStr">
        <is>
          <t>NR</t>
        </is>
      </c>
      <c r="Q440" s="497" t="n">
        <v>1.3</v>
      </c>
      <c r="R440" s="497" t="inlineStr">
        <is>
          <t>NR</t>
        </is>
      </c>
      <c r="S440" s="497" t="n">
        <v>1.4</v>
      </c>
      <c r="T440" s="509" t="inlineStr">
        <is>
          <t>NR</t>
        </is>
      </c>
      <c r="U440" s="497" t="n">
        <v>0</v>
      </c>
      <c r="V440" s="470" t="n"/>
      <c r="W440" s="470" t="n"/>
      <c r="X440" s="470" t="n"/>
      <c r="Y440" s="470" t="n"/>
      <c r="Z440" s="470" t="n"/>
      <c r="AA440" s="470" t="n"/>
      <c r="AB440" s="470" t="n"/>
      <c r="AC440" s="470" t="n"/>
      <c r="AD440" s="470" t="n"/>
      <c r="AE440" s="470" t="n"/>
      <c r="AF440" s="470" t="n"/>
      <c r="AG440" s="470" t="n"/>
    </row>
    <row r="441">
      <c r="A441" s="710" t="n"/>
      <c r="B441" s="706" t="n"/>
      <c r="C441" s="423" t="n">
        <v>72</v>
      </c>
      <c r="D441" s="423" t="inlineStr">
        <is>
          <t>Garin Daoure 2</t>
        </is>
      </c>
      <c r="E441" s="420" t="inlineStr">
        <is>
          <t>Tibiri</t>
        </is>
      </c>
      <c r="F441" s="423" t="inlineStr">
        <is>
          <t>Control</t>
        </is>
      </c>
      <c r="G441" s="507" t="n">
        <v>2025</v>
      </c>
      <c r="H441" s="480" t="n">
        <v>2026</v>
      </c>
      <c r="I441" s="423" t="n">
        <v>0</v>
      </c>
      <c r="J441" s="423" t="n">
        <v>0</v>
      </c>
      <c r="K441" s="423" t="n">
        <v>21</v>
      </c>
      <c r="L441" s="420" t="n">
        <v>0</v>
      </c>
      <c r="M441" s="509" t="inlineStr">
        <is>
          <t>NR</t>
        </is>
      </c>
      <c r="N441" s="509" t="inlineStr">
        <is>
          <t>NR</t>
        </is>
      </c>
      <c r="O441" s="509" t="inlineStr">
        <is>
          <t>NR</t>
        </is>
      </c>
      <c r="P441" s="509" t="inlineStr">
        <is>
          <t>NR</t>
        </is>
      </c>
      <c r="Q441" s="497" t="n">
        <v>1</v>
      </c>
      <c r="R441" s="497" t="inlineStr">
        <is>
          <t>NR</t>
        </is>
      </c>
      <c r="S441" s="497" t="n">
        <v>1.5</v>
      </c>
      <c r="T441" s="509" t="inlineStr">
        <is>
          <t>NR</t>
        </is>
      </c>
      <c r="U441" s="500" t="n">
        <v>1</v>
      </c>
      <c r="V441" s="470" t="n"/>
      <c r="W441" s="470" t="n"/>
      <c r="X441" s="470" t="n"/>
      <c r="Y441" s="470" t="n"/>
      <c r="Z441" s="470" t="n"/>
      <c r="AA441" s="470" t="n"/>
      <c r="AB441" s="470" t="n"/>
      <c r="AC441" s="470" t="n"/>
      <c r="AD441" s="470" t="n"/>
      <c r="AE441" s="470" t="n"/>
      <c r="AF441" s="470" t="n"/>
      <c r="AG441" s="470" t="n"/>
    </row>
    <row r="442">
      <c r="A442" s="710" t="n"/>
      <c r="B442" s="727" t="n">
        <v>23</v>
      </c>
      <c r="C442" s="273" t="n">
        <v>10</v>
      </c>
      <c r="D442" s="273" t="inlineStr">
        <is>
          <t>Tibiri Nord 3</t>
        </is>
      </c>
      <c r="E442" s="132" t="inlineStr">
        <is>
          <t>Tibiri</t>
        </is>
      </c>
      <c r="F442" s="487" t="inlineStr">
        <is>
          <t>Intervention</t>
        </is>
      </c>
      <c r="G442" s="470" t="n">
        <v>2025</v>
      </c>
      <c r="H442" s="471" t="n">
        <v>2026</v>
      </c>
      <c r="I442" s="470" t="n">
        <v>8</v>
      </c>
      <c r="J442" s="509" t="inlineStr">
        <is>
          <t>NR</t>
        </is>
      </c>
      <c r="K442" s="470" t="n">
        <v>36</v>
      </c>
      <c r="L442" s="470" t="n">
        <v>2</v>
      </c>
      <c r="M442" s="470" t="inlineStr">
        <is>
          <t>NR</t>
        </is>
      </c>
      <c r="N442" s="470" t="inlineStr">
        <is>
          <t>NR</t>
        </is>
      </c>
      <c r="O442" s="470" t="inlineStr">
        <is>
          <t>NR</t>
        </is>
      </c>
      <c r="P442" s="470" t="inlineStr">
        <is>
          <t>NR</t>
        </is>
      </c>
      <c r="Q442" s="470" t="n">
        <v>3.1</v>
      </c>
      <c r="R442" s="470" t="inlineStr">
        <is>
          <t>NR</t>
        </is>
      </c>
      <c r="S442" s="470" t="n">
        <v>3.4</v>
      </c>
      <c r="T442" s="509" t="inlineStr">
        <is>
          <t>NR</t>
        </is>
      </c>
      <c r="U442" s="470" t="n">
        <v>0</v>
      </c>
      <c r="V442" s="470" t="n"/>
      <c r="W442" s="470" t="n"/>
      <c r="X442" s="470" t="n"/>
      <c r="Y442" s="470" t="n"/>
      <c r="Z442" s="470" t="n"/>
      <c r="AA442" s="470" t="n"/>
      <c r="AB442" s="470" t="n"/>
      <c r="AC442" s="470" t="n"/>
      <c r="AD442" s="470" t="n"/>
      <c r="AE442" s="470" t="n"/>
      <c r="AF442" s="470" t="n"/>
      <c r="AG442" s="470" t="n"/>
    </row>
    <row r="443">
      <c r="A443" s="710" t="n"/>
      <c r="B443" s="706" t="n"/>
      <c r="C443" s="273" t="n">
        <v>71</v>
      </c>
      <c r="D443" s="273" t="inlineStr">
        <is>
          <t>Garin Daoure 1</t>
        </is>
      </c>
      <c r="E443" s="132" t="inlineStr">
        <is>
          <t>Tibiri</t>
        </is>
      </c>
      <c r="F443" s="487" t="inlineStr">
        <is>
          <t>Control</t>
        </is>
      </c>
      <c r="G443" s="495" t="n">
        <v>2025</v>
      </c>
      <c r="H443" s="471" t="n">
        <v>2026</v>
      </c>
      <c r="I443" s="487" t="n">
        <v>0</v>
      </c>
      <c r="J443" s="487" t="n">
        <v>0</v>
      </c>
      <c r="K443" s="487" t="n">
        <v>33</v>
      </c>
      <c r="L443" s="470" t="n">
        <v>0</v>
      </c>
      <c r="M443" s="509" t="inlineStr">
        <is>
          <t>NR</t>
        </is>
      </c>
      <c r="N443" s="509" t="inlineStr">
        <is>
          <t>NR</t>
        </is>
      </c>
      <c r="O443" s="509" t="inlineStr">
        <is>
          <t>NR</t>
        </is>
      </c>
      <c r="P443" s="509" t="inlineStr">
        <is>
          <t>NR</t>
        </is>
      </c>
      <c r="Q443" s="470" t="n">
        <v>1.4</v>
      </c>
      <c r="R443" s="509" t="inlineStr">
        <is>
          <t>NR</t>
        </is>
      </c>
      <c r="S443" s="470" t="n">
        <v>1.7</v>
      </c>
      <c r="T443" s="509" t="inlineStr">
        <is>
          <t>NR</t>
        </is>
      </c>
      <c r="U443" s="494" t="n">
        <v>1</v>
      </c>
      <c r="V443" s="470" t="n"/>
      <c r="W443" s="470" t="n"/>
      <c r="X443" s="470" t="n"/>
      <c r="Y443" s="470" t="n"/>
      <c r="Z443" s="470" t="n"/>
      <c r="AA443" s="470" t="n"/>
      <c r="AB443" s="470" t="n"/>
      <c r="AC443" s="470" t="n"/>
      <c r="AD443" s="470" t="n"/>
      <c r="AE443" s="470" t="n"/>
      <c r="AF443" s="470" t="n"/>
      <c r="AG443" s="470" t="n"/>
    </row>
    <row r="444">
      <c r="A444" s="710" t="n"/>
      <c r="B444" s="722" t="n">
        <v>24</v>
      </c>
      <c r="C444" s="423" t="n">
        <v>62</v>
      </c>
      <c r="D444" s="423" t="inlineStr">
        <is>
          <t>Soura Saraki</t>
        </is>
      </c>
      <c r="E444" s="420" t="inlineStr">
        <is>
          <t>Tibiri</t>
        </is>
      </c>
      <c r="F444" s="423" t="inlineStr">
        <is>
          <t>Intervention</t>
        </is>
      </c>
      <c r="G444" s="507" t="n">
        <v>2025</v>
      </c>
      <c r="H444" s="480" t="n">
        <v>2026</v>
      </c>
      <c r="I444" s="497" t="n">
        <v>1</v>
      </c>
      <c r="J444" s="509" t="inlineStr">
        <is>
          <t>NR</t>
        </is>
      </c>
      <c r="K444" s="497" t="n">
        <v>35</v>
      </c>
      <c r="L444" s="420" t="n">
        <v>2</v>
      </c>
      <c r="M444" s="497" t="inlineStr">
        <is>
          <t>NR</t>
        </is>
      </c>
      <c r="N444" s="497" t="inlineStr">
        <is>
          <t>NR</t>
        </is>
      </c>
      <c r="O444" s="497" t="inlineStr">
        <is>
          <t>NR</t>
        </is>
      </c>
      <c r="P444" s="497" t="inlineStr">
        <is>
          <t>NR</t>
        </is>
      </c>
      <c r="Q444" s="497" t="n">
        <v>2.4</v>
      </c>
      <c r="R444" s="497" t="inlineStr">
        <is>
          <t>NR</t>
        </is>
      </c>
      <c r="S444" s="497" t="n">
        <v>2.3</v>
      </c>
      <c r="T444" s="509" t="inlineStr">
        <is>
          <t>NR</t>
        </is>
      </c>
      <c r="U444" s="497" t="n">
        <v>0</v>
      </c>
      <c r="V444" s="470" t="n"/>
      <c r="W444" s="470" t="n"/>
      <c r="X444" s="470" t="n"/>
      <c r="Y444" s="470" t="n"/>
      <c r="Z444" s="470" t="n"/>
      <c r="AA444" s="470" t="n"/>
      <c r="AB444" s="470" t="n"/>
      <c r="AC444" s="470" t="n"/>
      <c r="AD444" s="470" t="n"/>
      <c r="AE444" s="470" t="n"/>
      <c r="AF444" s="470" t="n"/>
      <c r="AG444" s="470" t="n"/>
    </row>
    <row r="445">
      <c r="A445" s="706" t="n"/>
      <c r="B445" s="706" t="n"/>
      <c r="C445" s="423" t="n">
        <v>64</v>
      </c>
      <c r="D445" s="423" t="inlineStr">
        <is>
          <t>Garin Malam Hamza</t>
        </is>
      </c>
      <c r="E445" s="420" t="inlineStr">
        <is>
          <t>Tibiri</t>
        </is>
      </c>
      <c r="F445" s="423" t="inlineStr">
        <is>
          <t>Control</t>
        </is>
      </c>
      <c r="G445" s="507" t="n">
        <v>2025</v>
      </c>
      <c r="H445" s="480" t="n">
        <v>2026</v>
      </c>
      <c r="I445" s="423" t="n">
        <v>0</v>
      </c>
      <c r="J445" s="423" t="n">
        <v>0</v>
      </c>
      <c r="K445" s="423" t="n">
        <v>22</v>
      </c>
      <c r="L445" s="420" t="n">
        <v>0</v>
      </c>
      <c r="M445" s="509" t="inlineStr">
        <is>
          <t>NR</t>
        </is>
      </c>
      <c r="N445" s="509" t="inlineStr">
        <is>
          <t>NR</t>
        </is>
      </c>
      <c r="O445" s="509" t="inlineStr">
        <is>
          <t>NR</t>
        </is>
      </c>
      <c r="P445" s="509" t="inlineStr">
        <is>
          <t>NR</t>
        </is>
      </c>
      <c r="Q445" s="497" t="n">
        <v>1.7</v>
      </c>
      <c r="R445" s="497" t="inlineStr">
        <is>
          <t>NR</t>
        </is>
      </c>
      <c r="S445" s="497" t="n">
        <v>1.2</v>
      </c>
      <c r="T445" s="509" t="inlineStr">
        <is>
          <t>NR</t>
        </is>
      </c>
      <c r="U445" s="500" t="n">
        <v>0</v>
      </c>
      <c r="V445" s="470" t="n"/>
      <c r="W445" s="470" t="n"/>
      <c r="X445" s="470" t="n"/>
      <c r="Y445" s="470" t="n"/>
      <c r="Z445" s="470" t="n"/>
      <c r="AA445" s="470" t="n"/>
      <c r="AB445" s="470" t="n"/>
      <c r="AC445" s="470" t="n"/>
      <c r="AD445" s="470" t="n"/>
      <c r="AE445" s="470" t="n"/>
      <c r="AF445" s="470" t="n"/>
      <c r="AG445" s="470" t="n"/>
    </row>
    <row r="446">
      <c r="A446" s="724" t="inlineStr">
        <is>
          <t xml:space="preserve">Saé Saboua </t>
        </is>
      </c>
      <c r="B446" s="727" t="n">
        <v>25</v>
      </c>
      <c r="C446" s="273" t="n">
        <v>22</v>
      </c>
      <c r="D446" s="273" t="inlineStr">
        <is>
          <t>Barouana</t>
        </is>
      </c>
      <c r="E446" s="273" t="inlineStr">
        <is>
          <t>Sae Saboua</t>
        </is>
      </c>
      <c r="F446" s="273" t="inlineStr">
        <is>
          <t>Intervention</t>
        </is>
      </c>
      <c r="G446" s="470" t="n">
        <v>2025</v>
      </c>
      <c r="H446" s="471" t="n">
        <v>2026</v>
      </c>
      <c r="I446" s="470" t="n">
        <v>5</v>
      </c>
      <c r="J446" s="509" t="inlineStr">
        <is>
          <t>NR</t>
        </is>
      </c>
      <c r="K446" s="470" t="n">
        <v>29</v>
      </c>
      <c r="L446" s="470" t="n">
        <v>2</v>
      </c>
      <c r="M446" s="470" t="inlineStr">
        <is>
          <t>NR</t>
        </is>
      </c>
      <c r="N446" s="470" t="inlineStr">
        <is>
          <t>NR</t>
        </is>
      </c>
      <c r="O446" s="470" t="inlineStr">
        <is>
          <t>NR</t>
        </is>
      </c>
      <c r="P446" s="470" t="inlineStr">
        <is>
          <t>NR</t>
        </is>
      </c>
      <c r="Q446" s="470" t="n">
        <v>3</v>
      </c>
      <c r="R446" s="470" t="inlineStr">
        <is>
          <t>NR</t>
        </is>
      </c>
      <c r="S446" s="470" t="n">
        <v>2.9</v>
      </c>
      <c r="T446" s="509" t="inlineStr">
        <is>
          <t>NR</t>
        </is>
      </c>
      <c r="U446" s="470" t="n">
        <v>1</v>
      </c>
      <c r="V446" s="470" t="n"/>
      <c r="W446" s="470" t="n"/>
      <c r="X446" s="470" t="n"/>
      <c r="Y446" s="470" t="n"/>
      <c r="Z446" s="470" t="n"/>
      <c r="AA446" s="470" t="n"/>
      <c r="AB446" s="470" t="n"/>
      <c r="AC446" s="470" t="n"/>
      <c r="AD446" s="470" t="n"/>
      <c r="AE446" s="470" t="n"/>
      <c r="AF446" s="470" t="n"/>
      <c r="AG446" s="470" t="n"/>
    </row>
    <row r="447">
      <c r="A447" s="710" t="n"/>
      <c r="B447" s="706" t="n"/>
      <c r="C447" s="273" t="n">
        <v>88</v>
      </c>
      <c r="D447" s="273" t="inlineStr">
        <is>
          <t xml:space="preserve">Dan Gara </t>
        </is>
      </c>
      <c r="E447" s="273" t="inlineStr">
        <is>
          <t>Sae Saboua</t>
        </is>
      </c>
      <c r="F447" s="273" t="inlineStr">
        <is>
          <t>Control</t>
        </is>
      </c>
      <c r="G447" s="495" t="n">
        <v>2025</v>
      </c>
      <c r="H447" s="471" t="n">
        <v>2026</v>
      </c>
      <c r="I447" s="487" t="n">
        <v>0</v>
      </c>
      <c r="J447" s="487" t="n">
        <v>0</v>
      </c>
      <c r="K447" s="487" t="n">
        <v>38</v>
      </c>
      <c r="L447" s="470" t="n">
        <v>0</v>
      </c>
      <c r="M447" s="509" t="inlineStr">
        <is>
          <t>NR</t>
        </is>
      </c>
      <c r="N447" s="509" t="inlineStr">
        <is>
          <t>NR</t>
        </is>
      </c>
      <c r="O447" s="509" t="inlineStr">
        <is>
          <t>NR</t>
        </is>
      </c>
      <c r="P447" s="509" t="inlineStr">
        <is>
          <t>NR</t>
        </is>
      </c>
      <c r="Q447" s="470" t="n">
        <v>0.6</v>
      </c>
      <c r="R447" s="470" t="inlineStr">
        <is>
          <t>NR</t>
        </is>
      </c>
      <c r="S447" s="470" t="n">
        <v>0.6</v>
      </c>
      <c r="T447" s="509" t="inlineStr">
        <is>
          <t>NR</t>
        </is>
      </c>
      <c r="U447" s="494" t="n">
        <v>0</v>
      </c>
      <c r="V447" s="470" t="n"/>
      <c r="W447" s="470" t="n"/>
      <c r="X447" s="470" t="n"/>
      <c r="Y447" s="470" t="n"/>
      <c r="Z447" s="470" t="n"/>
      <c r="AA447" s="470" t="n"/>
      <c r="AB447" s="470" t="n"/>
      <c r="AC447" s="470" t="n"/>
      <c r="AD447" s="470" t="n"/>
      <c r="AE447" s="470" t="n"/>
      <c r="AF447" s="470" t="n"/>
      <c r="AG447" s="470" t="n"/>
    </row>
    <row r="448">
      <c r="A448" s="710" t="n"/>
      <c r="B448" s="722" t="n">
        <v>26</v>
      </c>
      <c r="C448" s="423" t="n">
        <v>17</v>
      </c>
      <c r="D448" s="423" t="inlineStr">
        <is>
          <t>Kadata</t>
        </is>
      </c>
      <c r="E448" s="423" t="inlineStr">
        <is>
          <t>Sae Saboua</t>
        </is>
      </c>
      <c r="F448" s="423" t="inlineStr">
        <is>
          <t>Intervention</t>
        </is>
      </c>
      <c r="G448" s="507" t="n">
        <v>2025</v>
      </c>
      <c r="H448" s="480" t="n">
        <v>2026</v>
      </c>
      <c r="I448" s="497" t="n">
        <v>5</v>
      </c>
      <c r="J448" s="509" t="inlineStr">
        <is>
          <t>NR</t>
        </is>
      </c>
      <c r="K448" s="497" t="n">
        <v>27</v>
      </c>
      <c r="L448" s="420" t="n">
        <v>2</v>
      </c>
      <c r="M448" s="497" t="inlineStr">
        <is>
          <t>NR</t>
        </is>
      </c>
      <c r="N448" s="497" t="inlineStr">
        <is>
          <t>NR</t>
        </is>
      </c>
      <c r="O448" s="497" t="inlineStr">
        <is>
          <t>NR</t>
        </is>
      </c>
      <c r="P448" s="497" t="inlineStr">
        <is>
          <t>NR</t>
        </is>
      </c>
      <c r="Q448" s="497" t="n">
        <v>2.8</v>
      </c>
      <c r="R448" s="497" t="inlineStr">
        <is>
          <t>NR</t>
        </is>
      </c>
      <c r="S448" s="497" t="n">
        <v>2.9</v>
      </c>
      <c r="T448" s="509" t="inlineStr">
        <is>
          <t>NR</t>
        </is>
      </c>
      <c r="U448" s="497" t="n">
        <v>2</v>
      </c>
      <c r="V448" s="470" t="n"/>
      <c r="W448" s="470" t="n"/>
      <c r="X448" s="470" t="n"/>
      <c r="Y448" s="470" t="n"/>
      <c r="Z448" s="470" t="n"/>
      <c r="AA448" s="470" t="n"/>
      <c r="AB448" s="470" t="n"/>
      <c r="AC448" s="470" t="n"/>
      <c r="AD448" s="470" t="n"/>
      <c r="AE448" s="470" t="n"/>
      <c r="AF448" s="470" t="n"/>
      <c r="AG448" s="470" t="n"/>
    </row>
    <row r="449">
      <c r="A449" s="710" t="n"/>
      <c r="B449" s="706" t="n"/>
      <c r="C449" s="423" t="n"/>
      <c r="D449" s="423" t="inlineStr">
        <is>
          <t xml:space="preserve">Karhin Hali </t>
        </is>
      </c>
      <c r="E449" s="423" t="inlineStr">
        <is>
          <t>Sae Saboua</t>
        </is>
      </c>
      <c r="F449" s="423" t="inlineStr">
        <is>
          <t>Control</t>
        </is>
      </c>
      <c r="G449" s="507" t="n">
        <v>2025</v>
      </c>
      <c r="H449" s="480" t="n">
        <v>2026</v>
      </c>
      <c r="I449" s="423" t="n">
        <v>0</v>
      </c>
      <c r="J449" s="423" t="n">
        <v>0</v>
      </c>
      <c r="K449" s="423" t="n">
        <v>22</v>
      </c>
      <c r="L449" s="420" t="n">
        <v>0</v>
      </c>
      <c r="M449" s="509" t="inlineStr">
        <is>
          <t>NR</t>
        </is>
      </c>
      <c r="N449" s="509" t="inlineStr">
        <is>
          <t>NR</t>
        </is>
      </c>
      <c r="O449" s="509" t="inlineStr">
        <is>
          <t>NR</t>
        </is>
      </c>
      <c r="P449" s="509" t="inlineStr">
        <is>
          <t>NR</t>
        </is>
      </c>
      <c r="Q449" s="497" t="n">
        <v>0.2</v>
      </c>
      <c r="R449" s="497" t="inlineStr">
        <is>
          <t>NR</t>
        </is>
      </c>
      <c r="S449" s="497" t="n">
        <v>0.9</v>
      </c>
      <c r="T449" s="509" t="inlineStr">
        <is>
          <t>NR</t>
        </is>
      </c>
      <c r="U449" s="500" t="n">
        <v>0</v>
      </c>
      <c r="V449" s="470" t="n"/>
      <c r="W449" s="470" t="n"/>
      <c r="X449" s="470" t="n"/>
      <c r="Y449" s="470" t="n"/>
      <c r="Z449" s="470" t="n"/>
      <c r="AA449" s="470" t="n"/>
      <c r="AB449" s="470" t="n"/>
      <c r="AC449" s="470" t="n"/>
      <c r="AD449" s="470" t="n"/>
      <c r="AE449" s="470" t="n"/>
      <c r="AF449" s="470" t="n"/>
      <c r="AG449" s="470" t="n"/>
    </row>
    <row r="450">
      <c r="A450" s="710" t="n"/>
      <c r="B450" s="727" t="n">
        <v>27</v>
      </c>
      <c r="C450" s="273" t="n"/>
      <c r="D450" s="487" t="inlineStr">
        <is>
          <t>Dan Gamji</t>
        </is>
      </c>
      <c r="E450" s="273" t="inlineStr">
        <is>
          <t>Sae Saboua</t>
        </is>
      </c>
      <c r="F450" s="273" t="inlineStr">
        <is>
          <t>Intervention</t>
        </is>
      </c>
      <c r="G450" s="470" t="n">
        <v>2025</v>
      </c>
      <c r="H450" s="471" t="n">
        <v>2026</v>
      </c>
      <c r="I450" s="470" t="n">
        <v>3</v>
      </c>
      <c r="J450" s="509" t="inlineStr">
        <is>
          <t>NR</t>
        </is>
      </c>
      <c r="K450" s="470" t="n">
        <v>31</v>
      </c>
      <c r="L450" s="470" t="n">
        <v>3</v>
      </c>
      <c r="M450" s="470" t="inlineStr">
        <is>
          <t>NR</t>
        </is>
      </c>
      <c r="N450" s="470" t="inlineStr">
        <is>
          <t>NR</t>
        </is>
      </c>
      <c r="O450" s="470" t="inlineStr">
        <is>
          <t>NR</t>
        </is>
      </c>
      <c r="P450" s="470" t="inlineStr">
        <is>
          <t>NR</t>
        </is>
      </c>
      <c r="Q450" s="470" t="n">
        <v>2.9</v>
      </c>
      <c r="R450" s="470" t="inlineStr">
        <is>
          <t>NR</t>
        </is>
      </c>
      <c r="S450" s="470" t="n">
        <v>2.9</v>
      </c>
      <c r="T450" s="509" t="inlineStr">
        <is>
          <t>NR</t>
        </is>
      </c>
      <c r="U450" s="470" t="n">
        <v>0</v>
      </c>
      <c r="V450" s="470" t="n"/>
      <c r="W450" s="470" t="n"/>
      <c r="X450" s="470" t="n"/>
      <c r="Y450" s="470" t="n"/>
      <c r="Z450" s="470" t="n"/>
      <c r="AA450" s="470" t="n"/>
      <c r="AB450" s="470" t="n"/>
      <c r="AC450" s="470" t="n"/>
      <c r="AD450" s="470" t="n"/>
      <c r="AE450" s="470" t="n"/>
      <c r="AF450" s="470" t="n"/>
      <c r="AG450" s="470" t="n"/>
    </row>
    <row r="451">
      <c r="A451" s="710" t="n"/>
      <c r="B451" s="706" t="n"/>
      <c r="C451" s="273" t="n"/>
      <c r="D451" s="487" t="inlineStr">
        <is>
          <t>Dan Bako</t>
        </is>
      </c>
      <c r="E451" s="273" t="inlineStr">
        <is>
          <t>Sae Saboua</t>
        </is>
      </c>
      <c r="F451" s="273" t="inlineStr">
        <is>
          <t>Control</t>
        </is>
      </c>
      <c r="G451" s="495" t="n">
        <v>2025</v>
      </c>
      <c r="H451" s="471" t="n">
        <v>2026</v>
      </c>
      <c r="I451" s="487" t="n">
        <v>0</v>
      </c>
      <c r="J451" s="509" t="inlineStr">
        <is>
          <t>NR</t>
        </is>
      </c>
      <c r="K451" s="470" t="n">
        <v>28</v>
      </c>
      <c r="L451" s="470" t="n">
        <v>0</v>
      </c>
      <c r="M451" s="470" t="inlineStr">
        <is>
          <t>NR</t>
        </is>
      </c>
      <c r="N451" s="470" t="inlineStr">
        <is>
          <t>NR</t>
        </is>
      </c>
      <c r="O451" s="470" t="inlineStr">
        <is>
          <t>NR</t>
        </is>
      </c>
      <c r="P451" s="470" t="inlineStr">
        <is>
          <t>NR</t>
        </is>
      </c>
      <c r="Q451" s="470" t="n">
        <v>0.9</v>
      </c>
      <c r="R451" s="470" t="inlineStr">
        <is>
          <t>NR</t>
        </is>
      </c>
      <c r="S451" s="470" t="n">
        <v>1</v>
      </c>
      <c r="T451" s="509" t="inlineStr">
        <is>
          <t>NR</t>
        </is>
      </c>
      <c r="U451" s="494" t="n">
        <v>0</v>
      </c>
      <c r="V451" s="470" t="n"/>
      <c r="W451" s="470" t="n"/>
      <c r="X451" s="470" t="n"/>
      <c r="Y451" s="470" t="n"/>
      <c r="Z451" s="470" t="n"/>
      <c r="AA451" s="470" t="n"/>
      <c r="AB451" s="470" t="n"/>
      <c r="AC451" s="470" t="n"/>
      <c r="AD451" s="470" t="n"/>
      <c r="AE451" s="470" t="n"/>
      <c r="AF451" s="470" t="n"/>
      <c r="AG451" s="470" t="n"/>
    </row>
    <row r="452">
      <c r="A452" s="710" t="n"/>
      <c r="B452" s="722" t="n">
        <v>28</v>
      </c>
      <c r="C452" s="423" t="n">
        <v>15</v>
      </c>
      <c r="D452" s="423" t="inlineStr">
        <is>
          <t>Louloubi</t>
        </is>
      </c>
      <c r="E452" s="423" t="inlineStr">
        <is>
          <t>Sae Saboua</t>
        </is>
      </c>
      <c r="F452" s="423" t="inlineStr">
        <is>
          <t>Intervention</t>
        </is>
      </c>
      <c r="G452" s="507" t="n">
        <v>2025</v>
      </c>
      <c r="H452" s="480" t="n">
        <v>2026</v>
      </c>
      <c r="I452" s="497" t="n">
        <v>4</v>
      </c>
      <c r="J452" s="509" t="inlineStr">
        <is>
          <t>NR</t>
        </is>
      </c>
      <c r="K452" s="497" t="n">
        <v>16</v>
      </c>
      <c r="L452" s="420" t="n">
        <v>2</v>
      </c>
      <c r="M452" s="497" t="inlineStr">
        <is>
          <t>NR</t>
        </is>
      </c>
      <c r="N452" s="497" t="inlineStr">
        <is>
          <t>NR</t>
        </is>
      </c>
      <c r="O452" s="497" t="inlineStr">
        <is>
          <t>NR</t>
        </is>
      </c>
      <c r="P452" s="497" t="inlineStr">
        <is>
          <t>NR</t>
        </is>
      </c>
      <c r="Q452" s="497" t="n">
        <v>3</v>
      </c>
      <c r="R452" s="497" t="inlineStr">
        <is>
          <t>NR</t>
        </is>
      </c>
      <c r="S452" s="497" t="n">
        <v>3.6</v>
      </c>
      <c r="T452" s="509" t="inlineStr">
        <is>
          <t>NR</t>
        </is>
      </c>
      <c r="U452" s="497" t="n">
        <v>2</v>
      </c>
      <c r="V452" s="470" t="n"/>
      <c r="W452" s="470" t="n"/>
      <c r="X452" s="470" t="n"/>
      <c r="Y452" s="470" t="n"/>
      <c r="Z452" s="470" t="n"/>
      <c r="AA452" s="470" t="n"/>
      <c r="AB452" s="470" t="n"/>
      <c r="AC452" s="470" t="n"/>
      <c r="AD452" s="470" t="n"/>
      <c r="AE452" s="470" t="n"/>
      <c r="AF452" s="470" t="n"/>
      <c r="AG452" s="470" t="n"/>
    </row>
    <row r="453">
      <c r="A453" s="710" t="n"/>
      <c r="B453" s="706" t="n"/>
      <c r="C453" s="423" t="n">
        <v>98</v>
      </c>
      <c r="D453" s="423" t="inlineStr">
        <is>
          <t>Karambi Saboua</t>
        </is>
      </c>
      <c r="E453" s="423" t="inlineStr">
        <is>
          <t>Sae Saboua</t>
        </is>
      </c>
      <c r="F453" s="423" t="inlineStr">
        <is>
          <t>Control</t>
        </is>
      </c>
      <c r="G453" s="507" t="n">
        <v>2025</v>
      </c>
      <c r="H453" s="480" t="n">
        <v>2026</v>
      </c>
      <c r="I453" s="423" t="n">
        <v>0</v>
      </c>
      <c r="J453" s="423" t="n">
        <v>0</v>
      </c>
      <c r="K453" s="423" t="n">
        <v>27</v>
      </c>
      <c r="L453" s="420" t="n">
        <v>0</v>
      </c>
      <c r="M453" s="509" t="inlineStr">
        <is>
          <t>NR</t>
        </is>
      </c>
      <c r="N453" s="509" t="inlineStr">
        <is>
          <t>NR</t>
        </is>
      </c>
      <c r="O453" s="509" t="inlineStr">
        <is>
          <t>NR</t>
        </is>
      </c>
      <c r="P453" s="509" t="inlineStr">
        <is>
          <t>NR</t>
        </is>
      </c>
      <c r="Q453" s="497" t="n">
        <v>1.6</v>
      </c>
      <c r="R453" s="497" t="inlineStr">
        <is>
          <t>NR</t>
        </is>
      </c>
      <c r="S453" s="497" t="n">
        <v>2.6</v>
      </c>
      <c r="T453" s="509" t="inlineStr">
        <is>
          <t>NR</t>
        </is>
      </c>
      <c r="U453" s="500" t="n">
        <v>0</v>
      </c>
      <c r="V453" s="470" t="n"/>
      <c r="W453" s="470" t="n"/>
      <c r="X453" s="470" t="n"/>
      <c r="Y453" s="470" t="n"/>
      <c r="Z453" s="470" t="n"/>
      <c r="AA453" s="470" t="n"/>
      <c r="AB453" s="470" t="n"/>
      <c r="AC453" s="470" t="n"/>
      <c r="AD453" s="470" t="n"/>
      <c r="AE453" s="470" t="n"/>
      <c r="AF453" s="470" t="n"/>
      <c r="AG453" s="470" t="n"/>
    </row>
    <row r="454">
      <c r="A454" s="710" t="n"/>
      <c r="B454" s="727" t="n">
        <v>29</v>
      </c>
      <c r="C454" s="273" t="n">
        <v>21</v>
      </c>
      <c r="D454" s="273" t="inlineStr">
        <is>
          <t>Malloumai Saboua</t>
        </is>
      </c>
      <c r="E454" s="273" t="inlineStr">
        <is>
          <t>Sae Saboua</t>
        </is>
      </c>
      <c r="F454" s="273" t="inlineStr">
        <is>
          <t>Intervention</t>
        </is>
      </c>
      <c r="G454" s="470" t="n">
        <v>2025</v>
      </c>
      <c r="H454" s="471" t="n">
        <v>2026</v>
      </c>
      <c r="I454" s="470" t="n">
        <v>4</v>
      </c>
      <c r="J454" s="509" t="inlineStr">
        <is>
          <t>NR</t>
        </is>
      </c>
      <c r="K454" s="470" t="n">
        <v>46</v>
      </c>
      <c r="L454" s="470" t="n">
        <v>2</v>
      </c>
      <c r="M454" s="470" t="inlineStr">
        <is>
          <t>NR</t>
        </is>
      </c>
      <c r="N454" s="470" t="inlineStr">
        <is>
          <t>NR</t>
        </is>
      </c>
      <c r="O454" s="470" t="inlineStr">
        <is>
          <t>NR</t>
        </is>
      </c>
      <c r="P454" s="470" t="inlineStr">
        <is>
          <t>NR</t>
        </is>
      </c>
      <c r="Q454" s="470" t="n">
        <v>3</v>
      </c>
      <c r="R454" s="470" t="inlineStr">
        <is>
          <t>NR</t>
        </is>
      </c>
      <c r="S454" s="470" t="n">
        <v>3.5</v>
      </c>
      <c r="T454" s="509" t="inlineStr">
        <is>
          <t>NR</t>
        </is>
      </c>
      <c r="U454" s="470" t="n">
        <v>1</v>
      </c>
      <c r="V454" s="470" t="n"/>
      <c r="W454" s="470" t="n"/>
      <c r="X454" s="470" t="n"/>
      <c r="Y454" s="470" t="n"/>
      <c r="Z454" s="470" t="n"/>
      <c r="AA454" s="470" t="n"/>
      <c r="AB454" s="470" t="n"/>
      <c r="AC454" s="470" t="n"/>
      <c r="AD454" s="470" t="n"/>
      <c r="AE454" s="470" t="n"/>
      <c r="AF454" s="470" t="n"/>
      <c r="AG454" s="470" t="n"/>
    </row>
    <row r="455">
      <c r="A455" s="710" t="n"/>
      <c r="B455" s="706" t="n"/>
      <c r="C455" s="273" t="n">
        <v>91</v>
      </c>
      <c r="D455" s="273" t="inlineStr">
        <is>
          <t>Yan Doto Garin Malam</t>
        </is>
      </c>
      <c r="E455" s="273" t="inlineStr">
        <is>
          <t>Sae Saboua</t>
        </is>
      </c>
      <c r="F455" s="273" t="inlineStr">
        <is>
          <t>Control</t>
        </is>
      </c>
      <c r="G455" s="495" t="n">
        <v>2025</v>
      </c>
      <c r="H455" s="471" t="n">
        <v>2026</v>
      </c>
      <c r="I455" s="487" t="n">
        <v>0</v>
      </c>
      <c r="J455" s="487" t="n">
        <v>0</v>
      </c>
      <c r="K455" s="487" t="n">
        <v>32</v>
      </c>
      <c r="L455" s="470" t="n">
        <v>0</v>
      </c>
      <c r="M455" s="509" t="inlineStr">
        <is>
          <t>NR</t>
        </is>
      </c>
      <c r="N455" s="509" t="inlineStr">
        <is>
          <t>NR</t>
        </is>
      </c>
      <c r="O455" s="509" t="inlineStr">
        <is>
          <t>NR</t>
        </is>
      </c>
      <c r="P455" s="509" t="inlineStr">
        <is>
          <t>NR</t>
        </is>
      </c>
      <c r="Q455" s="470" t="n">
        <v>0.4</v>
      </c>
      <c r="R455" s="470" t="inlineStr">
        <is>
          <t>NR</t>
        </is>
      </c>
      <c r="S455" s="470" t="n">
        <v>0.6</v>
      </c>
      <c r="T455" s="509" t="inlineStr">
        <is>
          <t>NR</t>
        </is>
      </c>
      <c r="U455" s="494" t="n">
        <v>0</v>
      </c>
      <c r="V455" s="470" t="n"/>
      <c r="W455" s="470" t="n"/>
      <c r="X455" s="470" t="n"/>
      <c r="Y455" s="470" t="n"/>
      <c r="Z455" s="470" t="n"/>
      <c r="AA455" s="470" t="n"/>
      <c r="AB455" s="470" t="n"/>
      <c r="AC455" s="470" t="n"/>
      <c r="AD455" s="470" t="n"/>
      <c r="AE455" s="470" t="n"/>
      <c r="AF455" s="470" t="n"/>
      <c r="AG455" s="470" t="n"/>
    </row>
    <row r="456">
      <c r="A456" s="710" t="n"/>
      <c r="B456" s="722" t="n">
        <v>30</v>
      </c>
      <c r="C456" s="423" t="n">
        <v>24</v>
      </c>
      <c r="D456" s="423" t="inlineStr">
        <is>
          <t>Mountarou Bermo</t>
        </is>
      </c>
      <c r="E456" s="423" t="inlineStr">
        <is>
          <t>Sae Saboua</t>
        </is>
      </c>
      <c r="F456" s="423" t="inlineStr">
        <is>
          <t>Intervention</t>
        </is>
      </c>
      <c r="G456" s="507" t="n">
        <v>2025</v>
      </c>
      <c r="H456" s="480" t="n">
        <v>2026</v>
      </c>
      <c r="I456" s="497" t="n">
        <v>3</v>
      </c>
      <c r="J456" s="509" t="inlineStr">
        <is>
          <t>NR</t>
        </is>
      </c>
      <c r="K456" s="497" t="n">
        <v>20</v>
      </c>
      <c r="L456" s="420" t="n">
        <v>2</v>
      </c>
      <c r="M456" s="497" t="inlineStr">
        <is>
          <t>NR</t>
        </is>
      </c>
      <c r="N456" s="497" t="inlineStr">
        <is>
          <t>NR</t>
        </is>
      </c>
      <c r="O456" s="497" t="inlineStr">
        <is>
          <t>NR</t>
        </is>
      </c>
      <c r="P456" s="497" t="inlineStr">
        <is>
          <t>NR</t>
        </is>
      </c>
      <c r="Q456" s="497" t="n">
        <v>2.8</v>
      </c>
      <c r="R456" s="497" t="inlineStr">
        <is>
          <t>NR</t>
        </is>
      </c>
      <c r="S456" s="497" t="n">
        <v>2.9</v>
      </c>
      <c r="T456" s="509" t="inlineStr">
        <is>
          <t>NR</t>
        </is>
      </c>
      <c r="U456" s="497" t="n">
        <v>2</v>
      </c>
      <c r="V456" s="470" t="n"/>
      <c r="W456" s="470" t="n"/>
      <c r="X456" s="470" t="n"/>
      <c r="Y456" s="470" t="n"/>
      <c r="Z456" s="470" t="n"/>
      <c r="AA456" s="470" t="n"/>
      <c r="AB456" s="470" t="n"/>
      <c r="AC456" s="470" t="n"/>
      <c r="AD456" s="470" t="n"/>
      <c r="AE456" s="470" t="n"/>
      <c r="AF456" s="470" t="n"/>
      <c r="AG456" s="470" t="n"/>
    </row>
    <row r="457">
      <c r="A457" s="710" t="n"/>
      <c r="B457" s="706" t="n"/>
      <c r="C457" s="423" t="n">
        <v>90</v>
      </c>
      <c r="D457" s="423" t="inlineStr">
        <is>
          <t>Alssaoua</t>
        </is>
      </c>
      <c r="E457" s="423" t="inlineStr">
        <is>
          <t>Sae Saboua</t>
        </is>
      </c>
      <c r="F457" s="423" t="inlineStr">
        <is>
          <t>Control</t>
        </is>
      </c>
      <c r="G457" s="507" t="n">
        <v>2025</v>
      </c>
      <c r="H457" s="480" t="n">
        <v>2026</v>
      </c>
      <c r="I457" s="423" t="n">
        <v>0</v>
      </c>
      <c r="J457" s="423" t="n">
        <v>0</v>
      </c>
      <c r="K457" s="423" t="n">
        <v>19</v>
      </c>
      <c r="L457" s="420" t="n">
        <v>0</v>
      </c>
      <c r="M457" s="509" t="inlineStr">
        <is>
          <t>NR</t>
        </is>
      </c>
      <c r="N457" s="509" t="inlineStr">
        <is>
          <t>NR</t>
        </is>
      </c>
      <c r="O457" s="509" t="inlineStr">
        <is>
          <t>NR</t>
        </is>
      </c>
      <c r="P457" s="509" t="inlineStr">
        <is>
          <t>NR</t>
        </is>
      </c>
      <c r="Q457" s="497" t="n">
        <v>0.7</v>
      </c>
      <c r="R457" s="497" t="inlineStr">
        <is>
          <t>NR</t>
        </is>
      </c>
      <c r="S457" s="497" t="n">
        <v>1</v>
      </c>
      <c r="T457" s="509" t="inlineStr">
        <is>
          <t>NR</t>
        </is>
      </c>
      <c r="U457" s="500" t="n">
        <v>0</v>
      </c>
      <c r="V457" s="470" t="n"/>
      <c r="W457" s="470" t="n"/>
      <c r="X457" s="470" t="n"/>
      <c r="Y457" s="470" t="n"/>
      <c r="Z457" s="470" t="n"/>
      <c r="AA457" s="470" t="n"/>
      <c r="AB457" s="470" t="n"/>
      <c r="AC457" s="470" t="n"/>
      <c r="AD457" s="470" t="n"/>
      <c r="AE457" s="470" t="n"/>
      <c r="AF457" s="470" t="n"/>
      <c r="AG457" s="470" t="n"/>
    </row>
    <row r="458">
      <c r="A458" s="710" t="n"/>
      <c r="B458" s="727" t="n">
        <v>31</v>
      </c>
      <c r="C458" s="273" t="n">
        <v>20</v>
      </c>
      <c r="D458" s="273" t="inlineStr">
        <is>
          <t>Sae Saboua</t>
        </is>
      </c>
      <c r="E458" s="273" t="inlineStr">
        <is>
          <t>Sae Saboua</t>
        </is>
      </c>
      <c r="F458" s="273" t="inlineStr">
        <is>
          <t>Intervention</t>
        </is>
      </c>
      <c r="G458" s="470" t="n">
        <v>2025</v>
      </c>
      <c r="H458" s="471" t="n">
        <v>2026</v>
      </c>
      <c r="I458" s="470" t="n">
        <v>3</v>
      </c>
      <c r="J458" s="509" t="inlineStr">
        <is>
          <t>NR</t>
        </is>
      </c>
      <c r="K458" s="470" t="n">
        <v>74</v>
      </c>
      <c r="L458" s="470" t="n">
        <v>2</v>
      </c>
      <c r="M458" s="470" t="inlineStr">
        <is>
          <t>NR</t>
        </is>
      </c>
      <c r="N458" s="470" t="inlineStr">
        <is>
          <t>NR</t>
        </is>
      </c>
      <c r="O458" s="470" t="inlineStr">
        <is>
          <t>NR</t>
        </is>
      </c>
      <c r="P458" s="470" t="inlineStr">
        <is>
          <t>NR</t>
        </is>
      </c>
      <c r="Q458" s="470" t="n">
        <v>3.1</v>
      </c>
      <c r="R458" s="470" t="inlineStr">
        <is>
          <t>NR</t>
        </is>
      </c>
      <c r="S458" s="470" t="n">
        <v>3.3</v>
      </c>
      <c r="T458" s="509" t="inlineStr">
        <is>
          <t>NR</t>
        </is>
      </c>
      <c r="U458" s="470" t="n">
        <v>1</v>
      </c>
      <c r="V458" s="470" t="n"/>
      <c r="W458" s="470" t="n"/>
      <c r="X458" s="470" t="n"/>
      <c r="Y458" s="470" t="n"/>
      <c r="Z458" s="470" t="n"/>
      <c r="AA458" s="470" t="n"/>
      <c r="AB458" s="470" t="n"/>
      <c r="AC458" s="470" t="n"/>
      <c r="AD458" s="470" t="n"/>
      <c r="AE458" s="470" t="n"/>
      <c r="AF458" s="470" t="n"/>
      <c r="AG458" s="470" t="n"/>
    </row>
    <row r="459">
      <c r="A459" s="710" t="n"/>
      <c r="B459" s="706" t="n"/>
      <c r="C459" s="273" t="n">
        <v>93</v>
      </c>
      <c r="D459" s="273" t="inlineStr">
        <is>
          <t>Malloumai Salifou</t>
        </is>
      </c>
      <c r="E459" s="273" t="inlineStr">
        <is>
          <t>Sae Saboua</t>
        </is>
      </c>
      <c r="F459" s="273" t="inlineStr">
        <is>
          <t>Control</t>
        </is>
      </c>
      <c r="G459" s="495" t="n">
        <v>2025</v>
      </c>
      <c r="H459" s="471" t="n">
        <v>2026</v>
      </c>
      <c r="I459" s="487" t="n">
        <v>0</v>
      </c>
      <c r="J459" s="487" t="n">
        <v>0</v>
      </c>
      <c r="K459" s="487" t="n">
        <v>38</v>
      </c>
      <c r="L459" s="470" t="n">
        <v>0</v>
      </c>
      <c r="M459" s="509" t="inlineStr">
        <is>
          <t>NR</t>
        </is>
      </c>
      <c r="N459" s="509" t="inlineStr">
        <is>
          <t>NR</t>
        </is>
      </c>
      <c r="O459" s="509" t="inlineStr">
        <is>
          <t>NR</t>
        </is>
      </c>
      <c r="P459" s="509" t="inlineStr">
        <is>
          <t>NR</t>
        </is>
      </c>
      <c r="Q459" s="470" t="n">
        <v>0.8</v>
      </c>
      <c r="R459" s="470" t="inlineStr">
        <is>
          <t>NR</t>
        </is>
      </c>
      <c r="S459" s="470" t="n">
        <v>1.1</v>
      </c>
      <c r="T459" s="509" t="inlineStr">
        <is>
          <t>NR</t>
        </is>
      </c>
      <c r="U459" s="494" t="n">
        <v>0</v>
      </c>
      <c r="V459" s="470" t="n"/>
      <c r="W459" s="470" t="n"/>
      <c r="X459" s="470" t="n"/>
      <c r="Y459" s="470" t="n"/>
      <c r="Z459" s="470" t="n"/>
      <c r="AA459" s="470" t="n"/>
      <c r="AB459" s="470" t="n"/>
      <c r="AC459" s="470" t="n"/>
      <c r="AD459" s="470" t="n"/>
      <c r="AE459" s="470" t="n"/>
      <c r="AF459" s="470" t="n"/>
      <c r="AG459" s="470" t="n"/>
    </row>
    <row r="460">
      <c r="A460" s="710" t="n"/>
      <c r="B460" s="722" t="n">
        <v>32</v>
      </c>
      <c r="C460" s="423" t="n">
        <v>23</v>
      </c>
      <c r="D460" s="423" t="inlineStr">
        <is>
          <t>Oubandawaki Alfacha</t>
        </is>
      </c>
      <c r="E460" s="423" t="inlineStr">
        <is>
          <t>Sae Saboua</t>
        </is>
      </c>
      <c r="F460" s="423" t="inlineStr">
        <is>
          <t>Intervention</t>
        </is>
      </c>
      <c r="G460" s="507" t="n">
        <v>2025</v>
      </c>
      <c r="H460" s="480" t="n">
        <v>2026</v>
      </c>
      <c r="I460" s="497" t="n">
        <v>4</v>
      </c>
      <c r="J460" s="509" t="inlineStr">
        <is>
          <t>NR</t>
        </is>
      </c>
      <c r="K460" s="497" t="n">
        <v>34</v>
      </c>
      <c r="L460" s="420" t="n">
        <v>2</v>
      </c>
      <c r="M460" s="497" t="inlineStr">
        <is>
          <t>NR</t>
        </is>
      </c>
      <c r="N460" s="497" t="inlineStr">
        <is>
          <t>NR</t>
        </is>
      </c>
      <c r="O460" s="497" t="inlineStr">
        <is>
          <t>NR</t>
        </is>
      </c>
      <c r="P460" s="497" t="inlineStr">
        <is>
          <t>NR</t>
        </is>
      </c>
      <c r="Q460" s="497" t="n">
        <v>2.5</v>
      </c>
      <c r="R460" s="497" t="inlineStr">
        <is>
          <t>NR</t>
        </is>
      </c>
      <c r="S460" s="497" t="n">
        <v>2.6</v>
      </c>
      <c r="T460" s="509" t="inlineStr">
        <is>
          <t>NR</t>
        </is>
      </c>
      <c r="U460" s="497" t="n">
        <v>0</v>
      </c>
      <c r="V460" s="470" t="n"/>
      <c r="W460" s="470" t="n"/>
      <c r="X460" s="470" t="n"/>
      <c r="Y460" s="470" t="n"/>
      <c r="Z460" s="470" t="n"/>
      <c r="AA460" s="470" t="n"/>
      <c r="AB460" s="470" t="n"/>
      <c r="AC460" s="470" t="n"/>
      <c r="AD460" s="470" t="n"/>
      <c r="AE460" s="470" t="n"/>
      <c r="AF460" s="470" t="n"/>
      <c r="AG460" s="470" t="n"/>
    </row>
    <row r="461">
      <c r="A461" s="710" t="n"/>
      <c r="B461" s="706" t="n"/>
      <c r="C461" s="423" t="n">
        <v>94</v>
      </c>
      <c r="D461" s="423" t="inlineStr">
        <is>
          <t>Karambi Tsofoua</t>
        </is>
      </c>
      <c r="E461" s="423" t="inlineStr">
        <is>
          <t>Sae Saboua</t>
        </is>
      </c>
      <c r="F461" s="423" t="inlineStr">
        <is>
          <t>Control</t>
        </is>
      </c>
      <c r="G461" s="507" t="n">
        <v>2025</v>
      </c>
      <c r="H461" s="480" t="n">
        <v>2026</v>
      </c>
      <c r="I461" s="423" t="n">
        <v>0</v>
      </c>
      <c r="J461" s="423" t="n">
        <v>0</v>
      </c>
      <c r="K461" s="423" t="n">
        <v>25</v>
      </c>
      <c r="L461" s="420" t="n">
        <v>0</v>
      </c>
      <c r="M461" s="509" t="inlineStr">
        <is>
          <t>NR</t>
        </is>
      </c>
      <c r="N461" s="509" t="inlineStr">
        <is>
          <t>NR</t>
        </is>
      </c>
      <c r="O461" s="509" t="inlineStr">
        <is>
          <t>NR</t>
        </is>
      </c>
      <c r="P461" s="509" t="inlineStr">
        <is>
          <t>NR</t>
        </is>
      </c>
      <c r="Q461" s="497" t="n">
        <v>0.6</v>
      </c>
      <c r="R461" s="497" t="inlineStr">
        <is>
          <t>NR</t>
        </is>
      </c>
      <c r="S461" s="497" t="n">
        <v>0.8</v>
      </c>
      <c r="T461" s="509" t="inlineStr">
        <is>
          <t>NR</t>
        </is>
      </c>
      <c r="U461" s="500" t="n">
        <v>0</v>
      </c>
      <c r="V461" s="470" t="n"/>
      <c r="W461" s="470" t="n"/>
      <c r="X461" s="470" t="n"/>
      <c r="Y461" s="470" t="n"/>
      <c r="Z461" s="470" t="n"/>
      <c r="AA461" s="470" t="n"/>
      <c r="AB461" s="470" t="n"/>
      <c r="AC461" s="470" t="n"/>
      <c r="AD461" s="470" t="n"/>
      <c r="AE461" s="470" t="n"/>
      <c r="AF461" s="470" t="n"/>
      <c r="AG461" s="470" t="n"/>
    </row>
    <row r="462">
      <c r="A462" s="710" t="n"/>
      <c r="B462" s="727" t="n">
        <v>33</v>
      </c>
      <c r="C462" s="273" t="n">
        <v>14</v>
      </c>
      <c r="D462" s="273" t="inlineStr">
        <is>
          <t>Tagaza</t>
        </is>
      </c>
      <c r="E462" s="273" t="inlineStr">
        <is>
          <t>Sae Saboua</t>
        </is>
      </c>
      <c r="F462" s="273" t="inlineStr">
        <is>
          <t>Intervention</t>
        </is>
      </c>
      <c r="G462" s="470" t="n">
        <v>2025</v>
      </c>
      <c r="H462" s="471" t="n">
        <v>2026</v>
      </c>
      <c r="I462" s="470" t="n">
        <v>3</v>
      </c>
      <c r="J462" s="509" t="inlineStr">
        <is>
          <t>NR</t>
        </is>
      </c>
      <c r="K462" s="470" t="n">
        <v>21</v>
      </c>
      <c r="L462" s="470" t="n">
        <v>2</v>
      </c>
      <c r="M462" s="470" t="inlineStr">
        <is>
          <t>NR</t>
        </is>
      </c>
      <c r="N462" s="470" t="inlineStr">
        <is>
          <t>NR</t>
        </is>
      </c>
      <c r="O462" s="470" t="inlineStr">
        <is>
          <t>NR</t>
        </is>
      </c>
      <c r="P462" s="470" t="inlineStr">
        <is>
          <t>NR</t>
        </is>
      </c>
      <c r="Q462" s="470" t="n">
        <v>2.8</v>
      </c>
      <c r="R462" s="470" t="inlineStr">
        <is>
          <t>NR</t>
        </is>
      </c>
      <c r="S462" s="470" t="n">
        <v>2.9</v>
      </c>
      <c r="T462" s="509" t="inlineStr">
        <is>
          <t>NR</t>
        </is>
      </c>
      <c r="U462" s="470" t="n">
        <v>0</v>
      </c>
      <c r="V462" s="470" t="n"/>
      <c r="W462" s="470" t="n"/>
      <c r="X462" s="470" t="n"/>
      <c r="Y462" s="470" t="n"/>
      <c r="Z462" s="470" t="n"/>
      <c r="AA462" s="470" t="n"/>
      <c r="AB462" s="470" t="n"/>
      <c r="AC462" s="470" t="n"/>
      <c r="AD462" s="470" t="n"/>
      <c r="AE462" s="470" t="n"/>
      <c r="AF462" s="470" t="n"/>
      <c r="AG462" s="470" t="n"/>
    </row>
    <row r="463">
      <c r="A463" s="710" t="n"/>
      <c r="B463" s="706" t="n"/>
      <c r="C463" s="273" t="n">
        <v>92</v>
      </c>
      <c r="D463" s="273" t="inlineStr">
        <is>
          <t>Yan Doto Bala</t>
        </is>
      </c>
      <c r="E463" s="273" t="inlineStr">
        <is>
          <t>Sae Saboua</t>
        </is>
      </c>
      <c r="F463" s="273" t="inlineStr">
        <is>
          <t>Control</t>
        </is>
      </c>
      <c r="G463" s="495" t="n">
        <v>2025</v>
      </c>
      <c r="H463" s="471" t="n">
        <v>2026</v>
      </c>
      <c r="I463" s="487" t="n">
        <v>0</v>
      </c>
      <c r="J463" s="487" t="n">
        <v>0</v>
      </c>
      <c r="K463" s="487" t="n">
        <v>18</v>
      </c>
      <c r="L463" s="470" t="n">
        <v>0</v>
      </c>
      <c r="M463" s="509" t="inlineStr">
        <is>
          <t>NR</t>
        </is>
      </c>
      <c r="N463" s="509" t="inlineStr">
        <is>
          <t>NR</t>
        </is>
      </c>
      <c r="O463" s="509" t="inlineStr">
        <is>
          <t>NR</t>
        </is>
      </c>
      <c r="P463" s="509" t="inlineStr">
        <is>
          <t>NR</t>
        </is>
      </c>
      <c r="Q463" s="470" t="n">
        <v>0.8</v>
      </c>
      <c r="R463" s="470" t="inlineStr">
        <is>
          <t>NR</t>
        </is>
      </c>
      <c r="S463" s="470" t="n">
        <v>1.1</v>
      </c>
      <c r="T463" s="509" t="inlineStr">
        <is>
          <t>NR</t>
        </is>
      </c>
      <c r="U463" s="494" t="n">
        <v>0</v>
      </c>
      <c r="V463" s="470" t="n"/>
      <c r="W463" s="470" t="n"/>
      <c r="X463" s="470" t="n"/>
      <c r="Y463" s="470" t="n"/>
      <c r="Z463" s="470" t="n"/>
      <c r="AA463" s="470" t="n"/>
      <c r="AB463" s="470" t="n"/>
      <c r="AC463" s="470" t="n"/>
      <c r="AD463" s="470" t="n"/>
      <c r="AE463" s="470" t="n"/>
      <c r="AF463" s="470" t="n"/>
      <c r="AG463" s="470" t="n"/>
    </row>
    <row r="464">
      <c r="A464" s="710" t="n"/>
      <c r="B464" s="722" t="n">
        <v>34</v>
      </c>
      <c r="C464" s="423" t="n"/>
      <c r="D464" s="423" t="inlineStr">
        <is>
          <t>Gadambo</t>
        </is>
      </c>
      <c r="E464" s="423" t="inlineStr">
        <is>
          <t>Sae Saboua</t>
        </is>
      </c>
      <c r="F464" s="423" t="inlineStr">
        <is>
          <t>Intervention</t>
        </is>
      </c>
      <c r="G464" s="507" t="n">
        <v>2025</v>
      </c>
      <c r="H464" s="480" t="n">
        <v>2026</v>
      </c>
      <c r="I464" s="497" t="n">
        <v>1</v>
      </c>
      <c r="J464" s="509" t="inlineStr">
        <is>
          <t>NR</t>
        </is>
      </c>
      <c r="K464" s="497" t="n">
        <v>27</v>
      </c>
      <c r="L464" s="420" t="n">
        <v>2</v>
      </c>
      <c r="M464" s="497" t="inlineStr">
        <is>
          <t>NR</t>
        </is>
      </c>
      <c r="N464" s="497" t="inlineStr">
        <is>
          <t>NR</t>
        </is>
      </c>
      <c r="O464" s="497" t="inlineStr">
        <is>
          <t>NR</t>
        </is>
      </c>
      <c r="P464" s="497" t="inlineStr">
        <is>
          <t>NR</t>
        </is>
      </c>
      <c r="Q464" s="497" t="n">
        <v>2.8</v>
      </c>
      <c r="R464" s="497" t="inlineStr">
        <is>
          <t>NR</t>
        </is>
      </c>
      <c r="S464" s="497" t="n">
        <v>2.8</v>
      </c>
      <c r="T464" s="509" t="inlineStr">
        <is>
          <t>NR</t>
        </is>
      </c>
      <c r="U464" s="497" t="n">
        <v>0</v>
      </c>
      <c r="V464" s="470" t="n"/>
      <c r="W464" s="470" t="n"/>
      <c r="X464" s="470" t="n"/>
      <c r="Y464" s="470" t="n"/>
      <c r="Z464" s="470" t="n"/>
      <c r="AA464" s="470" t="n"/>
      <c r="AB464" s="470" t="n"/>
      <c r="AC464" s="470" t="n"/>
      <c r="AD464" s="470" t="n"/>
      <c r="AE464" s="470" t="n"/>
      <c r="AF464" s="470" t="n"/>
      <c r="AG464" s="470" t="n"/>
    </row>
    <row r="465">
      <c r="A465" s="710" t="n"/>
      <c r="B465" s="706" t="n"/>
      <c r="C465" s="423" t="n">
        <v>100</v>
      </c>
      <c r="D465" s="423" t="inlineStr">
        <is>
          <t>Gagadama (Kadagama)</t>
        </is>
      </c>
      <c r="E465" s="423" t="inlineStr">
        <is>
          <t>Sae Saboua</t>
        </is>
      </c>
      <c r="F465" s="423" t="inlineStr">
        <is>
          <t>Control</t>
        </is>
      </c>
      <c r="G465" s="507" t="n">
        <v>2025</v>
      </c>
      <c r="H465" s="480" t="n">
        <v>2026</v>
      </c>
      <c r="I465" s="423" t="n">
        <v>0</v>
      </c>
      <c r="J465" s="423" t="n">
        <v>0</v>
      </c>
      <c r="K465" s="423" t="n">
        <v>6</v>
      </c>
      <c r="L465" s="420" t="n">
        <v>0</v>
      </c>
      <c r="M465" s="509" t="inlineStr">
        <is>
          <t>NR</t>
        </is>
      </c>
      <c r="N465" s="509" t="inlineStr">
        <is>
          <t>NR</t>
        </is>
      </c>
      <c r="O465" s="509" t="inlineStr">
        <is>
          <t>NR</t>
        </is>
      </c>
      <c r="P465" s="509" t="inlineStr">
        <is>
          <t>NR</t>
        </is>
      </c>
      <c r="Q465" s="497" t="n">
        <v>0.4</v>
      </c>
      <c r="R465" s="497" t="inlineStr">
        <is>
          <t>NR</t>
        </is>
      </c>
      <c r="S465" s="497" t="n">
        <v>0.5</v>
      </c>
      <c r="T465" s="509" t="inlineStr">
        <is>
          <t>NR</t>
        </is>
      </c>
      <c r="U465" s="500" t="n">
        <v>0</v>
      </c>
      <c r="V465" s="470" t="n"/>
      <c r="W465" s="470" t="n"/>
      <c r="X465" s="470" t="n"/>
      <c r="Y465" s="470" t="n"/>
      <c r="Z465" s="470" t="n"/>
      <c r="AA465" s="470" t="n"/>
      <c r="AB465" s="470" t="n"/>
      <c r="AC465" s="470" t="n"/>
      <c r="AD465" s="470" t="n"/>
      <c r="AE465" s="470" t="n"/>
      <c r="AF465" s="470" t="n"/>
      <c r="AG465" s="470" t="n"/>
    </row>
    <row r="466">
      <c r="A466" s="710" t="n"/>
      <c r="B466" s="727" t="n">
        <v>35</v>
      </c>
      <c r="C466" s="273" t="n">
        <v>61</v>
      </c>
      <c r="D466" s="487" t="inlineStr">
        <is>
          <t>Garin Bouwey</t>
        </is>
      </c>
      <c r="E466" s="273" t="inlineStr">
        <is>
          <t>Sae Saboua</t>
        </is>
      </c>
      <c r="F466" s="273" t="inlineStr">
        <is>
          <t>Intervention</t>
        </is>
      </c>
      <c r="G466" s="470" t="n">
        <v>2025</v>
      </c>
      <c r="H466" s="471" t="n">
        <v>2026</v>
      </c>
      <c r="I466" s="470" t="n">
        <v>1</v>
      </c>
      <c r="J466" s="509" t="inlineStr">
        <is>
          <t>NR</t>
        </is>
      </c>
      <c r="K466" s="470" t="n">
        <v>15</v>
      </c>
      <c r="L466" s="470" t="n">
        <v>2</v>
      </c>
      <c r="M466" s="470" t="inlineStr">
        <is>
          <t>NR</t>
        </is>
      </c>
      <c r="N466" s="470" t="inlineStr">
        <is>
          <t>NR</t>
        </is>
      </c>
      <c r="O466" s="470" t="inlineStr">
        <is>
          <t>NR</t>
        </is>
      </c>
      <c r="P466" s="470" t="inlineStr">
        <is>
          <t>NR</t>
        </is>
      </c>
      <c r="Q466" s="470" t="n">
        <v>2.5</v>
      </c>
      <c r="R466" s="470" t="inlineStr">
        <is>
          <t>NR</t>
        </is>
      </c>
      <c r="S466" s="470" t="n">
        <v>2.7</v>
      </c>
      <c r="T466" s="509" t="inlineStr">
        <is>
          <t>NR</t>
        </is>
      </c>
      <c r="U466" s="470" t="n">
        <v>0</v>
      </c>
      <c r="V466" s="470" t="n"/>
      <c r="W466" s="470" t="n"/>
      <c r="X466" s="470" t="n"/>
      <c r="Y466" s="470" t="n"/>
      <c r="Z466" s="470" t="n"/>
      <c r="AA466" s="470" t="n"/>
      <c r="AB466" s="470" t="n"/>
      <c r="AC466" s="470" t="n"/>
      <c r="AD466" s="470" t="n"/>
      <c r="AE466" s="470" t="n"/>
      <c r="AF466" s="470" t="n"/>
      <c r="AG466" s="470" t="n"/>
    </row>
    <row r="467">
      <c r="A467" s="710" t="n"/>
      <c r="B467" s="706" t="n"/>
      <c r="C467" s="273" t="n">
        <v>101</v>
      </c>
      <c r="D467" s="273" t="inlineStr">
        <is>
          <t>Tchido</t>
        </is>
      </c>
      <c r="E467" s="273" t="inlineStr">
        <is>
          <t>Sae Saboua</t>
        </is>
      </c>
      <c r="F467" s="273" t="inlineStr">
        <is>
          <t>Control</t>
        </is>
      </c>
      <c r="G467" s="495" t="n">
        <v>2025</v>
      </c>
      <c r="H467" s="471" t="n">
        <v>2026</v>
      </c>
      <c r="I467" s="487" t="n">
        <v>0</v>
      </c>
      <c r="J467" s="487" t="n">
        <v>0</v>
      </c>
      <c r="K467" s="487" t="n">
        <v>32</v>
      </c>
      <c r="L467" s="470" t="n">
        <v>0</v>
      </c>
      <c r="M467" s="509" t="inlineStr">
        <is>
          <t>NR</t>
        </is>
      </c>
      <c r="N467" s="509" t="inlineStr">
        <is>
          <t>NR</t>
        </is>
      </c>
      <c r="O467" s="509" t="inlineStr">
        <is>
          <t>NR</t>
        </is>
      </c>
      <c r="P467" s="509" t="inlineStr">
        <is>
          <t>NR</t>
        </is>
      </c>
      <c r="Q467" s="470" t="n">
        <v>0.6</v>
      </c>
      <c r="R467" s="470" t="inlineStr">
        <is>
          <t>NR</t>
        </is>
      </c>
      <c r="S467" s="470" t="n">
        <v>0.7</v>
      </c>
      <c r="T467" s="509" t="inlineStr">
        <is>
          <t>NR</t>
        </is>
      </c>
      <c r="U467" s="494" t="n">
        <v>1</v>
      </c>
      <c r="V467" s="470" t="n"/>
      <c r="W467" s="470" t="n"/>
      <c r="X467" s="470" t="n"/>
      <c r="Y467" s="470" t="n"/>
      <c r="Z467" s="470" t="n"/>
      <c r="AA467" s="470" t="n"/>
      <c r="AB467" s="470" t="n"/>
      <c r="AC467" s="470" t="n"/>
      <c r="AD467" s="470" t="n"/>
      <c r="AE467" s="470" t="n"/>
      <c r="AF467" s="470" t="n"/>
      <c r="AG467" s="470" t="n"/>
    </row>
    <row r="468">
      <c r="A468" s="710" t="n"/>
      <c r="B468" s="722" t="n">
        <v>36</v>
      </c>
      <c r="C468" s="423" t="n">
        <v>60</v>
      </c>
      <c r="D468" s="423" t="inlineStr">
        <is>
          <t>Mountarou 1</t>
        </is>
      </c>
      <c r="E468" s="423" t="inlineStr">
        <is>
          <t>Sae Saboua</t>
        </is>
      </c>
      <c r="F468" s="423" t="inlineStr">
        <is>
          <t>Intervention</t>
        </is>
      </c>
      <c r="G468" s="507" t="n">
        <v>2025</v>
      </c>
      <c r="H468" s="480" t="n">
        <v>2026</v>
      </c>
      <c r="I468" s="497" t="n">
        <v>1</v>
      </c>
      <c r="J468" s="509" t="inlineStr">
        <is>
          <t>NR</t>
        </is>
      </c>
      <c r="K468" s="497" t="n">
        <v>16</v>
      </c>
      <c r="L468" s="420" t="n">
        <v>2</v>
      </c>
      <c r="M468" s="497" t="inlineStr">
        <is>
          <t>NR</t>
        </is>
      </c>
      <c r="N468" s="497" t="inlineStr">
        <is>
          <t>NR</t>
        </is>
      </c>
      <c r="O468" s="497" t="inlineStr">
        <is>
          <t>NR</t>
        </is>
      </c>
      <c r="P468" s="497" t="inlineStr">
        <is>
          <t>NR</t>
        </is>
      </c>
      <c r="Q468" s="497" t="n">
        <v>3.1</v>
      </c>
      <c r="R468" s="497" t="inlineStr">
        <is>
          <t>NR</t>
        </is>
      </c>
      <c r="S468" s="497" t="n">
        <v>2.9</v>
      </c>
      <c r="T468" s="509" t="inlineStr">
        <is>
          <t>NR</t>
        </is>
      </c>
      <c r="U468" s="497" t="n">
        <v>2</v>
      </c>
      <c r="V468" s="470" t="n"/>
      <c r="W468" s="470" t="n"/>
      <c r="X468" s="470" t="n"/>
      <c r="Y468" s="470" t="n"/>
      <c r="Z468" s="470" t="n"/>
      <c r="AA468" s="470" t="n"/>
      <c r="AB468" s="470" t="n"/>
      <c r="AC468" s="470" t="n"/>
      <c r="AD468" s="470" t="n"/>
      <c r="AE468" s="470" t="n"/>
      <c r="AF468" s="470" t="n"/>
      <c r="AG468" s="470" t="n"/>
    </row>
    <row r="469">
      <c r="A469" s="706" t="n"/>
      <c r="B469" s="706" t="n"/>
      <c r="C469" s="423" t="n">
        <v>95</v>
      </c>
      <c r="D469" s="423" t="inlineStr">
        <is>
          <t>Mata Milki</t>
        </is>
      </c>
      <c r="E469" s="423" t="inlineStr">
        <is>
          <t>Sae Saboua</t>
        </is>
      </c>
      <c r="F469" s="423" t="inlineStr">
        <is>
          <t>Control</t>
        </is>
      </c>
      <c r="G469" s="507" t="n">
        <v>2025</v>
      </c>
      <c r="H469" s="480" t="n">
        <v>2026</v>
      </c>
      <c r="I469" s="423" t="n">
        <v>0</v>
      </c>
      <c r="J469" s="423" t="n">
        <v>0</v>
      </c>
      <c r="K469" s="423" t="n">
        <v>40</v>
      </c>
      <c r="L469" s="420" t="n">
        <v>0</v>
      </c>
      <c r="M469" s="509" t="inlineStr">
        <is>
          <t>NR</t>
        </is>
      </c>
      <c r="N469" s="509" t="inlineStr">
        <is>
          <t>NR</t>
        </is>
      </c>
      <c r="O469" s="509" t="inlineStr">
        <is>
          <t>NR</t>
        </is>
      </c>
      <c r="P469" s="509" t="inlineStr">
        <is>
          <t>NR</t>
        </is>
      </c>
      <c r="Q469" s="497" t="n">
        <v>0.5</v>
      </c>
      <c r="R469" s="497" t="inlineStr">
        <is>
          <t>NR</t>
        </is>
      </c>
      <c r="S469" s="497" t="n">
        <v>0.8</v>
      </c>
      <c r="T469" s="509" t="inlineStr">
        <is>
          <t>NR</t>
        </is>
      </c>
      <c r="U469" s="500" t="n">
        <v>1</v>
      </c>
      <c r="V469" s="470" t="n"/>
      <c r="W469" s="470" t="n"/>
      <c r="X469" s="470" t="n"/>
      <c r="Y469" s="470" t="n"/>
      <c r="Z469" s="470" t="n"/>
      <c r="AA469" s="470" t="n"/>
      <c r="AB469" s="470" t="n"/>
      <c r="AC469" s="470" t="n"/>
      <c r="AD469" s="470" t="n"/>
      <c r="AE469" s="470" t="n"/>
      <c r="AF469" s="470" t="n"/>
      <c r="AG469" s="470" t="n"/>
    </row>
    <row r="470">
      <c r="A470" s="724" t="inlineStr">
        <is>
          <t>Tchadoua</t>
        </is>
      </c>
      <c r="B470" s="721" t="n">
        <v>37</v>
      </c>
      <c r="C470" s="471" t="n"/>
      <c r="D470" s="471" t="inlineStr">
        <is>
          <t>Algafia (Kotsi)</t>
        </is>
      </c>
      <c r="E470" s="470" t="inlineStr">
        <is>
          <t>Tchadoua</t>
        </is>
      </c>
      <c r="F470" s="470" t="inlineStr">
        <is>
          <t>Control</t>
        </is>
      </c>
      <c r="G470" s="470" t="n">
        <v>2025</v>
      </c>
      <c r="H470" s="471" t="n">
        <v>2026</v>
      </c>
      <c r="I470" s="470" t="n">
        <v>0</v>
      </c>
      <c r="J470" s="470" t="n">
        <v>0</v>
      </c>
      <c r="K470" s="470" t="n">
        <v>27</v>
      </c>
      <c r="L470" s="470" t="n">
        <v>0</v>
      </c>
      <c r="M470" s="470" t="inlineStr">
        <is>
          <t>NR</t>
        </is>
      </c>
      <c r="N470" s="470" t="inlineStr">
        <is>
          <t>NR</t>
        </is>
      </c>
      <c r="O470" s="470" t="inlineStr">
        <is>
          <t>NR</t>
        </is>
      </c>
      <c r="P470" s="470" t="inlineStr">
        <is>
          <t>NR</t>
        </is>
      </c>
      <c r="Q470" s="470" t="n">
        <v>1.2</v>
      </c>
      <c r="R470" s="470" t="inlineStr">
        <is>
          <t>NR</t>
        </is>
      </c>
      <c r="S470" s="470" t="n">
        <v>1.3</v>
      </c>
      <c r="T470" s="470" t="inlineStr">
        <is>
          <t>NR</t>
        </is>
      </c>
      <c r="U470" s="470" t="n">
        <v>0</v>
      </c>
      <c r="V470" s="470" t="n"/>
      <c r="W470" s="470" t="n"/>
      <c r="X470" s="470" t="n"/>
      <c r="Y470" s="470" t="n"/>
      <c r="Z470" s="470" t="n"/>
      <c r="AA470" s="470" t="n"/>
      <c r="AB470" s="470" t="n"/>
      <c r="AC470" s="470" t="n"/>
      <c r="AD470" s="470" t="n"/>
      <c r="AE470" s="470" t="n"/>
      <c r="AF470" s="470" t="n"/>
      <c r="AG470" s="470" t="n"/>
    </row>
    <row r="471">
      <c r="A471" s="710" t="n"/>
      <c r="B471" s="706" t="n"/>
      <c r="C471" s="471" t="n"/>
      <c r="D471" s="471" t="inlineStr">
        <is>
          <t>Guidan Moussa</t>
        </is>
      </c>
      <c r="E471" s="495" t="inlineStr">
        <is>
          <t>Tchadoua</t>
        </is>
      </c>
      <c r="F471" s="495" t="inlineStr">
        <is>
          <t>Intervention</t>
        </is>
      </c>
      <c r="G471" s="495" t="n">
        <v>2025</v>
      </c>
      <c r="H471" s="471" t="n">
        <v>2026</v>
      </c>
      <c r="I471" s="470" t="n">
        <v>0</v>
      </c>
      <c r="J471" s="509" t="inlineStr">
        <is>
          <t>NR</t>
        </is>
      </c>
      <c r="K471" s="470" t="n">
        <v>47</v>
      </c>
      <c r="L471" s="470" t="n">
        <v>2</v>
      </c>
      <c r="M471" s="470" t="inlineStr">
        <is>
          <t>NR</t>
        </is>
      </c>
      <c r="N471" s="470" t="inlineStr">
        <is>
          <t>NR</t>
        </is>
      </c>
      <c r="O471" s="470" t="inlineStr">
        <is>
          <t>NR</t>
        </is>
      </c>
      <c r="P471" s="470" t="inlineStr">
        <is>
          <t>NR</t>
        </is>
      </c>
      <c r="Q471" s="470" t="n">
        <v>2.9</v>
      </c>
      <c r="R471" s="470" t="inlineStr">
        <is>
          <t>NR</t>
        </is>
      </c>
      <c r="S471" s="470" t="n">
        <v>3.1</v>
      </c>
      <c r="T471" s="509" t="inlineStr">
        <is>
          <t>NR</t>
        </is>
      </c>
      <c r="U471" s="494" t="n">
        <v>0</v>
      </c>
      <c r="V471" s="494" t="n"/>
      <c r="W471" s="494" t="n"/>
      <c r="X471" s="494" t="n"/>
      <c r="Y471" s="494" t="n"/>
      <c r="Z471" s="494" t="n"/>
      <c r="AA471" s="494" t="n"/>
      <c r="AB471" s="494" t="n"/>
      <c r="AC471" s="494" t="n"/>
      <c r="AD471" s="494" t="n"/>
      <c r="AE471" s="494" t="n"/>
      <c r="AF471" s="494" t="n"/>
      <c r="AG471" s="494" t="n"/>
    </row>
    <row r="472">
      <c r="A472" s="710" t="n"/>
      <c r="B472" s="722" t="n">
        <v>38</v>
      </c>
      <c r="C472" s="420" t="n"/>
      <c r="D472" s="420" t="inlineStr">
        <is>
          <t>Dan Aicha</t>
        </is>
      </c>
      <c r="E472" s="497" t="inlineStr">
        <is>
          <t>Tchadoua</t>
        </is>
      </c>
      <c r="F472" s="497" t="inlineStr">
        <is>
          <t>Intervention</t>
        </is>
      </c>
      <c r="G472" s="497" t="n">
        <v>2025</v>
      </c>
      <c r="H472" s="480" t="n">
        <v>2026</v>
      </c>
      <c r="I472" s="497" t="n">
        <v>1</v>
      </c>
      <c r="J472" s="509" t="inlineStr">
        <is>
          <t>NR</t>
        </is>
      </c>
      <c r="K472" s="497" t="n">
        <v>36</v>
      </c>
      <c r="L472" s="420" t="n">
        <v>2</v>
      </c>
      <c r="M472" s="497" t="inlineStr">
        <is>
          <t>NR</t>
        </is>
      </c>
      <c r="N472" s="497" t="inlineStr">
        <is>
          <t>NR</t>
        </is>
      </c>
      <c r="O472" s="497" t="inlineStr">
        <is>
          <t>NR</t>
        </is>
      </c>
      <c r="P472" s="497" t="inlineStr">
        <is>
          <t>NR</t>
        </is>
      </c>
      <c r="Q472" s="497" t="n">
        <v>2</v>
      </c>
      <c r="R472" s="497" t="inlineStr">
        <is>
          <t>NR</t>
        </is>
      </c>
      <c r="S472" s="497" t="n">
        <v>1.9</v>
      </c>
      <c r="T472" s="509" t="inlineStr">
        <is>
          <t>NR</t>
        </is>
      </c>
      <c r="U472" s="497" t="n">
        <v>1</v>
      </c>
      <c r="V472" s="497" t="n"/>
      <c r="W472" s="497" t="n"/>
      <c r="X472" s="497" t="n"/>
      <c r="Y472" s="497" t="n"/>
      <c r="Z472" s="497" t="n"/>
      <c r="AA472" s="497" t="n"/>
      <c r="AB472" s="497" t="n"/>
      <c r="AC472" s="497" t="n"/>
      <c r="AD472" s="497" t="n"/>
      <c r="AE472" s="497" t="n"/>
      <c r="AF472" s="497" t="n"/>
      <c r="AG472" s="497" t="n"/>
    </row>
    <row r="473">
      <c r="A473" s="710" t="n"/>
      <c r="B473" s="706" t="n"/>
      <c r="C473" s="480" t="n"/>
      <c r="D473" s="480" t="inlineStr">
        <is>
          <t>Guidan Dan Galdima</t>
        </is>
      </c>
      <c r="E473" s="79" t="inlineStr">
        <is>
          <t>Tchadoua</t>
        </is>
      </c>
      <c r="F473" s="681" t="inlineStr">
        <is>
          <t>Control</t>
        </is>
      </c>
      <c r="G473" s="681" t="n">
        <v>2025</v>
      </c>
      <c r="H473" s="480" t="n">
        <v>2026</v>
      </c>
      <c r="I473" s="497" t="n">
        <v>0</v>
      </c>
      <c r="J473" s="497" t="n">
        <v>0</v>
      </c>
      <c r="K473" s="497" t="n">
        <v>27</v>
      </c>
      <c r="L473" s="420" t="n">
        <v>0</v>
      </c>
      <c r="M473" s="497" t="inlineStr">
        <is>
          <t>NR</t>
        </is>
      </c>
      <c r="N473" s="497" t="inlineStr">
        <is>
          <t>NR</t>
        </is>
      </c>
      <c r="O473" s="497" t="inlineStr">
        <is>
          <t>NR</t>
        </is>
      </c>
      <c r="P473" s="497" t="inlineStr">
        <is>
          <t>NR</t>
        </is>
      </c>
      <c r="Q473" s="497" t="n">
        <v>0.8</v>
      </c>
      <c r="R473" s="497" t="inlineStr">
        <is>
          <t>NR</t>
        </is>
      </c>
      <c r="S473" s="497" t="n">
        <v>0.4</v>
      </c>
      <c r="T473" s="497" t="inlineStr">
        <is>
          <t>NR</t>
        </is>
      </c>
      <c r="U473" s="500" t="n">
        <v>1</v>
      </c>
      <c r="V473" s="500" t="n"/>
      <c r="W473" s="500" t="n"/>
      <c r="X473" s="500" t="n"/>
      <c r="Y473" s="500" t="n"/>
      <c r="Z473" s="500" t="n"/>
      <c r="AA473" s="500" t="n"/>
      <c r="AB473" s="500" t="n"/>
      <c r="AC473" s="500" t="n"/>
      <c r="AD473" s="500" t="n"/>
      <c r="AE473" s="500" t="n"/>
      <c r="AF473" s="500" t="n"/>
      <c r="AG473" s="500" t="n"/>
    </row>
    <row r="474" ht="16.5" customHeight="1" s="695">
      <c r="A474" s="710" t="n"/>
      <c r="B474" s="721" t="n">
        <v>39</v>
      </c>
      <c r="C474" s="483" t="n"/>
      <c r="D474" s="483" t="inlineStr">
        <is>
          <t>Dan Gamdji</t>
        </is>
      </c>
      <c r="E474" s="470" t="inlineStr">
        <is>
          <t>Tchadoua</t>
        </is>
      </c>
      <c r="F474" s="503" t="inlineStr">
        <is>
          <t>Intervention</t>
        </is>
      </c>
      <c r="G474" s="503" t="n">
        <v>2025</v>
      </c>
      <c r="H474" s="471" t="n">
        <v>2026</v>
      </c>
      <c r="I474" s="470" t="n">
        <v>1</v>
      </c>
      <c r="J474" s="509" t="inlineStr">
        <is>
          <t>NR</t>
        </is>
      </c>
      <c r="K474" s="470" t="n">
        <v>41</v>
      </c>
      <c r="L474" s="470" t="n">
        <v>2</v>
      </c>
      <c r="M474" s="470" t="inlineStr">
        <is>
          <t>NR</t>
        </is>
      </c>
      <c r="N474" s="470" t="inlineStr">
        <is>
          <t>NR</t>
        </is>
      </c>
      <c r="O474" s="470" t="inlineStr">
        <is>
          <t>NR</t>
        </is>
      </c>
      <c r="P474" s="470" t="inlineStr">
        <is>
          <t>NR</t>
        </is>
      </c>
      <c r="Q474" s="470" t="n">
        <v>2.8</v>
      </c>
      <c r="R474" s="470" t="inlineStr">
        <is>
          <t>NR</t>
        </is>
      </c>
      <c r="S474" s="470" t="n">
        <v>3</v>
      </c>
      <c r="T474" s="509" t="inlineStr">
        <is>
          <t>NR</t>
        </is>
      </c>
      <c r="U474" s="470" t="n">
        <v>0</v>
      </c>
      <c r="V474" s="503" t="n"/>
      <c r="W474" s="503" t="n"/>
      <c r="X474" s="503" t="n"/>
      <c r="Y474" s="503" t="n"/>
      <c r="Z474" s="503" t="n"/>
      <c r="AA474" s="503" t="n"/>
      <c r="AB474" s="503" t="n"/>
      <c r="AC474" s="503" t="n"/>
      <c r="AD474" s="503" t="n"/>
      <c r="AE474" s="503" t="n"/>
      <c r="AF474" s="503" t="n"/>
      <c r="AG474" s="503" t="n"/>
    </row>
    <row r="475">
      <c r="A475" s="710" t="n"/>
      <c r="B475" s="706" t="n"/>
      <c r="C475" s="483" t="n"/>
      <c r="D475" s="483" t="inlineStr">
        <is>
          <t>Dan Toumbi</t>
        </is>
      </c>
      <c r="E475" s="495" t="inlineStr">
        <is>
          <t>Tchadoua</t>
        </is>
      </c>
      <c r="F475" s="504" t="inlineStr">
        <is>
          <t>Control</t>
        </is>
      </c>
      <c r="G475" s="504" t="n">
        <v>2025</v>
      </c>
      <c r="H475" s="471" t="n">
        <v>2026</v>
      </c>
      <c r="I475" s="470" t="n">
        <v>0</v>
      </c>
      <c r="J475" s="470" t="n">
        <v>0</v>
      </c>
      <c r="K475" s="470" t="n">
        <v>3</v>
      </c>
      <c r="L475" s="470" t="n">
        <v>0</v>
      </c>
      <c r="M475" s="470" t="inlineStr">
        <is>
          <t>NR</t>
        </is>
      </c>
      <c r="N475" s="470" t="inlineStr">
        <is>
          <t>NR</t>
        </is>
      </c>
      <c r="O475" s="470" t="inlineStr">
        <is>
          <t>NR</t>
        </is>
      </c>
      <c r="P475" s="470" t="inlineStr">
        <is>
          <t>NR</t>
        </is>
      </c>
      <c r="Q475" s="470" t="n">
        <v>0.8</v>
      </c>
      <c r="R475" s="470" t="inlineStr">
        <is>
          <t>NR</t>
        </is>
      </c>
      <c r="S475" s="470" t="n">
        <v>1</v>
      </c>
      <c r="T475" s="470" t="inlineStr">
        <is>
          <t>NR</t>
        </is>
      </c>
      <c r="U475" s="494" t="n">
        <v>1</v>
      </c>
      <c r="V475" s="503" t="n"/>
      <c r="W475" s="503" t="n"/>
      <c r="X475" s="503" t="n"/>
      <c r="Y475" s="503" t="n"/>
      <c r="Z475" s="503" t="n"/>
      <c r="AA475" s="503" t="n"/>
      <c r="AB475" s="503" t="n"/>
      <c r="AC475" s="503" t="n"/>
      <c r="AD475" s="503" t="n"/>
      <c r="AE475" s="503" t="n"/>
      <c r="AF475" s="503" t="n"/>
      <c r="AG475" s="503" t="n"/>
    </row>
    <row r="476">
      <c r="A476" s="710" t="n"/>
      <c r="B476" s="722" t="n">
        <v>40</v>
      </c>
      <c r="C476" s="480" t="n"/>
      <c r="D476" s="480" t="inlineStr">
        <is>
          <t>Bini</t>
        </is>
      </c>
      <c r="E476" s="497" t="inlineStr">
        <is>
          <t>Tchadoua</t>
        </is>
      </c>
      <c r="F476" s="500" t="inlineStr">
        <is>
          <t>Control</t>
        </is>
      </c>
      <c r="G476" s="500" t="n">
        <v>2025</v>
      </c>
      <c r="H476" s="480" t="n">
        <v>2026</v>
      </c>
      <c r="I476" s="497" t="n">
        <v>0</v>
      </c>
      <c r="J476" s="497" t="n">
        <v>0</v>
      </c>
      <c r="K476" s="497" t="n">
        <v>19</v>
      </c>
      <c r="L476" s="497" t="n">
        <v>0</v>
      </c>
      <c r="M476" s="497" t="inlineStr">
        <is>
          <t>NR</t>
        </is>
      </c>
      <c r="N476" s="497" t="inlineStr">
        <is>
          <t>NR</t>
        </is>
      </c>
      <c r="O476" s="497" t="inlineStr">
        <is>
          <t>NR</t>
        </is>
      </c>
      <c r="P476" s="497" t="inlineStr">
        <is>
          <t>NR</t>
        </is>
      </c>
      <c r="Q476" s="497" t="n">
        <v>2.6</v>
      </c>
      <c r="R476" s="497" t="inlineStr">
        <is>
          <t>NR</t>
        </is>
      </c>
      <c r="S476" s="497" t="n">
        <v>2</v>
      </c>
      <c r="T476" s="509" t="inlineStr">
        <is>
          <t>NR</t>
        </is>
      </c>
      <c r="U476" s="497" t="n">
        <v>0</v>
      </c>
      <c r="V476" s="500" t="n"/>
      <c r="W476" s="500" t="n"/>
      <c r="X476" s="500" t="n"/>
      <c r="Y476" s="500" t="n"/>
      <c r="Z476" s="500" t="n"/>
      <c r="AA476" s="500" t="n"/>
      <c r="AB476" s="500" t="n"/>
      <c r="AC476" s="500" t="n"/>
      <c r="AD476" s="500" t="n"/>
      <c r="AE476" s="500" t="n"/>
      <c r="AF476" s="500" t="n"/>
      <c r="AG476" s="500" t="n"/>
    </row>
    <row r="477">
      <c r="A477" s="710" t="n"/>
      <c r="B477" s="706" t="n"/>
      <c r="C477" s="480" t="n"/>
      <c r="D477" s="480" t="inlineStr">
        <is>
          <t>Guidan Magagi</t>
        </is>
      </c>
      <c r="E477" s="79" t="inlineStr">
        <is>
          <t>Tchadoua</t>
        </is>
      </c>
      <c r="F477" s="681" t="inlineStr">
        <is>
          <t>Intervention</t>
        </is>
      </c>
      <c r="G477" s="681" t="n">
        <v>2025</v>
      </c>
      <c r="H477" s="480" t="n">
        <v>2026</v>
      </c>
      <c r="I477" s="497" t="n">
        <v>1</v>
      </c>
      <c r="J477" s="509" t="inlineStr">
        <is>
          <t>NR</t>
        </is>
      </c>
      <c r="K477" s="497" t="n">
        <v>18</v>
      </c>
      <c r="L477" s="497" t="n">
        <v>2</v>
      </c>
      <c r="M477" s="497" t="inlineStr">
        <is>
          <t>NR</t>
        </is>
      </c>
      <c r="N477" s="497" t="inlineStr">
        <is>
          <t>NR</t>
        </is>
      </c>
      <c r="O477" s="497" t="inlineStr">
        <is>
          <t>NR</t>
        </is>
      </c>
      <c r="P477" s="497" t="inlineStr">
        <is>
          <t>NR</t>
        </is>
      </c>
      <c r="Q477" s="497" t="n">
        <v>2.3</v>
      </c>
      <c r="R477" s="497" t="inlineStr">
        <is>
          <t>NR</t>
        </is>
      </c>
      <c r="S477" s="497" t="n">
        <v>2.4</v>
      </c>
      <c r="T477" s="509" t="inlineStr">
        <is>
          <t>NR</t>
        </is>
      </c>
      <c r="U477" s="500" t="n">
        <v>0</v>
      </c>
      <c r="V477" s="500" t="n"/>
      <c r="W477" s="500" t="n"/>
      <c r="X477" s="500" t="n"/>
      <c r="Y477" s="500" t="n"/>
      <c r="Z477" s="500" t="n"/>
      <c r="AA477" s="500" t="n"/>
      <c r="AB477" s="500" t="n"/>
      <c r="AC477" s="500" t="n"/>
      <c r="AD477" s="500" t="n"/>
      <c r="AE477" s="500" t="n"/>
      <c r="AF477" s="500" t="n"/>
      <c r="AG477" s="500" t="n"/>
    </row>
    <row r="478">
      <c r="A478" s="710" t="n"/>
      <c r="B478" s="721" t="n">
        <v>41</v>
      </c>
      <c r="C478" s="483" t="n"/>
      <c r="D478" s="483" t="inlineStr">
        <is>
          <t>Magami</t>
        </is>
      </c>
      <c r="E478" s="470" t="inlineStr">
        <is>
          <t>Tchadoua</t>
        </is>
      </c>
      <c r="F478" s="503" t="inlineStr">
        <is>
          <t>Control</t>
        </is>
      </c>
      <c r="G478" s="503" t="n">
        <v>2025</v>
      </c>
      <c r="H478" s="471" t="n">
        <v>2026</v>
      </c>
      <c r="I478" s="470" t="n">
        <v>0</v>
      </c>
      <c r="J478" s="470" t="n">
        <v>0</v>
      </c>
      <c r="K478" s="470" t="n">
        <v>37</v>
      </c>
      <c r="L478" s="470" t="n">
        <v>0</v>
      </c>
      <c r="M478" s="470" t="inlineStr">
        <is>
          <t>NR</t>
        </is>
      </c>
      <c r="N478" s="470" t="inlineStr">
        <is>
          <t>NR</t>
        </is>
      </c>
      <c r="O478" s="470" t="inlineStr">
        <is>
          <t>NR</t>
        </is>
      </c>
      <c r="P478" s="470" t="inlineStr">
        <is>
          <t>NR</t>
        </is>
      </c>
      <c r="Q478" s="470" t="n">
        <v>1.4</v>
      </c>
      <c r="R478" s="470" t="inlineStr">
        <is>
          <t>NR</t>
        </is>
      </c>
      <c r="S478" s="470" t="n">
        <v>0.8</v>
      </c>
      <c r="T478" s="509" t="inlineStr">
        <is>
          <t>NR</t>
        </is>
      </c>
      <c r="U478" s="470" t="n">
        <v>0</v>
      </c>
      <c r="V478" s="503" t="n"/>
      <c r="W478" s="503" t="n"/>
      <c r="X478" s="503" t="n"/>
      <c r="Y478" s="503" t="n"/>
      <c r="Z478" s="503" t="n"/>
      <c r="AA478" s="503" t="n"/>
      <c r="AB478" s="503" t="n"/>
      <c r="AC478" s="503" t="n"/>
      <c r="AD478" s="503" t="n"/>
      <c r="AE478" s="503" t="n"/>
      <c r="AF478" s="503" t="n"/>
      <c r="AG478" s="503" t="n"/>
    </row>
    <row r="479">
      <c r="A479" s="710" t="n"/>
      <c r="B479" s="706" t="n"/>
      <c r="C479" s="483" t="n"/>
      <c r="D479" s="483" t="inlineStr">
        <is>
          <t>Tchadoua Tawalala</t>
        </is>
      </c>
      <c r="E479" s="495" t="inlineStr">
        <is>
          <t>Tchadoua</t>
        </is>
      </c>
      <c r="F479" s="504" t="inlineStr">
        <is>
          <t>Intervention</t>
        </is>
      </c>
      <c r="G479" s="504" t="n">
        <v>2025</v>
      </c>
      <c r="H479" s="471" t="n">
        <v>2026</v>
      </c>
      <c r="I479" s="470" t="n">
        <v>0</v>
      </c>
      <c r="J479" s="509" t="inlineStr">
        <is>
          <t>NR</t>
        </is>
      </c>
      <c r="K479" s="470" t="n">
        <v>28</v>
      </c>
      <c r="L479" s="470" t="n">
        <v>2</v>
      </c>
      <c r="M479" s="470" t="inlineStr">
        <is>
          <t>NR</t>
        </is>
      </c>
      <c r="N479" s="470" t="inlineStr">
        <is>
          <t>NR</t>
        </is>
      </c>
      <c r="O479" s="470" t="inlineStr">
        <is>
          <t>NR</t>
        </is>
      </c>
      <c r="P479" s="470" t="inlineStr">
        <is>
          <t>NR</t>
        </is>
      </c>
      <c r="Q479" s="470" t="n">
        <v>2.9</v>
      </c>
      <c r="R479" s="470" t="inlineStr">
        <is>
          <t>NR</t>
        </is>
      </c>
      <c r="S479" s="470" t="n">
        <v>2.8</v>
      </c>
      <c r="T479" s="509" t="inlineStr">
        <is>
          <t>NR</t>
        </is>
      </c>
      <c r="U479" s="494" t="n">
        <v>0</v>
      </c>
      <c r="V479" s="503" t="n"/>
      <c r="W479" s="503" t="n"/>
      <c r="X479" s="503" t="n"/>
      <c r="Y479" s="503" t="n"/>
      <c r="Z479" s="503" t="n"/>
      <c r="AA479" s="503" t="n"/>
      <c r="AB479" s="503" t="n"/>
      <c r="AC479" s="503" t="n"/>
      <c r="AD479" s="503" t="n"/>
      <c r="AE479" s="503" t="n"/>
      <c r="AF479" s="503" t="n"/>
      <c r="AG479" s="503" t="n"/>
    </row>
    <row r="480">
      <c r="A480" s="710" t="n"/>
      <c r="B480" s="722" t="n">
        <v>42</v>
      </c>
      <c r="C480" s="480" t="n"/>
      <c r="D480" s="480" t="inlineStr">
        <is>
          <t>Gawaro Maddaci</t>
        </is>
      </c>
      <c r="E480" s="497" t="inlineStr">
        <is>
          <t>Tchadoua</t>
        </is>
      </c>
      <c r="F480" s="500" t="inlineStr">
        <is>
          <t>Intervention</t>
        </is>
      </c>
      <c r="G480" s="500" t="n">
        <v>2025</v>
      </c>
      <c r="H480" s="480" t="n">
        <v>2026</v>
      </c>
      <c r="I480" s="497" t="n">
        <v>1</v>
      </c>
      <c r="J480" s="509" t="inlineStr">
        <is>
          <t>NR</t>
        </is>
      </c>
      <c r="K480" s="497" t="n">
        <v>28</v>
      </c>
      <c r="L480" s="420" t="n">
        <v>2</v>
      </c>
      <c r="M480" s="497" t="inlineStr">
        <is>
          <t>NR</t>
        </is>
      </c>
      <c r="N480" s="497" t="inlineStr">
        <is>
          <t>NR</t>
        </is>
      </c>
      <c r="O480" s="497" t="inlineStr">
        <is>
          <t>NR</t>
        </is>
      </c>
      <c r="P480" s="497" t="inlineStr">
        <is>
          <t>NR</t>
        </is>
      </c>
      <c r="Q480" s="497" t="n">
        <v>2.8</v>
      </c>
      <c r="R480" s="497" t="inlineStr">
        <is>
          <t>NR</t>
        </is>
      </c>
      <c r="S480" s="497" t="n">
        <v>2.7</v>
      </c>
      <c r="T480" s="509" t="inlineStr">
        <is>
          <t>NR</t>
        </is>
      </c>
      <c r="U480" s="497" t="n">
        <v>0</v>
      </c>
      <c r="V480" s="500" t="n"/>
      <c r="W480" s="500" t="n"/>
      <c r="X480" s="500" t="n"/>
      <c r="Y480" s="500" t="n"/>
      <c r="Z480" s="500" t="n"/>
      <c r="AA480" s="500" t="n"/>
      <c r="AB480" s="500" t="n"/>
      <c r="AC480" s="500" t="n"/>
      <c r="AD480" s="500" t="n"/>
      <c r="AE480" s="500" t="n"/>
      <c r="AF480" s="500" t="n"/>
      <c r="AG480" s="500" t="n"/>
    </row>
    <row r="481">
      <c r="A481" s="710" t="n"/>
      <c r="B481" s="706" t="n"/>
      <c r="C481" s="480" t="n"/>
      <c r="D481" s="480" t="inlineStr">
        <is>
          <t>Wakasso</t>
        </is>
      </c>
      <c r="E481" s="79" t="inlineStr">
        <is>
          <t>Tchadoua</t>
        </is>
      </c>
      <c r="F481" s="681" t="inlineStr">
        <is>
          <t>Control</t>
        </is>
      </c>
      <c r="G481" s="681" t="n">
        <v>2025</v>
      </c>
      <c r="H481" s="480" t="n">
        <v>2026</v>
      </c>
      <c r="I481" s="497" t="n">
        <v>0</v>
      </c>
      <c r="J481" s="497" t="n">
        <v>0</v>
      </c>
      <c r="K481" s="497" t="n">
        <v>45</v>
      </c>
      <c r="L481" s="420" t="n">
        <v>0</v>
      </c>
      <c r="M481" s="497" t="inlineStr">
        <is>
          <t>NR</t>
        </is>
      </c>
      <c r="N481" s="497" t="inlineStr">
        <is>
          <t>NR</t>
        </is>
      </c>
      <c r="O481" s="497" t="inlineStr">
        <is>
          <t>NR</t>
        </is>
      </c>
      <c r="P481" s="497" t="inlineStr">
        <is>
          <t>NR</t>
        </is>
      </c>
      <c r="Q481" s="497" t="n">
        <v>1.2</v>
      </c>
      <c r="R481" s="497" t="inlineStr">
        <is>
          <t>NR</t>
        </is>
      </c>
      <c r="S481" s="497" t="n">
        <v>1.1</v>
      </c>
      <c r="T481" s="509" t="inlineStr">
        <is>
          <t>NR</t>
        </is>
      </c>
      <c r="U481" s="500" t="n">
        <v>1</v>
      </c>
      <c r="V481" s="500" t="n"/>
      <c r="W481" s="500" t="n"/>
      <c r="X481" s="500" t="n"/>
      <c r="Y481" s="500" t="n"/>
      <c r="Z481" s="500" t="n"/>
      <c r="AA481" s="500" t="n"/>
      <c r="AB481" s="500" t="n"/>
      <c r="AC481" s="500" t="n"/>
      <c r="AD481" s="500" t="n"/>
      <c r="AE481" s="500" t="n"/>
      <c r="AF481" s="500" t="n"/>
      <c r="AG481" s="500" t="n"/>
    </row>
    <row r="482">
      <c r="A482" s="710" t="n"/>
      <c r="B482" s="721" t="n">
        <v>43</v>
      </c>
      <c r="C482" s="471" t="n"/>
      <c r="D482" s="471" t="inlineStr">
        <is>
          <t>Guidan Karma</t>
        </is>
      </c>
      <c r="E482" s="470" t="inlineStr">
        <is>
          <t>Tchadoua</t>
        </is>
      </c>
      <c r="F482" s="470" t="inlineStr">
        <is>
          <t>Intervention</t>
        </is>
      </c>
      <c r="G482" s="470" t="n">
        <v>2025</v>
      </c>
      <c r="H482" s="471" t="n">
        <v>2026</v>
      </c>
      <c r="I482" s="470" t="n">
        <v>1</v>
      </c>
      <c r="J482" s="509" t="inlineStr">
        <is>
          <t>NR</t>
        </is>
      </c>
      <c r="K482" s="470" t="n">
        <v>17</v>
      </c>
      <c r="L482" s="470" t="n">
        <v>2</v>
      </c>
      <c r="M482" s="470" t="inlineStr">
        <is>
          <t>NR</t>
        </is>
      </c>
      <c r="N482" s="470" t="inlineStr">
        <is>
          <t>NR</t>
        </is>
      </c>
      <c r="O482" s="470" t="inlineStr">
        <is>
          <t>NR</t>
        </is>
      </c>
      <c r="P482" s="470" t="inlineStr">
        <is>
          <t>NR</t>
        </is>
      </c>
      <c r="Q482" s="470" t="n">
        <v>3.3</v>
      </c>
      <c r="R482" s="470" t="inlineStr">
        <is>
          <t>NR</t>
        </is>
      </c>
      <c r="S482" s="470" t="n">
        <v>2.9</v>
      </c>
      <c r="T482" s="509" t="inlineStr">
        <is>
          <t>NR</t>
        </is>
      </c>
      <c r="U482" s="470" t="n">
        <v>0</v>
      </c>
      <c r="V482" s="470" t="n"/>
      <c r="W482" s="470" t="n"/>
      <c r="X482" s="470" t="n"/>
      <c r="Y482" s="470" t="n"/>
      <c r="Z482" s="470" t="n"/>
      <c r="AA482" s="470" t="n"/>
      <c r="AB482" s="470" t="n"/>
      <c r="AC482" s="470" t="n"/>
      <c r="AD482" s="470" t="n"/>
      <c r="AE482" s="470" t="n"/>
      <c r="AF482" s="470" t="n"/>
      <c r="AG482" s="470" t="n"/>
    </row>
    <row r="483">
      <c r="A483" s="710" t="n"/>
      <c r="B483" s="706" t="n"/>
      <c r="C483" s="471" t="n"/>
      <c r="D483" s="471" t="inlineStr">
        <is>
          <t>Guidan Zoudi</t>
        </is>
      </c>
      <c r="E483" s="495" t="inlineStr">
        <is>
          <t>Tchadoua</t>
        </is>
      </c>
      <c r="F483" s="495" t="inlineStr">
        <is>
          <t>Control</t>
        </is>
      </c>
      <c r="G483" s="495" t="n">
        <v>2025</v>
      </c>
      <c r="H483" s="471" t="n">
        <v>2026</v>
      </c>
      <c r="I483" s="470" t="n">
        <v>0</v>
      </c>
      <c r="J483" s="470" t="n">
        <v>0</v>
      </c>
      <c r="K483" s="470" t="n">
        <v>15</v>
      </c>
      <c r="L483" s="470" t="n">
        <v>0</v>
      </c>
      <c r="M483" s="470" t="inlineStr">
        <is>
          <t>NR</t>
        </is>
      </c>
      <c r="N483" s="470" t="inlineStr">
        <is>
          <t>NR</t>
        </is>
      </c>
      <c r="O483" s="470" t="inlineStr">
        <is>
          <t>NR</t>
        </is>
      </c>
      <c r="P483" s="470" t="inlineStr">
        <is>
          <t>NR</t>
        </is>
      </c>
      <c r="Q483" s="470" t="n">
        <v>2.2</v>
      </c>
      <c r="R483" s="470" t="inlineStr">
        <is>
          <t>NR</t>
        </is>
      </c>
      <c r="S483" s="470" t="n">
        <v>1.2</v>
      </c>
      <c r="T483" s="509" t="inlineStr">
        <is>
          <t>NR</t>
        </is>
      </c>
      <c r="U483" s="494" t="n">
        <v>0</v>
      </c>
      <c r="V483" s="470" t="n"/>
      <c r="W483" s="470" t="n"/>
      <c r="X483" s="470" t="n"/>
      <c r="Y483" s="470" t="n"/>
      <c r="Z483" s="470" t="n"/>
      <c r="AA483" s="470" t="n"/>
      <c r="AB483" s="470" t="n"/>
      <c r="AC483" s="470" t="n"/>
      <c r="AD483" s="470" t="n"/>
      <c r="AE483" s="470" t="n"/>
      <c r="AF483" s="470" t="n"/>
      <c r="AG483" s="470" t="n"/>
    </row>
    <row r="484">
      <c r="A484" s="710" t="n"/>
      <c r="B484" s="722" t="n">
        <v>44</v>
      </c>
      <c r="C484" s="420" t="n"/>
      <c r="D484" s="420" t="inlineStr">
        <is>
          <t>Janroua Sedentaire</t>
        </is>
      </c>
      <c r="E484" s="497" t="inlineStr">
        <is>
          <t>Tchadoua</t>
        </is>
      </c>
      <c r="F484" s="497" t="inlineStr">
        <is>
          <t>Intervention</t>
        </is>
      </c>
      <c r="G484" s="497" t="n">
        <v>2025</v>
      </c>
      <c r="H484" s="480" t="n">
        <v>2026</v>
      </c>
      <c r="I484" s="497" t="n">
        <v>1</v>
      </c>
      <c r="J484" s="509" t="inlineStr">
        <is>
          <t>NR</t>
        </is>
      </c>
      <c r="K484" s="497" t="n">
        <v>25</v>
      </c>
      <c r="L484" s="420" t="n">
        <v>2</v>
      </c>
      <c r="M484" s="497" t="inlineStr">
        <is>
          <t>NR</t>
        </is>
      </c>
      <c r="N484" s="497" t="inlineStr">
        <is>
          <t>NR</t>
        </is>
      </c>
      <c r="O484" s="497" t="inlineStr">
        <is>
          <t>NR</t>
        </is>
      </c>
      <c r="P484" s="497" t="inlineStr">
        <is>
          <t>NR</t>
        </is>
      </c>
      <c r="Q484" s="497" t="n">
        <v>3</v>
      </c>
      <c r="R484" s="497" t="inlineStr">
        <is>
          <t>NR</t>
        </is>
      </c>
      <c r="S484" s="497" t="n">
        <v>3</v>
      </c>
      <c r="T484" s="509" t="inlineStr">
        <is>
          <t>NR</t>
        </is>
      </c>
      <c r="U484" s="497" t="n">
        <v>0</v>
      </c>
      <c r="V484" s="497" t="n"/>
      <c r="W484" s="497" t="n"/>
      <c r="X484" s="497" t="n"/>
      <c r="Y484" s="497" t="n"/>
      <c r="Z484" s="497" t="n"/>
      <c r="AA484" s="497" t="n"/>
      <c r="AB484" s="497" t="n"/>
      <c r="AC484" s="497" t="n"/>
      <c r="AD484" s="497" t="n"/>
      <c r="AE484" s="497" t="n"/>
      <c r="AF484" s="497" t="n"/>
      <c r="AG484" s="497" t="n"/>
    </row>
    <row r="485">
      <c r="A485" s="710" t="n"/>
      <c r="B485" s="706" t="n"/>
      <c r="C485" s="420" t="n"/>
      <c r="D485" s="420" t="inlineStr">
        <is>
          <t>Zabon Mousso</t>
        </is>
      </c>
      <c r="E485" s="79" t="inlineStr">
        <is>
          <t>Tchadoua</t>
        </is>
      </c>
      <c r="F485" s="79" t="inlineStr">
        <is>
          <t>Control</t>
        </is>
      </c>
      <c r="G485" s="79" t="n">
        <v>2025</v>
      </c>
      <c r="H485" s="480" t="n">
        <v>2026</v>
      </c>
      <c r="I485" s="497" t="n">
        <v>0</v>
      </c>
      <c r="J485" s="497" t="n">
        <v>0</v>
      </c>
      <c r="K485" s="497" t="n">
        <v>26</v>
      </c>
      <c r="L485" s="420" t="n">
        <v>0</v>
      </c>
      <c r="M485" s="497" t="inlineStr">
        <is>
          <t>NR</t>
        </is>
      </c>
      <c r="N485" s="497" t="inlineStr">
        <is>
          <t>NR</t>
        </is>
      </c>
      <c r="O485" s="497" t="inlineStr">
        <is>
          <t>NR</t>
        </is>
      </c>
      <c r="P485" s="497" t="inlineStr">
        <is>
          <t>NR</t>
        </is>
      </c>
      <c r="Q485" s="497" t="n">
        <v>0.3</v>
      </c>
      <c r="R485" s="497" t="inlineStr">
        <is>
          <t>NR</t>
        </is>
      </c>
      <c r="S485" s="497" t="n">
        <v>0.7</v>
      </c>
      <c r="T485" s="509" t="inlineStr">
        <is>
          <t>NR</t>
        </is>
      </c>
      <c r="U485" s="500" t="n">
        <v>0</v>
      </c>
      <c r="V485" s="497" t="n"/>
      <c r="W485" s="497" t="n"/>
      <c r="X485" s="497" t="n"/>
      <c r="Y485" s="497" t="n"/>
      <c r="Z485" s="497" t="n"/>
      <c r="AA485" s="497" t="n"/>
      <c r="AB485" s="497" t="n"/>
      <c r="AC485" s="497" t="n"/>
      <c r="AD485" s="497" t="n"/>
      <c r="AE485" s="497" t="n"/>
      <c r="AF485" s="497" t="n"/>
      <c r="AG485" s="497" t="n"/>
    </row>
    <row r="486">
      <c r="A486" s="710" t="n"/>
      <c r="B486" s="721" t="n">
        <v>45</v>
      </c>
      <c r="C486" s="471" t="n"/>
      <c r="D486" s="471" t="inlineStr">
        <is>
          <t>Guidan Tambari</t>
        </is>
      </c>
      <c r="E486" s="470" t="inlineStr">
        <is>
          <t>Tchadoua</t>
        </is>
      </c>
      <c r="F486" s="470" t="inlineStr">
        <is>
          <t>Control</t>
        </is>
      </c>
      <c r="G486" s="470" t="n">
        <v>2025</v>
      </c>
      <c r="H486" s="471" t="n">
        <v>2026</v>
      </c>
      <c r="I486" s="470" t="n">
        <v>0</v>
      </c>
      <c r="J486" s="470" t="n">
        <v>0</v>
      </c>
      <c r="K486" s="470" t="n">
        <v>21</v>
      </c>
      <c r="L486" s="470" t="n">
        <v>0</v>
      </c>
      <c r="M486" s="470" t="inlineStr">
        <is>
          <t>NR</t>
        </is>
      </c>
      <c r="N486" s="470" t="inlineStr">
        <is>
          <t>NR</t>
        </is>
      </c>
      <c r="O486" s="470" t="inlineStr">
        <is>
          <t>NR</t>
        </is>
      </c>
      <c r="P486" s="470" t="inlineStr">
        <is>
          <t>NR</t>
        </is>
      </c>
      <c r="Q486" s="470" t="n">
        <v>0.5</v>
      </c>
      <c r="R486" s="470" t="inlineStr">
        <is>
          <t>NR</t>
        </is>
      </c>
      <c r="S486" s="470" t="n">
        <v>0.5</v>
      </c>
      <c r="T486" s="509" t="inlineStr">
        <is>
          <t>NR</t>
        </is>
      </c>
      <c r="U486" s="470" t="n">
        <v>0</v>
      </c>
      <c r="V486" s="470" t="n"/>
      <c r="W486" s="470" t="n"/>
      <c r="X486" s="470" t="n"/>
      <c r="Y486" s="470" t="n"/>
      <c r="Z486" s="470" t="n"/>
      <c r="AA486" s="470" t="n"/>
      <c r="AB486" s="470" t="n"/>
      <c r="AC486" s="470" t="n"/>
      <c r="AD486" s="470" t="n"/>
      <c r="AE486" s="470" t="n"/>
      <c r="AF486" s="470" t="n"/>
      <c r="AG486" s="470" t="n"/>
    </row>
    <row r="487">
      <c r="A487" s="710" t="n"/>
      <c r="B487" s="706" t="n"/>
      <c r="C487" s="471" t="n"/>
      <c r="D487" s="471" t="inlineStr">
        <is>
          <t>Zangon Naroua</t>
        </is>
      </c>
      <c r="E487" s="495" t="inlineStr">
        <is>
          <t>Tchadoua</t>
        </is>
      </c>
      <c r="F487" s="495" t="inlineStr">
        <is>
          <t>Intervention</t>
        </is>
      </c>
      <c r="G487" s="495" t="n">
        <v>2025</v>
      </c>
      <c r="H487" s="471" t="n">
        <v>2026</v>
      </c>
      <c r="I487" s="470" t="n">
        <v>1</v>
      </c>
      <c r="J487" s="509" t="inlineStr">
        <is>
          <t>NR</t>
        </is>
      </c>
      <c r="K487" s="470" t="n">
        <v>18</v>
      </c>
      <c r="L487" s="470" t="n">
        <v>2</v>
      </c>
      <c r="M487" s="470" t="inlineStr">
        <is>
          <t>NR</t>
        </is>
      </c>
      <c r="N487" s="470" t="inlineStr">
        <is>
          <t>NR</t>
        </is>
      </c>
      <c r="O487" s="470" t="inlineStr">
        <is>
          <t>NR</t>
        </is>
      </c>
      <c r="P487" s="470" t="inlineStr">
        <is>
          <t>NR</t>
        </is>
      </c>
      <c r="Q487" s="470" t="n">
        <v>3.3</v>
      </c>
      <c r="R487" s="470" t="inlineStr">
        <is>
          <t>NR</t>
        </is>
      </c>
      <c r="S487" s="470" t="n">
        <v>3.4</v>
      </c>
      <c r="T487" s="509" t="inlineStr">
        <is>
          <t>NR</t>
        </is>
      </c>
      <c r="U487" s="494" t="n">
        <v>0</v>
      </c>
      <c r="V487" s="470" t="n"/>
      <c r="W487" s="470" t="n"/>
      <c r="X487" s="470" t="n"/>
      <c r="Y487" s="470" t="n"/>
      <c r="Z487" s="470" t="n"/>
      <c r="AA487" s="470" t="n"/>
      <c r="AB487" s="470" t="n"/>
      <c r="AC487" s="470" t="n"/>
      <c r="AD487" s="470" t="n"/>
      <c r="AE487" s="470" t="n"/>
      <c r="AF487" s="470" t="n"/>
      <c r="AG487" s="470" t="n"/>
    </row>
    <row r="488">
      <c r="A488" s="710" t="n"/>
      <c r="B488" s="722" t="n">
        <v>46</v>
      </c>
      <c r="C488" s="420" t="n"/>
      <c r="D488" s="420" t="inlineStr">
        <is>
          <t>Dan Bouzou</t>
        </is>
      </c>
      <c r="E488" s="497" t="inlineStr">
        <is>
          <t>Tchadoua</t>
        </is>
      </c>
      <c r="F488" s="497" t="inlineStr">
        <is>
          <t>Control</t>
        </is>
      </c>
      <c r="G488" s="497" t="n">
        <v>2025</v>
      </c>
      <c r="H488" s="480" t="n">
        <v>2026</v>
      </c>
      <c r="I488" s="497" t="n">
        <v>0</v>
      </c>
      <c r="J488" s="497" t="n">
        <v>0</v>
      </c>
      <c r="K488" s="497" t="n">
        <v>29</v>
      </c>
      <c r="L488" s="497" t="n">
        <v>0</v>
      </c>
      <c r="M488" s="497" t="inlineStr">
        <is>
          <t>NR</t>
        </is>
      </c>
      <c r="N488" s="497" t="inlineStr">
        <is>
          <t>NR</t>
        </is>
      </c>
      <c r="O488" s="497" t="inlineStr">
        <is>
          <t>NR</t>
        </is>
      </c>
      <c r="P488" s="497" t="inlineStr">
        <is>
          <t>NR</t>
        </is>
      </c>
      <c r="Q488" s="497" t="n">
        <v>0.6</v>
      </c>
      <c r="R488" s="497" t="inlineStr">
        <is>
          <t>NR</t>
        </is>
      </c>
      <c r="S488" s="497" t="n">
        <v>0.9</v>
      </c>
      <c r="T488" s="509" t="inlineStr">
        <is>
          <t>NR</t>
        </is>
      </c>
      <c r="U488" s="497" t="n">
        <v>0</v>
      </c>
      <c r="V488" s="497" t="n"/>
      <c r="W488" s="497" t="n"/>
      <c r="X488" s="497" t="n"/>
      <c r="Y488" s="497" t="n"/>
      <c r="Z488" s="497" t="n"/>
      <c r="AA488" s="497" t="n"/>
      <c r="AB488" s="497" t="n"/>
      <c r="AC488" s="497" t="n"/>
      <c r="AD488" s="497" t="n"/>
      <c r="AE488" s="497" t="n"/>
      <c r="AF488" s="497" t="n"/>
      <c r="AG488" s="497" t="n"/>
    </row>
    <row r="489">
      <c r="A489" s="710" t="n"/>
      <c r="B489" s="706" t="n"/>
      <c r="C489" s="420" t="n"/>
      <c r="D489" s="420" t="inlineStr">
        <is>
          <t>Maijanguero</t>
        </is>
      </c>
      <c r="E489" s="79" t="inlineStr">
        <is>
          <t>Tchadoua</t>
        </is>
      </c>
      <c r="F489" s="79" t="inlineStr">
        <is>
          <t>Intervention</t>
        </is>
      </c>
      <c r="G489" s="79" t="n">
        <v>2025</v>
      </c>
      <c r="H489" s="480" t="n">
        <v>2026</v>
      </c>
      <c r="I489" s="497" t="n">
        <v>1</v>
      </c>
      <c r="J489" s="509" t="inlineStr">
        <is>
          <t>NR</t>
        </is>
      </c>
      <c r="K489" s="497" t="n">
        <v>42</v>
      </c>
      <c r="L489" s="497" t="n">
        <v>2</v>
      </c>
      <c r="M489" s="497" t="inlineStr">
        <is>
          <t>NR</t>
        </is>
      </c>
      <c r="N489" s="497" t="inlineStr">
        <is>
          <t>NR</t>
        </is>
      </c>
      <c r="O489" s="497" t="inlineStr">
        <is>
          <t>NR</t>
        </is>
      </c>
      <c r="P489" s="497" t="inlineStr">
        <is>
          <t>NR</t>
        </is>
      </c>
      <c r="Q489" s="497" t="n">
        <v>3.4</v>
      </c>
      <c r="R489" s="497" t="inlineStr">
        <is>
          <t>NR</t>
        </is>
      </c>
      <c r="S489" s="497" t="n">
        <v>3.3</v>
      </c>
      <c r="T489" s="509" t="inlineStr">
        <is>
          <t>NR</t>
        </is>
      </c>
      <c r="U489" s="500" t="n">
        <v>0</v>
      </c>
      <c r="V489" s="497" t="n"/>
      <c r="W489" s="497" t="n"/>
      <c r="X489" s="497" t="n"/>
      <c r="Y489" s="497" t="n"/>
      <c r="Z489" s="497" t="n"/>
      <c r="AA489" s="497" t="n"/>
      <c r="AB489" s="497" t="n"/>
      <c r="AC489" s="497" t="n"/>
      <c r="AD489" s="497" t="n"/>
      <c r="AE489" s="497" t="n"/>
      <c r="AF489" s="497" t="n"/>
      <c r="AG489" s="497" t="n"/>
    </row>
    <row r="490">
      <c r="A490" s="710" t="n"/>
      <c r="B490" s="721" t="n">
        <v>47</v>
      </c>
      <c r="C490" s="471" t="n"/>
      <c r="D490" s="471" t="inlineStr">
        <is>
          <t>Douma 1</t>
        </is>
      </c>
      <c r="E490" s="470" t="inlineStr">
        <is>
          <t>Tchadoua</t>
        </is>
      </c>
      <c r="F490" s="470" t="inlineStr">
        <is>
          <t>Intervention</t>
        </is>
      </c>
      <c r="G490" s="470" t="n">
        <v>2025</v>
      </c>
      <c r="H490" s="471" t="n">
        <v>2026</v>
      </c>
      <c r="I490" s="470" t="n">
        <v>1</v>
      </c>
      <c r="J490" s="509" t="inlineStr">
        <is>
          <t>NR</t>
        </is>
      </c>
      <c r="K490" s="470" t="n">
        <v>36</v>
      </c>
      <c r="L490" s="470" t="n">
        <v>2</v>
      </c>
      <c r="M490" s="470" t="inlineStr">
        <is>
          <t>NR</t>
        </is>
      </c>
      <c r="N490" s="470" t="inlineStr">
        <is>
          <t>NR</t>
        </is>
      </c>
      <c r="O490" s="470" t="inlineStr">
        <is>
          <t>NR</t>
        </is>
      </c>
      <c r="P490" s="470" t="inlineStr">
        <is>
          <t>NR</t>
        </is>
      </c>
      <c r="Q490" s="470" t="n">
        <v>2.8</v>
      </c>
      <c r="R490" s="470" t="inlineStr">
        <is>
          <t>NR</t>
        </is>
      </c>
      <c r="S490" s="470" t="n">
        <v>3.1</v>
      </c>
      <c r="T490" s="509" t="inlineStr">
        <is>
          <t>NR</t>
        </is>
      </c>
      <c r="U490" s="470" t="n">
        <v>0</v>
      </c>
      <c r="V490" s="470" t="n"/>
      <c r="W490" s="470" t="n"/>
      <c r="X490" s="470" t="n"/>
      <c r="Y490" s="470" t="n"/>
      <c r="Z490" s="470" t="n"/>
      <c r="AA490" s="470" t="n"/>
      <c r="AB490" s="470" t="n"/>
      <c r="AC490" s="470" t="n"/>
      <c r="AD490" s="470" t="n"/>
      <c r="AE490" s="470" t="n"/>
      <c r="AF490" s="470" t="n"/>
      <c r="AG490" s="470" t="n"/>
    </row>
    <row r="491">
      <c r="A491" s="710" t="n"/>
      <c r="B491" s="706" t="n"/>
      <c r="C491" s="471" t="n"/>
      <c r="D491" s="471" t="inlineStr">
        <is>
          <t>Guidan Koumbe</t>
        </is>
      </c>
      <c r="E491" s="495" t="inlineStr">
        <is>
          <t>Tchadoua</t>
        </is>
      </c>
      <c r="F491" s="495" t="inlineStr">
        <is>
          <t>Control</t>
        </is>
      </c>
      <c r="G491" s="495" t="n">
        <v>2025</v>
      </c>
      <c r="H491" s="471" t="n">
        <v>2026</v>
      </c>
      <c r="I491" s="470" t="n">
        <v>0</v>
      </c>
      <c r="J491" s="470" t="n">
        <v>0</v>
      </c>
      <c r="K491" s="470" t="n">
        <v>29</v>
      </c>
      <c r="L491" s="470" t="n">
        <v>0</v>
      </c>
      <c r="M491" s="470" t="inlineStr">
        <is>
          <t>NR</t>
        </is>
      </c>
      <c r="N491" s="470" t="inlineStr">
        <is>
          <t>NR</t>
        </is>
      </c>
      <c r="O491" s="470" t="inlineStr">
        <is>
          <t>NR</t>
        </is>
      </c>
      <c r="P491" s="470" t="inlineStr">
        <is>
          <t>NR</t>
        </is>
      </c>
      <c r="Q491" s="470" t="n">
        <v>1.1</v>
      </c>
      <c r="R491" s="470" t="inlineStr">
        <is>
          <t>NR</t>
        </is>
      </c>
      <c r="S491" s="470" t="n">
        <v>1.1</v>
      </c>
      <c r="T491" s="509" t="inlineStr">
        <is>
          <t>NR</t>
        </is>
      </c>
      <c r="U491" s="494" t="n">
        <v>0</v>
      </c>
      <c r="V491" s="470" t="n"/>
      <c r="W491" s="470" t="n"/>
      <c r="X491" s="470" t="n"/>
      <c r="Y491" s="470" t="n"/>
      <c r="Z491" s="470" t="n"/>
      <c r="AA491" s="470" t="n"/>
      <c r="AB491" s="470" t="n"/>
      <c r="AC491" s="470" t="n"/>
      <c r="AD491" s="470" t="n"/>
      <c r="AE491" s="470" t="n"/>
      <c r="AF491" s="470" t="n"/>
      <c r="AG491" s="470" t="n"/>
    </row>
    <row r="492">
      <c r="A492" s="710" t="n"/>
      <c r="B492" s="722" t="n">
        <v>48</v>
      </c>
      <c r="C492" s="423" t="n"/>
      <c r="D492" s="423" t="inlineStr">
        <is>
          <t>Kouran Mota</t>
        </is>
      </c>
      <c r="E492" s="497" t="inlineStr">
        <is>
          <t>Tchadoua</t>
        </is>
      </c>
      <c r="F492" s="506" t="inlineStr">
        <is>
          <t>Intervention</t>
        </is>
      </c>
      <c r="G492" s="506" t="n">
        <v>2025</v>
      </c>
      <c r="H492" s="480" t="n">
        <v>2026</v>
      </c>
      <c r="I492" s="497" t="n">
        <v>1</v>
      </c>
      <c r="J492" s="509" t="inlineStr">
        <is>
          <t>NR</t>
        </is>
      </c>
      <c r="K492" s="497" t="n">
        <v>20</v>
      </c>
      <c r="L492" s="420" t="n">
        <v>2</v>
      </c>
      <c r="M492" s="497" t="inlineStr">
        <is>
          <t>NR</t>
        </is>
      </c>
      <c r="N492" s="497" t="inlineStr">
        <is>
          <t>NR</t>
        </is>
      </c>
      <c r="O492" s="497" t="inlineStr">
        <is>
          <t>NR</t>
        </is>
      </c>
      <c r="P492" s="497" t="inlineStr">
        <is>
          <t>NR</t>
        </is>
      </c>
      <c r="Q492" s="497" t="n">
        <v>4.1</v>
      </c>
      <c r="R492" s="497" t="inlineStr">
        <is>
          <t>NR</t>
        </is>
      </c>
      <c r="S492" s="497" t="n">
        <v>4.1</v>
      </c>
      <c r="T492" s="509" t="inlineStr">
        <is>
          <t>NR</t>
        </is>
      </c>
      <c r="U492" s="497" t="n">
        <v>0</v>
      </c>
      <c r="V492" s="497" t="n"/>
      <c r="W492" s="497" t="n"/>
      <c r="X492" s="497" t="n"/>
      <c r="Y492" s="497" t="n"/>
      <c r="Z492" s="497" t="n"/>
      <c r="AA492" s="497" t="n"/>
      <c r="AB492" s="497" t="n"/>
      <c r="AC492" s="497" t="n"/>
      <c r="AD492" s="497" t="n"/>
      <c r="AE492" s="497" t="n"/>
      <c r="AF492" s="497" t="n"/>
      <c r="AG492" s="497" t="n"/>
    </row>
    <row r="493">
      <c r="A493" s="706" t="n"/>
      <c r="B493" s="706" t="n"/>
      <c r="C493" s="423" t="n"/>
      <c r="D493" s="423" t="inlineStr">
        <is>
          <t>Chapke</t>
        </is>
      </c>
      <c r="E493" s="79" t="inlineStr">
        <is>
          <t>Tchadoua</t>
        </is>
      </c>
      <c r="F493" s="507" t="inlineStr">
        <is>
          <t>Control</t>
        </is>
      </c>
      <c r="G493" s="507" t="n">
        <v>2025</v>
      </c>
      <c r="H493" s="480" t="n">
        <v>2026</v>
      </c>
      <c r="I493" s="497" t="n">
        <v>0</v>
      </c>
      <c r="J493" s="497" t="n">
        <v>0</v>
      </c>
      <c r="K493" s="497" t="n">
        <v>23</v>
      </c>
      <c r="L493" s="420" t="n">
        <v>0</v>
      </c>
      <c r="M493" s="497" t="inlineStr">
        <is>
          <t>NR</t>
        </is>
      </c>
      <c r="N493" s="497" t="inlineStr">
        <is>
          <t>NR</t>
        </is>
      </c>
      <c r="O493" s="497" t="inlineStr">
        <is>
          <t>NR</t>
        </is>
      </c>
      <c r="P493" s="497" t="inlineStr">
        <is>
          <t>NR</t>
        </is>
      </c>
      <c r="Q493" s="497" t="n">
        <v>0.6</v>
      </c>
      <c r="R493" s="497" t="inlineStr">
        <is>
          <t>NR</t>
        </is>
      </c>
      <c r="S493" s="497" t="n">
        <v>0.8</v>
      </c>
      <c r="T493" s="509" t="inlineStr">
        <is>
          <t>NR</t>
        </is>
      </c>
      <c r="U493" s="500" t="n">
        <v>0</v>
      </c>
      <c r="V493" s="497" t="n"/>
      <c r="W493" s="497" t="n"/>
      <c r="X493" s="497" t="n"/>
      <c r="Y493" s="497" t="n"/>
      <c r="Z493" s="497" t="n"/>
      <c r="AA493" s="497" t="n"/>
      <c r="AB493" s="497" t="n"/>
      <c r="AC493" s="497" t="n"/>
      <c r="AD493" s="497" t="n"/>
      <c r="AE493" s="497" t="n"/>
      <c r="AF493" s="497" t="n"/>
      <c r="AG493" s="497" t="n"/>
    </row>
    <row r="494">
      <c r="A494" s="516" t="n"/>
      <c r="B494" s="516" t="n"/>
      <c r="C494" s="516" t="n"/>
      <c r="D494" s="516" t="n"/>
      <c r="E494" s="516" t="n"/>
      <c r="F494" s="516" t="n"/>
      <c r="G494" s="516" t="n"/>
      <c r="H494" s="516" t="n"/>
      <c r="I494" s="516" t="n"/>
      <c r="J494" s="516" t="n"/>
      <c r="K494" s="516" t="n"/>
    </row>
    <row r="495">
      <c r="A495" s="516" t="n"/>
      <c r="B495" s="516" t="n"/>
      <c r="C495" s="516" t="n"/>
      <c r="D495" s="516" t="n"/>
      <c r="E495" s="516" t="n"/>
      <c r="F495" s="516" t="n"/>
      <c r="G495" s="516" t="n"/>
      <c r="H495" s="516" t="n"/>
      <c r="I495" s="516" t="n"/>
      <c r="J495" s="516" t="n"/>
      <c r="K495" s="516" t="n"/>
    </row>
    <row r="496">
      <c r="A496" s="516" t="n"/>
      <c r="B496" s="516" t="n"/>
      <c r="C496" s="516" t="n"/>
      <c r="D496" s="516" t="n"/>
      <c r="E496" s="516" t="n"/>
      <c r="F496" s="516" t="n"/>
      <c r="G496" s="516" t="n"/>
      <c r="H496" s="516" t="n"/>
      <c r="I496" s="516" t="n"/>
      <c r="J496" s="516" t="n"/>
      <c r="K496" s="516" t="n"/>
    </row>
    <row r="497">
      <c r="A497" s="516" t="n"/>
      <c r="B497" s="516" t="n"/>
      <c r="C497" s="516" t="n"/>
      <c r="D497" s="516" t="n"/>
      <c r="E497" s="516" t="n"/>
      <c r="F497" s="516" t="n"/>
      <c r="G497" s="516" t="n"/>
      <c r="H497" s="516" t="n"/>
      <c r="I497" s="516" t="n"/>
      <c r="J497" s="516" t="n"/>
      <c r="K497" s="516" t="n"/>
    </row>
    <row r="498">
      <c r="A498" s="516" t="n"/>
      <c r="B498" s="516" t="n"/>
      <c r="C498" s="516" t="n"/>
      <c r="D498" s="516" t="n"/>
      <c r="E498" s="516" t="n"/>
      <c r="F498" s="516" t="n"/>
      <c r="G498" s="516" t="n"/>
      <c r="H498" s="516" t="n"/>
      <c r="I498" s="516" t="n"/>
      <c r="J498" s="516" t="n"/>
      <c r="K498" s="516" t="n"/>
    </row>
    <row r="499">
      <c r="A499" s="516" t="n"/>
      <c r="B499" s="516" t="n"/>
      <c r="C499" s="516" t="n"/>
      <c r="D499" s="516" t="n"/>
      <c r="E499" s="516" t="n"/>
      <c r="F499" s="516" t="n"/>
      <c r="G499" s="516" t="n"/>
      <c r="H499" s="516" t="n"/>
      <c r="I499" s="516" t="n"/>
      <c r="J499" s="516" t="n"/>
      <c r="K499" s="516" t="n"/>
    </row>
    <row r="500">
      <c r="A500" s="516" t="n"/>
      <c r="B500" s="516" t="n"/>
      <c r="C500" s="516" t="n"/>
      <c r="D500" s="516" t="n"/>
      <c r="E500" s="516" t="n"/>
      <c r="F500" s="516" t="n"/>
      <c r="G500" s="516" t="n"/>
      <c r="H500" s="516" t="n"/>
      <c r="I500" s="516" t="n"/>
      <c r="J500" s="516" t="n"/>
      <c r="K500" s="516" t="n"/>
    </row>
    <row r="501">
      <c r="A501" s="516" t="n"/>
      <c r="B501" s="516" t="n"/>
      <c r="C501" s="516" t="n"/>
      <c r="D501" s="516" t="n"/>
      <c r="E501" s="516" t="n"/>
      <c r="F501" s="516" t="n"/>
      <c r="G501" s="516" t="n"/>
      <c r="H501" s="516" t="n"/>
      <c r="I501" s="516" t="n"/>
      <c r="J501" s="516" t="n"/>
      <c r="K501" s="516" t="n"/>
    </row>
    <row r="502">
      <c r="A502" s="516" t="n"/>
      <c r="B502" s="516" t="n"/>
      <c r="C502" s="516" t="n"/>
      <c r="D502" s="516" t="n"/>
      <c r="E502" s="516" t="n"/>
      <c r="F502" s="516" t="n"/>
      <c r="G502" s="516" t="n"/>
      <c r="H502" s="516" t="n"/>
      <c r="I502" s="516" t="n"/>
      <c r="J502" s="516" t="n"/>
      <c r="K502" s="516" t="n"/>
    </row>
    <row r="503">
      <c r="A503" s="516" t="n"/>
      <c r="B503" s="516" t="n"/>
      <c r="C503" s="516" t="n"/>
      <c r="D503" s="516" t="n"/>
      <c r="E503" s="516" t="n"/>
      <c r="F503" s="516" t="n"/>
      <c r="G503" s="516" t="n"/>
      <c r="H503" s="516" t="n"/>
      <c r="I503" s="516" t="n"/>
      <c r="J503" s="516" t="n"/>
      <c r="K503" s="516" t="n"/>
    </row>
    <row r="504">
      <c r="A504" s="516" t="n"/>
      <c r="B504" s="516" t="n"/>
      <c r="C504" s="516" t="n"/>
      <c r="D504" s="516" t="n"/>
      <c r="E504" s="516" t="n"/>
      <c r="F504" s="516" t="n"/>
      <c r="G504" s="516" t="n"/>
      <c r="H504" s="516" t="n"/>
      <c r="I504" s="516" t="n"/>
      <c r="J504" s="516" t="n"/>
      <c r="K504" s="516" t="n"/>
    </row>
    <row r="505">
      <c r="A505" s="516" t="n"/>
      <c r="B505" s="516" t="n"/>
      <c r="C505" s="516" t="n"/>
      <c r="D505" s="516" t="n"/>
      <c r="E505" s="516" t="n"/>
      <c r="F505" s="516" t="n"/>
      <c r="G505" s="516" t="n"/>
      <c r="H505" s="516" t="n"/>
      <c r="I505" s="516" t="n"/>
      <c r="J505" s="516" t="n"/>
      <c r="K505" s="516" t="n"/>
    </row>
    <row r="506">
      <c r="A506" s="516" t="n"/>
      <c r="B506" s="516" t="n"/>
      <c r="C506" s="516" t="n"/>
      <c r="D506" s="516" t="n"/>
      <c r="E506" s="516" t="n"/>
      <c r="F506" s="516" t="n"/>
      <c r="G506" s="516" t="n"/>
      <c r="H506" s="516" t="n"/>
      <c r="I506" s="516" t="n"/>
      <c r="J506" s="516" t="n"/>
      <c r="K506" s="516" t="n"/>
    </row>
    <row r="507">
      <c r="A507" s="516" t="n"/>
      <c r="B507" s="516" t="n"/>
      <c r="C507" s="516" t="n"/>
      <c r="D507" s="516" t="n"/>
      <c r="E507" s="516" t="n"/>
      <c r="F507" s="516" t="n"/>
      <c r="G507" s="516" t="n"/>
      <c r="H507" s="516" t="n"/>
      <c r="I507" s="516" t="n"/>
      <c r="J507" s="516" t="n"/>
      <c r="K507" s="516" t="n"/>
    </row>
    <row r="508">
      <c r="A508" s="516" t="n"/>
      <c r="B508" s="516" t="n"/>
      <c r="C508" s="516" t="n"/>
      <c r="D508" s="516" t="n"/>
      <c r="E508" s="516" t="n"/>
      <c r="F508" s="516" t="n"/>
      <c r="G508" s="516" t="n"/>
      <c r="H508" s="516" t="n"/>
      <c r="I508" s="516" t="n"/>
      <c r="J508" s="516" t="n"/>
      <c r="K508" s="516" t="n"/>
    </row>
    <row r="509">
      <c r="A509" s="516" t="n"/>
      <c r="B509" s="516" t="n"/>
      <c r="C509" s="516" t="n"/>
      <c r="D509" s="516" t="n"/>
      <c r="E509" s="516" t="n"/>
      <c r="F509" s="516" t="n"/>
      <c r="G509" s="516" t="n"/>
      <c r="H509" s="516" t="n"/>
      <c r="I509" s="516" t="n"/>
      <c r="J509" s="516" t="n"/>
      <c r="K509" s="516" t="n"/>
    </row>
    <row r="510">
      <c r="A510" s="516" t="n"/>
      <c r="B510" s="516" t="n"/>
      <c r="C510" s="516" t="n"/>
      <c r="D510" s="516" t="n"/>
      <c r="E510" s="516" t="n"/>
      <c r="F510" s="516" t="n"/>
      <c r="G510" s="516" t="n"/>
      <c r="H510" s="516" t="n"/>
      <c r="I510" s="516" t="n"/>
      <c r="J510" s="516" t="n"/>
      <c r="K510" s="516" t="n"/>
    </row>
    <row r="511">
      <c r="A511" s="516" t="n"/>
      <c r="B511" s="516" t="n"/>
      <c r="C511" s="516" t="n"/>
      <c r="D511" s="516" t="n"/>
      <c r="E511" s="516" t="n"/>
      <c r="F511" s="516" t="n"/>
      <c r="G511" s="516" t="n"/>
      <c r="H511" s="516" t="n"/>
      <c r="I511" s="516" t="n"/>
      <c r="J511" s="516" t="n"/>
      <c r="K511" s="516" t="n"/>
    </row>
    <row r="512">
      <c r="A512" s="516" t="n"/>
      <c r="B512" s="516" t="n"/>
      <c r="C512" s="516" t="n"/>
      <c r="D512" s="516" t="n"/>
      <c r="E512" s="516" t="n"/>
      <c r="F512" s="516" t="n"/>
      <c r="G512" s="516" t="n"/>
      <c r="H512" s="516" t="n"/>
      <c r="I512" s="516" t="n"/>
      <c r="J512" s="516" t="n"/>
      <c r="K512" s="516" t="n"/>
    </row>
    <row r="513">
      <c r="A513" s="516" t="n"/>
      <c r="B513" s="516" t="n"/>
      <c r="C513" s="516" t="n"/>
      <c r="D513" s="516" t="n"/>
      <c r="E513" s="516" t="n"/>
      <c r="F513" s="516" t="n"/>
      <c r="G513" s="516" t="n"/>
      <c r="H513" s="516" t="n"/>
      <c r="I513" s="516" t="n"/>
      <c r="J513" s="516" t="n"/>
      <c r="K513" s="516" t="n"/>
    </row>
    <row r="514">
      <c r="A514" s="516" t="n"/>
      <c r="B514" s="516" t="n"/>
      <c r="C514" s="516" t="n"/>
      <c r="D514" s="516" t="n"/>
      <c r="E514" s="516" t="n"/>
      <c r="F514" s="516" t="n"/>
      <c r="G514" s="516" t="n"/>
      <c r="H514" s="516" t="n"/>
      <c r="I514" s="516" t="n"/>
      <c r="J514" s="516" t="n"/>
      <c r="K514" s="516" t="n"/>
    </row>
    <row r="515">
      <c r="A515" s="516" t="n"/>
      <c r="B515" s="516" t="n"/>
      <c r="C515" s="516" t="n"/>
      <c r="D515" s="516" t="n"/>
      <c r="E515" s="516" t="n"/>
      <c r="F515" s="516" t="n"/>
      <c r="G515" s="516" t="n"/>
      <c r="H515" s="516" t="n"/>
      <c r="I515" s="516" t="n"/>
      <c r="J515" s="516" t="n"/>
      <c r="K515" s="516" t="n"/>
    </row>
    <row r="516">
      <c r="A516" s="516" t="n"/>
      <c r="B516" s="516" t="n"/>
      <c r="C516" s="516" t="n"/>
      <c r="D516" s="516" t="n"/>
      <c r="E516" s="516" t="n"/>
      <c r="F516" s="516" t="n"/>
      <c r="G516" s="516" t="n"/>
      <c r="H516" s="516" t="n"/>
      <c r="I516" s="516" t="n"/>
      <c r="J516" s="516" t="n"/>
      <c r="K516" s="516" t="n"/>
    </row>
    <row r="517">
      <c r="A517" s="516" t="n"/>
      <c r="B517" s="516" t="n"/>
      <c r="C517" s="516" t="n"/>
      <c r="D517" s="516" t="n"/>
      <c r="E517" s="516" t="n"/>
      <c r="F517" s="516" t="n"/>
      <c r="G517" s="516" t="n"/>
      <c r="H517" s="516" t="n"/>
      <c r="I517" s="516" t="n"/>
      <c r="J517" s="516" t="n"/>
      <c r="K517" s="516" t="n"/>
    </row>
    <row r="518">
      <c r="A518" s="516" t="n"/>
      <c r="B518" s="516" t="n"/>
      <c r="C518" s="516" t="n"/>
      <c r="D518" s="516" t="n"/>
      <c r="E518" s="516" t="n"/>
      <c r="F518" s="516" t="n"/>
      <c r="G518" s="516" t="n"/>
      <c r="H518" s="516" t="n"/>
      <c r="I518" s="516" t="n"/>
      <c r="J518" s="516" t="n"/>
      <c r="K518" s="516" t="n"/>
    </row>
    <row r="519">
      <c r="A519" s="516" t="n"/>
      <c r="B519" s="516" t="n"/>
      <c r="C519" s="516" t="n"/>
      <c r="D519" s="516" t="n"/>
      <c r="E519" s="516" t="n"/>
      <c r="F519" s="516" t="n"/>
      <c r="G519" s="516" t="n"/>
      <c r="H519" s="516" t="n"/>
      <c r="I519" s="516" t="n"/>
      <c r="J519" s="516" t="n"/>
      <c r="K519" s="516" t="n"/>
    </row>
    <row r="520">
      <c r="A520" s="516" t="n"/>
      <c r="B520" s="516" t="n"/>
      <c r="C520" s="516" t="n"/>
      <c r="D520" s="516" t="n"/>
      <c r="E520" s="516" t="n"/>
      <c r="F520" s="516" t="n"/>
      <c r="G520" s="516" t="n"/>
      <c r="H520" s="516" t="n"/>
      <c r="I520" s="516" t="n"/>
      <c r="J520" s="516" t="n"/>
      <c r="K520" s="516" t="n"/>
    </row>
    <row r="521">
      <c r="A521" s="516" t="n"/>
      <c r="B521" s="516" t="n"/>
      <c r="C521" s="516" t="n"/>
      <c r="D521" s="516" t="n"/>
      <c r="E521" s="516" t="n"/>
      <c r="F521" s="516" t="n"/>
      <c r="G521" s="516" t="n"/>
      <c r="H521" s="516" t="n"/>
      <c r="I521" s="516" t="n"/>
      <c r="J521" s="516" t="n"/>
      <c r="K521" s="516" t="n"/>
    </row>
    <row r="522">
      <c r="A522" s="516" t="n"/>
      <c r="B522" s="516" t="n"/>
      <c r="C522" s="516" t="n"/>
      <c r="D522" s="516" t="n"/>
      <c r="E522" s="516" t="n"/>
      <c r="F522" s="516" t="n"/>
      <c r="G522" s="516" t="n"/>
      <c r="H522" s="516" t="n"/>
      <c r="I522" s="516" t="n"/>
      <c r="J522" s="516" t="n"/>
      <c r="K522" s="516" t="n"/>
    </row>
    <row r="523">
      <c r="A523" s="516" t="n"/>
      <c r="B523" s="516" t="n"/>
      <c r="C523" s="516" t="n"/>
      <c r="D523" s="516" t="n"/>
      <c r="E523" s="516" t="n"/>
      <c r="F523" s="516" t="n"/>
      <c r="G523" s="516" t="n"/>
      <c r="H523" s="516" t="n"/>
      <c r="I523" s="516" t="n"/>
      <c r="J523" s="516" t="n"/>
      <c r="K523" s="516" t="n"/>
    </row>
    <row r="524">
      <c r="A524" s="516" t="n"/>
      <c r="B524" s="516" t="n"/>
      <c r="C524" s="516" t="n"/>
      <c r="D524" s="516" t="n"/>
      <c r="E524" s="516" t="n"/>
      <c r="F524" s="516" t="n"/>
      <c r="G524" s="516" t="n"/>
      <c r="H524" s="516" t="n"/>
      <c r="I524" s="516" t="n"/>
      <c r="J524" s="516" t="n"/>
      <c r="K524" s="516" t="n"/>
    </row>
    <row r="525">
      <c r="A525" s="516" t="n"/>
      <c r="B525" s="516" t="n"/>
      <c r="C525" s="516" t="n"/>
      <c r="D525" s="516" t="n"/>
      <c r="E525" s="516" t="n"/>
      <c r="F525" s="516" t="n"/>
      <c r="G525" s="516" t="n"/>
      <c r="H525" s="516" t="n"/>
      <c r="I525" s="516" t="n"/>
      <c r="J525" s="516" t="n"/>
      <c r="K525" s="516" t="n"/>
    </row>
    <row r="526">
      <c r="A526" s="516" t="n"/>
      <c r="B526" s="516" t="n"/>
      <c r="C526" s="516" t="n"/>
      <c r="D526" s="516" t="n"/>
      <c r="E526" s="516" t="n"/>
      <c r="F526" s="516" t="n"/>
      <c r="G526" s="516" t="n"/>
      <c r="H526" s="516" t="n"/>
      <c r="I526" s="516" t="n"/>
      <c r="J526" s="516" t="n"/>
      <c r="K526" s="516" t="n"/>
    </row>
    <row r="527">
      <c r="A527" s="516" t="n"/>
      <c r="B527" s="516" t="n"/>
      <c r="C527" s="516" t="n"/>
      <c r="D527" s="516" t="n"/>
      <c r="E527" s="516" t="n"/>
      <c r="F527" s="516" t="n"/>
      <c r="G527" s="516" t="n"/>
      <c r="H527" s="516" t="n"/>
      <c r="I527" s="516" t="n"/>
      <c r="J527" s="516" t="n"/>
      <c r="K527" s="516" t="n"/>
    </row>
    <row r="528">
      <c r="A528" s="516" t="n"/>
      <c r="B528" s="516" t="n"/>
      <c r="C528" s="516" t="n"/>
      <c r="D528" s="516" t="n"/>
      <c r="E528" s="516" t="n"/>
      <c r="F528" s="516" t="n"/>
      <c r="G528" s="516" t="n"/>
      <c r="H528" s="516" t="n"/>
      <c r="I528" s="516" t="n"/>
      <c r="J528" s="516" t="n"/>
      <c r="K528" s="516" t="n"/>
    </row>
    <row r="529">
      <c r="A529" s="516" t="n"/>
      <c r="B529" s="516" t="n"/>
      <c r="C529" s="516" t="n"/>
      <c r="D529" s="516" t="n"/>
      <c r="E529" s="516" t="n"/>
      <c r="F529" s="516" t="n"/>
      <c r="G529" s="516" t="n"/>
      <c r="H529" s="516" t="n"/>
      <c r="I529" s="516" t="n"/>
      <c r="J529" s="516" t="n"/>
      <c r="K529" s="516" t="n"/>
    </row>
    <row r="530">
      <c r="A530" s="516" t="n"/>
      <c r="B530" s="516" t="n"/>
      <c r="C530" s="516" t="n"/>
      <c r="D530" s="516" t="n"/>
      <c r="E530" s="516" t="n"/>
      <c r="F530" s="516" t="n"/>
      <c r="G530" s="516" t="n"/>
      <c r="H530" s="516" t="n"/>
      <c r="I530" s="516" t="n"/>
      <c r="J530" s="516" t="n"/>
      <c r="K530" s="516" t="n"/>
    </row>
    <row r="531">
      <c r="A531" s="516" t="n"/>
      <c r="B531" s="516" t="n"/>
      <c r="C531" s="516" t="n"/>
      <c r="D531" s="516" t="n"/>
      <c r="E531" s="516" t="n"/>
      <c r="F531" s="516" t="n"/>
      <c r="G531" s="516" t="n"/>
      <c r="H531" s="516" t="n"/>
      <c r="I531" s="516" t="n"/>
      <c r="J531" s="516" t="n"/>
      <c r="K531" s="516" t="n"/>
    </row>
    <row r="532">
      <c r="A532" s="516" t="n"/>
      <c r="B532" s="516" t="n"/>
      <c r="C532" s="516" t="n"/>
      <c r="D532" s="516" t="n"/>
      <c r="E532" s="516" t="n"/>
      <c r="F532" s="516" t="n"/>
      <c r="G532" s="516" t="n"/>
      <c r="H532" s="516" t="n"/>
      <c r="I532" s="516" t="n"/>
      <c r="J532" s="516" t="n"/>
      <c r="K532" s="516" t="n"/>
    </row>
    <row r="533">
      <c r="A533" s="516" t="n"/>
      <c r="B533" s="516" t="n"/>
      <c r="C533" s="516" t="n"/>
      <c r="D533" s="516" t="n"/>
      <c r="E533" s="516" t="n"/>
      <c r="F533" s="516" t="n"/>
      <c r="G533" s="516" t="n"/>
      <c r="H533" s="516" t="n"/>
      <c r="I533" s="516" t="n"/>
      <c r="J533" s="516" t="n"/>
      <c r="K533" s="516" t="n"/>
    </row>
    <row r="534">
      <c r="A534" s="516" t="n"/>
      <c r="B534" s="516" t="n"/>
      <c r="C534" s="516" t="n"/>
      <c r="D534" s="516" t="n"/>
      <c r="E534" s="516" t="n"/>
      <c r="F534" s="516" t="n"/>
      <c r="G534" s="516" t="n"/>
      <c r="H534" s="516" t="n"/>
      <c r="I534" s="516" t="n"/>
      <c r="J534" s="516" t="n"/>
      <c r="K534" s="516" t="n"/>
    </row>
    <row r="535">
      <c r="A535" s="516" t="n"/>
      <c r="B535" s="516" t="n"/>
      <c r="C535" s="516" t="n"/>
      <c r="D535" s="516" t="n"/>
      <c r="E535" s="516" t="n"/>
      <c r="F535" s="516" t="n"/>
      <c r="G535" s="516" t="n"/>
      <c r="H535" s="516" t="n"/>
      <c r="I535" s="516" t="n"/>
      <c r="J535" s="516" t="n"/>
      <c r="K535" s="516" t="n"/>
    </row>
    <row r="536">
      <c r="A536" s="516" t="n"/>
      <c r="B536" s="516" t="n"/>
      <c r="C536" s="516" t="n"/>
      <c r="D536" s="516" t="n"/>
      <c r="E536" s="516" t="n"/>
      <c r="F536" s="516" t="n"/>
      <c r="G536" s="516" t="n"/>
      <c r="H536" s="516" t="n"/>
      <c r="I536" s="516" t="n"/>
      <c r="J536" s="516" t="n"/>
      <c r="K536" s="516" t="n"/>
    </row>
    <row r="537">
      <c r="A537" s="516" t="n"/>
      <c r="B537" s="516" t="n"/>
      <c r="C537" s="516" t="n"/>
      <c r="D537" s="516" t="n"/>
      <c r="E537" s="516" t="n"/>
      <c r="F537" s="516" t="n"/>
      <c r="G537" s="516" t="n"/>
      <c r="H537" s="516" t="n"/>
      <c r="I537" s="516" t="n"/>
      <c r="J537" s="516" t="n"/>
      <c r="K537" s="516" t="n"/>
    </row>
    <row r="538">
      <c r="A538" s="516" t="n"/>
      <c r="B538" s="516" t="n"/>
      <c r="C538" s="516" t="n"/>
      <c r="D538" s="516" t="n"/>
      <c r="E538" s="516" t="n"/>
      <c r="F538" s="516" t="n"/>
      <c r="G538" s="516" t="n"/>
      <c r="H538" s="516" t="n"/>
      <c r="I538" s="516" t="n"/>
      <c r="J538" s="516" t="n"/>
      <c r="K538" s="516" t="n"/>
    </row>
    <row r="539">
      <c r="A539" s="516" t="n"/>
      <c r="B539" s="516" t="n"/>
      <c r="C539" s="516" t="n"/>
      <c r="D539" s="516" t="n"/>
      <c r="E539" s="516" t="n"/>
      <c r="F539" s="516" t="n"/>
      <c r="G539" s="516" t="n"/>
      <c r="H539" s="516" t="n"/>
      <c r="I539" s="516" t="n"/>
      <c r="J539" s="516" t="n"/>
      <c r="K539" s="516" t="n"/>
    </row>
    <row r="540">
      <c r="A540" s="516" t="n"/>
      <c r="B540" s="516" t="n"/>
      <c r="C540" s="516" t="n"/>
      <c r="D540" s="516" t="n"/>
      <c r="E540" s="516" t="n"/>
      <c r="F540" s="516" t="n"/>
      <c r="G540" s="516" t="n"/>
      <c r="H540" s="516" t="n"/>
      <c r="I540" s="516" t="n"/>
      <c r="J540" s="516" t="n"/>
      <c r="K540" s="516" t="n"/>
    </row>
    <row r="541">
      <c r="A541" s="516" t="n"/>
      <c r="B541" s="516" t="n"/>
      <c r="C541" s="516" t="n"/>
      <c r="D541" s="516" t="n"/>
      <c r="E541" s="516" t="n"/>
      <c r="F541" s="516" t="n"/>
      <c r="G541" s="516" t="n"/>
      <c r="H541" s="516" t="n"/>
      <c r="I541" s="516" t="n"/>
      <c r="J541" s="516" t="n"/>
      <c r="K541" s="516" t="n"/>
    </row>
    <row r="542">
      <c r="A542" s="516" t="n"/>
      <c r="B542" s="516" t="n"/>
      <c r="C542" s="516" t="n"/>
      <c r="D542" s="516" t="n"/>
      <c r="E542" s="516" t="n"/>
      <c r="F542" s="516" t="n"/>
      <c r="G542" s="516" t="n"/>
      <c r="H542" s="516" t="n"/>
      <c r="I542" s="516" t="n"/>
      <c r="J542" s="516" t="n"/>
      <c r="K542" s="516" t="n"/>
    </row>
    <row r="543">
      <c r="A543" s="516" t="n"/>
      <c r="B543" s="516" t="n"/>
      <c r="C543" s="516" t="n"/>
      <c r="D543" s="516" t="n"/>
      <c r="E543" s="516" t="n"/>
      <c r="F543" s="516" t="n"/>
      <c r="G543" s="516" t="n"/>
      <c r="H543" s="516" t="n"/>
      <c r="I543" s="516" t="n"/>
      <c r="J543" s="516" t="n"/>
      <c r="K543" s="516" t="n"/>
    </row>
    <row r="544">
      <c r="A544" s="516" t="n"/>
      <c r="B544" s="516" t="n"/>
      <c r="C544" s="516" t="n"/>
      <c r="D544" s="516" t="n"/>
      <c r="E544" s="516" t="n"/>
      <c r="F544" s="516" t="n"/>
      <c r="G544" s="516" t="n"/>
      <c r="H544" s="516" t="n"/>
      <c r="I544" s="516" t="n"/>
      <c r="J544" s="516" t="n"/>
      <c r="K544" s="516" t="n"/>
    </row>
    <row r="545">
      <c r="A545" s="516" t="n"/>
      <c r="B545" s="516" t="n"/>
      <c r="C545" s="516" t="n"/>
      <c r="D545" s="516" t="n"/>
      <c r="E545" s="516" t="n"/>
      <c r="F545" s="516" t="n"/>
      <c r="G545" s="516" t="n"/>
      <c r="H545" s="516" t="n"/>
      <c r="I545" s="516" t="n"/>
      <c r="J545" s="516" t="n"/>
      <c r="K545" s="516" t="n"/>
    </row>
    <row r="546">
      <c r="A546" s="516" t="n"/>
      <c r="B546" s="516" t="n"/>
      <c r="C546" s="516" t="n"/>
      <c r="D546" s="516" t="n"/>
      <c r="E546" s="516" t="n"/>
      <c r="F546" s="516" t="n"/>
      <c r="G546" s="516" t="n"/>
      <c r="H546" s="516" t="n"/>
      <c r="I546" s="516" t="n"/>
      <c r="J546" s="516" t="n"/>
      <c r="K546" s="516" t="n"/>
    </row>
    <row r="547">
      <c r="A547" s="516" t="n"/>
      <c r="B547" s="516" t="n"/>
      <c r="C547" s="516" t="n"/>
      <c r="D547" s="516" t="n"/>
      <c r="E547" s="516" t="n"/>
      <c r="F547" s="516" t="n"/>
      <c r="G547" s="516" t="n"/>
      <c r="H547" s="516" t="n"/>
      <c r="I547" s="516" t="n"/>
      <c r="J547" s="516" t="n"/>
      <c r="K547" s="516" t="n"/>
    </row>
    <row r="548">
      <c r="A548" s="516" t="n"/>
      <c r="B548" s="516" t="n"/>
      <c r="C548" s="516" t="n"/>
      <c r="D548" s="516" t="n"/>
      <c r="E548" s="516" t="n"/>
      <c r="F548" s="516" t="n"/>
      <c r="G548" s="516" t="n"/>
      <c r="H548" s="516" t="n"/>
      <c r="I548" s="516" t="n"/>
      <c r="J548" s="516" t="n"/>
      <c r="K548" s="516" t="n"/>
    </row>
    <row r="549">
      <c r="A549" s="516" t="n"/>
      <c r="B549" s="516" t="n"/>
      <c r="C549" s="516" t="n"/>
      <c r="D549" s="516" t="n"/>
      <c r="E549" s="516" t="n"/>
      <c r="F549" s="516" t="n"/>
      <c r="G549" s="516" t="n"/>
      <c r="H549" s="516" t="n"/>
      <c r="I549" s="516" t="n"/>
      <c r="J549" s="516" t="n"/>
      <c r="K549" s="516" t="n"/>
    </row>
    <row r="550">
      <c r="A550" s="516" t="n"/>
      <c r="B550" s="516" t="n"/>
      <c r="C550" s="516" t="n"/>
      <c r="D550" s="516" t="n"/>
      <c r="E550" s="516" t="n"/>
      <c r="F550" s="516" t="n"/>
      <c r="G550" s="516" t="n"/>
      <c r="H550" s="516" t="n"/>
      <c r="I550" s="516" t="n"/>
      <c r="J550" s="516" t="n"/>
      <c r="K550" s="516" t="n"/>
    </row>
    <row r="551">
      <c r="A551" s="516" t="n"/>
      <c r="B551" s="516" t="n"/>
      <c r="C551" s="516" t="n"/>
      <c r="D551" s="516" t="n"/>
      <c r="E551" s="516" t="n"/>
      <c r="F551" s="516" t="n"/>
      <c r="G551" s="516" t="n"/>
      <c r="H551" s="516" t="n"/>
      <c r="I551" s="516" t="n"/>
      <c r="J551" s="516" t="n"/>
      <c r="K551" s="516" t="n"/>
    </row>
    <row r="552">
      <c r="A552" s="516" t="n"/>
      <c r="B552" s="516" t="n"/>
      <c r="C552" s="516" t="n"/>
      <c r="D552" s="516" t="n"/>
      <c r="E552" s="516" t="n"/>
      <c r="F552" s="516" t="n"/>
      <c r="G552" s="516" t="n"/>
      <c r="H552" s="516" t="n"/>
      <c r="I552" s="516" t="n"/>
      <c r="J552" s="516" t="n"/>
      <c r="K552" s="516" t="n"/>
    </row>
    <row r="553">
      <c r="A553" s="516" t="n"/>
      <c r="B553" s="516" t="n"/>
      <c r="C553" s="516" t="n"/>
      <c r="D553" s="516" t="n"/>
      <c r="E553" s="516" t="n"/>
      <c r="F553" s="516" t="n"/>
      <c r="G553" s="516" t="n"/>
      <c r="H553" s="516" t="n"/>
      <c r="I553" s="516" t="n"/>
      <c r="J553" s="516" t="n"/>
      <c r="K553" s="516" t="n"/>
    </row>
    <row r="554">
      <c r="A554" s="516" t="n"/>
      <c r="B554" s="516" t="n"/>
      <c r="C554" s="516" t="n"/>
      <c r="D554" s="516" t="n"/>
      <c r="E554" s="516" t="n"/>
      <c r="F554" s="516" t="n"/>
      <c r="G554" s="516" t="n"/>
      <c r="H554" s="516" t="n"/>
      <c r="I554" s="516" t="n"/>
      <c r="J554" s="516" t="n"/>
      <c r="K554" s="516" t="n"/>
    </row>
    <row r="555">
      <c r="A555" s="516" t="n"/>
      <c r="B555" s="516" t="n"/>
      <c r="C555" s="516" t="n"/>
      <c r="D555" s="516" t="n"/>
      <c r="E555" s="516" t="n"/>
      <c r="F555" s="516" t="n"/>
      <c r="G555" s="516" t="n"/>
      <c r="H555" s="516" t="n"/>
      <c r="I555" s="516" t="n"/>
      <c r="J555" s="516" t="n"/>
      <c r="K555" s="516" t="n"/>
    </row>
    <row r="556">
      <c r="A556" s="516" t="n"/>
      <c r="B556" s="516" t="n"/>
      <c r="C556" s="516" t="n"/>
      <c r="D556" s="516" t="n"/>
      <c r="E556" s="516" t="n"/>
      <c r="F556" s="516" t="n"/>
      <c r="G556" s="516" t="n"/>
      <c r="H556" s="516" t="n"/>
      <c r="I556" s="516" t="n"/>
      <c r="J556" s="516" t="n"/>
      <c r="K556" s="516" t="n"/>
    </row>
    <row r="557">
      <c r="A557" s="516" t="n"/>
      <c r="B557" s="516" t="n"/>
      <c r="C557" s="516" t="n"/>
      <c r="D557" s="516" t="n"/>
      <c r="E557" s="516" t="n"/>
      <c r="F557" s="516" t="n"/>
      <c r="G557" s="516" t="n"/>
      <c r="H557" s="516" t="n"/>
      <c r="I557" s="516" t="n"/>
      <c r="J557" s="516" t="n"/>
      <c r="K557" s="516" t="n"/>
    </row>
    <row r="558">
      <c r="A558" s="516" t="n"/>
      <c r="B558" s="516" t="n"/>
      <c r="C558" s="516" t="n"/>
      <c r="D558" s="516" t="n"/>
      <c r="E558" s="516" t="n"/>
      <c r="F558" s="516" t="n"/>
      <c r="G558" s="516" t="n"/>
      <c r="H558" s="516" t="n"/>
      <c r="I558" s="516" t="n"/>
      <c r="J558" s="516" t="n"/>
      <c r="K558" s="516" t="n"/>
    </row>
    <row r="559">
      <c r="A559" s="516" t="n"/>
      <c r="B559" s="516" t="n"/>
      <c r="C559" s="516" t="n"/>
      <c r="D559" s="516" t="n"/>
      <c r="E559" s="516" t="n"/>
      <c r="F559" s="516" t="n"/>
      <c r="G559" s="516" t="n"/>
      <c r="H559" s="516" t="n"/>
      <c r="I559" s="516" t="n"/>
      <c r="J559" s="516" t="n"/>
      <c r="K559" s="516" t="n"/>
    </row>
    <row r="560">
      <c r="A560" s="516" t="n"/>
      <c r="B560" s="516" t="n"/>
      <c r="C560" s="516" t="n"/>
      <c r="D560" s="516" t="n"/>
      <c r="E560" s="516" t="n"/>
      <c r="F560" s="516" t="n"/>
      <c r="G560" s="516" t="n"/>
      <c r="H560" s="516" t="n"/>
      <c r="I560" s="516" t="n"/>
      <c r="J560" s="516" t="n"/>
      <c r="K560" s="516" t="n"/>
    </row>
    <row r="561">
      <c r="A561" s="516" t="n"/>
      <c r="B561" s="516" t="n"/>
      <c r="C561" s="516" t="n"/>
      <c r="D561" s="516" t="n"/>
      <c r="E561" s="516" t="n"/>
      <c r="F561" s="516" t="n"/>
      <c r="G561" s="516" t="n"/>
      <c r="H561" s="516" t="n"/>
      <c r="I561" s="516" t="n"/>
      <c r="J561" s="516" t="n"/>
      <c r="K561" s="516" t="n"/>
    </row>
    <row r="562">
      <c r="A562" s="516" t="n"/>
      <c r="B562" s="516" t="n"/>
      <c r="C562" s="516" t="n"/>
      <c r="D562" s="516" t="n"/>
      <c r="E562" s="516" t="n"/>
      <c r="F562" s="516" t="n"/>
      <c r="G562" s="516" t="n"/>
      <c r="H562" s="516" t="n"/>
      <c r="I562" s="516" t="n"/>
      <c r="J562" s="516" t="n"/>
      <c r="K562" s="516" t="n"/>
    </row>
    <row r="563">
      <c r="A563" s="516" t="n"/>
      <c r="B563" s="516" t="n"/>
      <c r="C563" s="516" t="n"/>
      <c r="D563" s="516" t="n"/>
      <c r="E563" s="516" t="n"/>
      <c r="F563" s="516" t="n"/>
      <c r="G563" s="516" t="n"/>
      <c r="H563" s="516" t="n"/>
      <c r="I563" s="516" t="n"/>
      <c r="J563" s="516" t="n"/>
      <c r="K563" s="516" t="n"/>
    </row>
    <row r="564">
      <c r="A564" s="516" t="n"/>
      <c r="B564" s="516" t="n"/>
      <c r="C564" s="516" t="n"/>
      <c r="D564" s="516" t="n"/>
      <c r="E564" s="516" t="n"/>
      <c r="F564" s="516" t="n"/>
      <c r="G564" s="516" t="n"/>
      <c r="H564" s="516" t="n"/>
      <c r="I564" s="516" t="n"/>
      <c r="J564" s="516" t="n"/>
      <c r="K564" s="516" t="n"/>
    </row>
    <row r="565">
      <c r="A565" s="516" t="n"/>
      <c r="B565" s="516" t="n"/>
      <c r="C565" s="516" t="n"/>
      <c r="D565" s="516" t="n"/>
      <c r="E565" s="516" t="n"/>
      <c r="F565" s="516" t="n"/>
      <c r="G565" s="516" t="n"/>
      <c r="H565" s="516" t="n"/>
      <c r="I565" s="516" t="n"/>
      <c r="J565" s="516" t="n"/>
      <c r="K565" s="516" t="n"/>
    </row>
    <row r="566">
      <c r="A566" s="516" t="n"/>
      <c r="B566" s="516" t="n"/>
      <c r="C566" s="516" t="n"/>
      <c r="D566" s="516" t="n"/>
      <c r="E566" s="516" t="n"/>
      <c r="F566" s="516" t="n"/>
      <c r="G566" s="516" t="n"/>
      <c r="H566" s="516" t="n"/>
      <c r="I566" s="516" t="n"/>
      <c r="J566" s="516" t="n"/>
      <c r="K566" s="516" t="n"/>
    </row>
    <row r="567">
      <c r="A567" s="516" t="n"/>
      <c r="B567" s="516" t="n"/>
      <c r="C567" s="516" t="n"/>
      <c r="D567" s="516" t="n"/>
      <c r="E567" s="516" t="n"/>
      <c r="F567" s="516" t="n"/>
      <c r="G567" s="516" t="n"/>
      <c r="H567" s="516" t="n"/>
      <c r="I567" s="516" t="n"/>
      <c r="J567" s="516" t="n"/>
      <c r="K567" s="516" t="n"/>
    </row>
    <row r="568">
      <c r="A568" s="516" t="n"/>
      <c r="B568" s="516" t="n"/>
      <c r="C568" s="516" t="n"/>
      <c r="D568" s="516" t="n"/>
      <c r="E568" s="516" t="n"/>
      <c r="F568" s="516" t="n"/>
      <c r="G568" s="516" t="n"/>
      <c r="H568" s="516" t="n"/>
      <c r="I568" s="516" t="n"/>
      <c r="J568" s="516" t="n"/>
      <c r="K568" s="516" t="n"/>
    </row>
    <row r="569">
      <c r="A569" s="516" t="n"/>
      <c r="B569" s="516" t="n"/>
      <c r="C569" s="516" t="n"/>
      <c r="D569" s="516" t="n"/>
      <c r="E569" s="516" t="n"/>
      <c r="F569" s="516" t="n"/>
      <c r="G569" s="516" t="n"/>
      <c r="H569" s="516" t="n"/>
      <c r="I569" s="516" t="n"/>
      <c r="J569" s="516" t="n"/>
      <c r="K569" s="516" t="n"/>
    </row>
    <row r="570">
      <c r="A570" s="516" t="n"/>
      <c r="B570" s="516" t="n"/>
      <c r="C570" s="516" t="n"/>
      <c r="D570" s="516" t="n"/>
      <c r="E570" s="516" t="n"/>
      <c r="F570" s="516" t="n"/>
      <c r="G570" s="516" t="n"/>
      <c r="H570" s="516" t="n"/>
      <c r="I570" s="516" t="n"/>
      <c r="J570" s="516" t="n"/>
      <c r="K570" s="516" t="n"/>
    </row>
    <row r="571">
      <c r="A571" s="516" t="n"/>
      <c r="B571" s="516" t="n"/>
      <c r="C571" s="516" t="n"/>
      <c r="D571" s="516" t="n"/>
      <c r="E571" s="516" t="n"/>
      <c r="F571" s="516" t="n"/>
      <c r="G571" s="516" t="n"/>
      <c r="H571" s="516" t="n"/>
      <c r="I571" s="516" t="n"/>
      <c r="J571" s="516" t="n"/>
      <c r="K571" s="516" t="n"/>
    </row>
    <row r="572">
      <c r="A572" s="516" t="n"/>
      <c r="B572" s="516" t="n"/>
      <c r="C572" s="516" t="n"/>
      <c r="D572" s="516" t="n"/>
      <c r="E572" s="516" t="n"/>
      <c r="F572" s="516" t="n"/>
      <c r="G572" s="516" t="n"/>
      <c r="H572" s="516" t="n"/>
      <c r="I572" s="516" t="n"/>
      <c r="J572" s="516" t="n"/>
      <c r="K572" s="516" t="n"/>
    </row>
    <row r="573">
      <c r="A573" s="516" t="n"/>
      <c r="B573" s="516" t="n"/>
      <c r="C573" s="516" t="n"/>
      <c r="D573" s="516" t="n"/>
      <c r="E573" s="516" t="n"/>
      <c r="F573" s="516" t="n"/>
      <c r="G573" s="516" t="n"/>
      <c r="H573" s="516" t="n"/>
      <c r="I573" s="516" t="n"/>
      <c r="J573" s="516" t="n"/>
      <c r="K573" s="516" t="n"/>
    </row>
    <row r="574">
      <c r="A574" s="516" t="n"/>
      <c r="B574" s="516" t="n"/>
      <c r="C574" s="516" t="n"/>
      <c r="D574" s="516" t="n"/>
      <c r="E574" s="516" t="n"/>
      <c r="F574" s="516" t="n"/>
      <c r="G574" s="516" t="n"/>
      <c r="H574" s="516" t="n"/>
      <c r="I574" s="516" t="n"/>
      <c r="J574" s="516" t="n"/>
      <c r="K574" s="516" t="n"/>
    </row>
    <row r="575">
      <c r="A575" s="516" t="n"/>
      <c r="B575" s="516" t="n"/>
      <c r="C575" s="516" t="n"/>
      <c r="D575" s="516" t="n"/>
      <c r="E575" s="516" t="n"/>
      <c r="F575" s="516" t="n"/>
      <c r="G575" s="516" t="n"/>
      <c r="H575" s="516" t="n"/>
      <c r="I575" s="516" t="n"/>
      <c r="J575" s="516" t="n"/>
      <c r="K575" s="516" t="n"/>
    </row>
    <row r="576">
      <c r="A576" s="516" t="n"/>
      <c r="B576" s="516" t="n"/>
      <c r="C576" s="516" t="n"/>
      <c r="D576" s="516" t="n"/>
      <c r="E576" s="516" t="n"/>
      <c r="F576" s="516" t="n"/>
      <c r="G576" s="516" t="n"/>
      <c r="H576" s="516" t="n"/>
      <c r="I576" s="516" t="n"/>
      <c r="J576" s="516" t="n"/>
      <c r="K576" s="516" t="n"/>
    </row>
    <row r="577">
      <c r="A577" s="516" t="n"/>
      <c r="B577" s="516" t="n"/>
      <c r="C577" s="516" t="n"/>
      <c r="D577" s="516" t="n"/>
      <c r="E577" s="516" t="n"/>
      <c r="F577" s="516" t="n"/>
      <c r="G577" s="516" t="n"/>
      <c r="H577" s="516" t="n"/>
      <c r="I577" s="516" t="n"/>
      <c r="J577" s="516" t="n"/>
      <c r="K577" s="516" t="n"/>
    </row>
    <row r="578">
      <c r="A578" s="516" t="n"/>
      <c r="B578" s="516" t="n"/>
      <c r="C578" s="516" t="n"/>
      <c r="D578" s="516" t="n"/>
      <c r="E578" s="516" t="n"/>
      <c r="F578" s="516" t="n"/>
      <c r="G578" s="516" t="n"/>
      <c r="H578" s="516" t="n"/>
      <c r="I578" s="516" t="n"/>
      <c r="J578" s="516" t="n"/>
      <c r="K578" s="516" t="n"/>
    </row>
    <row r="579">
      <c r="A579" s="516" t="n"/>
      <c r="B579" s="516" t="n"/>
      <c r="C579" s="516" t="n"/>
      <c r="D579" s="516" t="n"/>
      <c r="E579" s="516" t="n"/>
      <c r="F579" s="516" t="n"/>
      <c r="G579" s="516" t="n"/>
      <c r="H579" s="516" t="n"/>
      <c r="I579" s="516" t="n"/>
      <c r="J579" s="516" t="n"/>
      <c r="K579" s="516" t="n"/>
    </row>
    <row r="580">
      <c r="A580" s="516" t="n"/>
      <c r="B580" s="516" t="n"/>
      <c r="C580" s="516" t="n"/>
      <c r="D580" s="516" t="n"/>
      <c r="E580" s="516" t="n"/>
      <c r="F580" s="516" t="n"/>
      <c r="G580" s="516" t="n"/>
      <c r="H580" s="516" t="n"/>
      <c r="I580" s="516" t="n"/>
      <c r="J580" s="516" t="n"/>
      <c r="K580" s="516" t="n"/>
    </row>
    <row r="581">
      <c r="A581" s="516" t="n"/>
      <c r="B581" s="516" t="n"/>
      <c r="C581" s="516" t="n"/>
      <c r="D581" s="516" t="n"/>
      <c r="E581" s="516" t="n"/>
      <c r="F581" s="516" t="n"/>
      <c r="G581" s="516" t="n"/>
      <c r="H581" s="516" t="n"/>
      <c r="I581" s="516" t="n"/>
      <c r="J581" s="516" t="n"/>
      <c r="K581" s="516" t="n"/>
    </row>
    <row r="582">
      <c r="A582" s="516" t="n"/>
      <c r="B582" s="516" t="n"/>
      <c r="C582" s="516" t="n"/>
      <c r="D582" s="516" t="n"/>
      <c r="E582" s="516" t="n"/>
      <c r="F582" s="516" t="n"/>
      <c r="G582" s="516" t="n"/>
      <c r="H582" s="516" t="n"/>
      <c r="I582" s="516" t="n"/>
      <c r="J582" s="516" t="n"/>
      <c r="K582" s="516" t="n"/>
    </row>
    <row r="583">
      <c r="A583" s="516" t="n"/>
      <c r="B583" s="516" t="n"/>
      <c r="C583" s="516" t="n"/>
      <c r="D583" s="516" t="n"/>
      <c r="E583" s="516" t="n"/>
      <c r="F583" s="516" t="n"/>
      <c r="G583" s="516" t="n"/>
      <c r="H583" s="516" t="n"/>
      <c r="I583" s="516" t="n"/>
      <c r="J583" s="516" t="n"/>
      <c r="K583" s="516" t="n"/>
    </row>
    <row r="584">
      <c r="A584" s="516" t="n"/>
      <c r="B584" s="516" t="n"/>
      <c r="C584" s="516" t="n"/>
      <c r="D584" s="516" t="n"/>
      <c r="E584" s="516" t="n"/>
      <c r="F584" s="516" t="n"/>
      <c r="G584" s="516" t="n"/>
      <c r="H584" s="516" t="n"/>
      <c r="I584" s="516" t="n"/>
      <c r="J584" s="516" t="n"/>
      <c r="K584" s="516" t="n"/>
    </row>
    <row r="585">
      <c r="A585" s="516" t="n"/>
      <c r="B585" s="516" t="n"/>
      <c r="C585" s="516" t="n"/>
      <c r="D585" s="516" t="n"/>
      <c r="E585" s="516" t="n"/>
      <c r="F585" s="516" t="n"/>
      <c r="G585" s="516" t="n"/>
      <c r="H585" s="516" t="n"/>
      <c r="I585" s="516" t="n"/>
      <c r="J585" s="516" t="n"/>
      <c r="K585" s="516" t="n"/>
    </row>
    <row r="586">
      <c r="A586" s="516" t="n"/>
      <c r="B586" s="516" t="n"/>
      <c r="C586" s="516" t="n"/>
      <c r="D586" s="516" t="n"/>
      <c r="E586" s="516" t="n"/>
      <c r="F586" s="516" t="n"/>
      <c r="G586" s="516" t="n"/>
      <c r="H586" s="516" t="n"/>
      <c r="I586" s="516" t="n"/>
      <c r="J586" s="516" t="n"/>
      <c r="K586" s="516" t="n"/>
    </row>
    <row r="587">
      <c r="A587" s="516" t="n"/>
      <c r="B587" s="516" t="n"/>
      <c r="C587" s="516" t="n"/>
      <c r="D587" s="516" t="n"/>
      <c r="E587" s="516" t="n"/>
      <c r="F587" s="516" t="n"/>
      <c r="G587" s="516" t="n"/>
      <c r="H587" s="516" t="n"/>
      <c r="I587" s="516" t="n"/>
      <c r="J587" s="516" t="n"/>
      <c r="K587" s="516" t="n"/>
    </row>
    <row r="588">
      <c r="A588" s="516" t="n"/>
      <c r="B588" s="516" t="n"/>
      <c r="C588" s="516" t="n"/>
      <c r="D588" s="516" t="n"/>
      <c r="E588" s="516" t="n"/>
      <c r="F588" s="516" t="n"/>
      <c r="G588" s="516" t="n"/>
      <c r="H588" s="516" t="n"/>
      <c r="I588" s="516" t="n"/>
      <c r="J588" s="516" t="n"/>
      <c r="K588" s="516" t="n"/>
    </row>
    <row r="589">
      <c r="A589" s="516" t="n"/>
      <c r="B589" s="516" t="n"/>
      <c r="C589" s="516" t="n"/>
      <c r="D589" s="516" t="n"/>
      <c r="E589" s="516" t="n"/>
      <c r="F589" s="516" t="n"/>
      <c r="G589" s="516" t="n"/>
      <c r="H589" s="516" t="n"/>
      <c r="I589" s="516" t="n"/>
      <c r="J589" s="516" t="n"/>
      <c r="K589" s="516" t="n"/>
    </row>
    <row r="590">
      <c r="A590" s="516" t="n"/>
      <c r="B590" s="516" t="n"/>
      <c r="C590" s="516" t="n"/>
      <c r="D590" s="516" t="n"/>
      <c r="E590" s="516" t="n"/>
      <c r="F590" s="516" t="n"/>
      <c r="G590" s="516" t="n"/>
      <c r="H590" s="516" t="n"/>
      <c r="I590" s="516" t="n"/>
      <c r="J590" s="516" t="n"/>
      <c r="K590" s="516" t="n"/>
    </row>
    <row r="591">
      <c r="A591" s="516" t="n"/>
      <c r="B591" s="516" t="n"/>
      <c r="C591" s="516" t="n"/>
      <c r="D591" s="516" t="n"/>
      <c r="E591" s="516" t="n"/>
      <c r="F591" s="516" t="n"/>
      <c r="G591" s="516" t="n"/>
      <c r="H591" s="516" t="n"/>
      <c r="I591" s="516" t="n"/>
      <c r="J591" s="516" t="n"/>
      <c r="K591" s="516" t="n"/>
    </row>
    <row r="592">
      <c r="A592" s="516" t="n"/>
      <c r="B592" s="516" t="n"/>
      <c r="C592" s="516" t="n"/>
      <c r="D592" s="516" t="n"/>
      <c r="E592" s="516" t="n"/>
      <c r="F592" s="516" t="n"/>
      <c r="G592" s="516" t="n"/>
      <c r="H592" s="516" t="n"/>
      <c r="I592" s="516" t="n"/>
      <c r="J592" s="516" t="n"/>
      <c r="K592" s="516" t="n"/>
    </row>
    <row r="593">
      <c r="A593" s="516" t="n"/>
      <c r="B593" s="516" t="n"/>
      <c r="C593" s="516" t="n"/>
      <c r="D593" s="516" t="n"/>
      <c r="E593" s="516" t="n"/>
      <c r="F593" s="516" t="n"/>
      <c r="G593" s="516" t="n"/>
      <c r="H593" s="516" t="n"/>
      <c r="I593" s="516" t="n"/>
      <c r="J593" s="516" t="n"/>
      <c r="K593" s="516" t="n"/>
    </row>
    <row r="594">
      <c r="A594" s="516" t="n"/>
      <c r="B594" s="516" t="n"/>
      <c r="C594" s="516" t="n"/>
      <c r="D594" s="516" t="n"/>
      <c r="E594" s="516" t="n"/>
      <c r="F594" s="516" t="n"/>
      <c r="G594" s="516" t="n"/>
      <c r="H594" s="516" t="n"/>
      <c r="I594" s="516" t="n"/>
      <c r="J594" s="516" t="n"/>
      <c r="K594" s="516" t="n"/>
    </row>
    <row r="595">
      <c r="A595" s="516" t="n"/>
      <c r="B595" s="516" t="n"/>
      <c r="C595" s="516" t="n"/>
      <c r="D595" s="516" t="n"/>
      <c r="E595" s="516" t="n"/>
      <c r="F595" s="516" t="n"/>
      <c r="G595" s="516" t="n"/>
      <c r="H595" s="516" t="n"/>
      <c r="I595" s="516" t="n"/>
      <c r="J595" s="516" t="n"/>
      <c r="K595" s="516" t="n"/>
    </row>
    <row r="596">
      <c r="A596" s="516" t="n"/>
      <c r="B596" s="516" t="n"/>
      <c r="C596" s="516" t="n"/>
      <c r="D596" s="516" t="n"/>
      <c r="E596" s="516" t="n"/>
      <c r="F596" s="516" t="n"/>
      <c r="G596" s="516" t="n"/>
      <c r="H596" s="516" t="n"/>
      <c r="I596" s="516" t="n"/>
      <c r="J596" s="516" t="n"/>
      <c r="K596" s="516" t="n"/>
    </row>
    <row r="597">
      <c r="A597" s="516" t="n"/>
      <c r="B597" s="516" t="n"/>
      <c r="C597" s="516" t="n"/>
      <c r="D597" s="516" t="n"/>
      <c r="E597" s="516" t="n"/>
      <c r="F597" s="516" t="n"/>
      <c r="G597" s="516" t="n"/>
      <c r="H597" s="516" t="n"/>
      <c r="I597" s="516" t="n"/>
      <c r="J597" s="516" t="n"/>
      <c r="K597" s="516" t="n"/>
    </row>
    <row r="598">
      <c r="A598" s="516" t="n"/>
      <c r="B598" s="516" t="n"/>
      <c r="C598" s="516" t="n"/>
      <c r="D598" s="516" t="n"/>
      <c r="E598" s="516" t="n"/>
      <c r="F598" s="516" t="n"/>
      <c r="G598" s="516" t="n"/>
      <c r="H598" s="516" t="n"/>
      <c r="I598" s="516" t="n"/>
      <c r="J598" s="516" t="n"/>
      <c r="K598" s="516" t="n"/>
    </row>
    <row r="599">
      <c r="A599" s="516" t="n"/>
      <c r="B599" s="516" t="n"/>
      <c r="C599" s="516" t="n"/>
      <c r="D599" s="516" t="n"/>
      <c r="E599" s="516" t="n"/>
      <c r="F599" s="516" t="n"/>
      <c r="G599" s="516" t="n"/>
      <c r="H599" s="516" t="n"/>
      <c r="I599" s="516" t="n"/>
      <c r="J599" s="516" t="n"/>
      <c r="K599" s="516" t="n"/>
    </row>
    <row r="600">
      <c r="A600" s="516" t="n"/>
      <c r="B600" s="516" t="n"/>
      <c r="C600" s="516" t="n"/>
      <c r="D600" s="516" t="n"/>
      <c r="E600" s="516" t="n"/>
      <c r="F600" s="516" t="n"/>
      <c r="G600" s="516" t="n"/>
      <c r="H600" s="516" t="n"/>
      <c r="I600" s="516" t="n"/>
      <c r="J600" s="516" t="n"/>
      <c r="K600" s="516" t="n"/>
    </row>
    <row r="601">
      <c r="A601" s="516" t="n"/>
      <c r="B601" s="516" t="n"/>
      <c r="C601" s="516" t="n"/>
      <c r="D601" s="516" t="n"/>
      <c r="E601" s="516" t="n"/>
      <c r="F601" s="516" t="n"/>
      <c r="G601" s="516" t="n"/>
      <c r="H601" s="516" t="n"/>
      <c r="I601" s="516" t="n"/>
      <c r="J601" s="516" t="n"/>
      <c r="K601" s="516" t="n"/>
    </row>
    <row r="602">
      <c r="A602" s="516" t="n"/>
      <c r="B602" s="516" t="n"/>
      <c r="C602" s="516" t="n"/>
      <c r="D602" s="516" t="n"/>
      <c r="E602" s="516" t="n"/>
      <c r="F602" s="516" t="n"/>
      <c r="G602" s="516" t="n"/>
      <c r="H602" s="516" t="n"/>
      <c r="I602" s="516" t="n"/>
      <c r="J602" s="516" t="n"/>
      <c r="K602" s="516" t="n"/>
    </row>
    <row r="603">
      <c r="A603" s="516" t="n"/>
      <c r="B603" s="516" t="n"/>
      <c r="C603" s="516" t="n"/>
      <c r="D603" s="516" t="n"/>
      <c r="E603" s="516" t="n"/>
      <c r="F603" s="516" t="n"/>
      <c r="G603" s="516" t="n"/>
      <c r="H603" s="516" t="n"/>
      <c r="I603" s="516" t="n"/>
      <c r="J603" s="516" t="n"/>
      <c r="K603" s="516" t="n"/>
    </row>
    <row r="604">
      <c r="A604" s="516" t="n"/>
      <c r="B604" s="516" t="n"/>
      <c r="C604" s="516" t="n"/>
      <c r="D604" s="516" t="n"/>
      <c r="E604" s="516" t="n"/>
      <c r="F604" s="516" t="n"/>
      <c r="G604" s="516" t="n"/>
      <c r="H604" s="516" t="n"/>
      <c r="I604" s="516" t="n"/>
      <c r="J604" s="516" t="n"/>
      <c r="K604" s="516" t="n"/>
    </row>
    <row r="605">
      <c r="A605" s="516" t="n"/>
      <c r="B605" s="516" t="n"/>
      <c r="C605" s="516" t="n"/>
      <c r="D605" s="516" t="n"/>
      <c r="E605" s="516" t="n"/>
      <c r="F605" s="516" t="n"/>
      <c r="G605" s="516" t="n"/>
      <c r="H605" s="516" t="n"/>
      <c r="I605" s="516" t="n"/>
      <c r="J605" s="516" t="n"/>
      <c r="K605" s="516" t="n"/>
    </row>
    <row r="606">
      <c r="A606" s="516" t="n"/>
      <c r="B606" s="516" t="n"/>
      <c r="C606" s="516" t="n"/>
      <c r="D606" s="516" t="n"/>
      <c r="E606" s="516" t="n"/>
      <c r="F606" s="516" t="n"/>
      <c r="G606" s="516" t="n"/>
      <c r="H606" s="516" t="n"/>
      <c r="I606" s="516" t="n"/>
      <c r="J606" s="516" t="n"/>
      <c r="K606" s="516" t="n"/>
    </row>
    <row r="607">
      <c r="A607" s="516" t="n"/>
      <c r="B607" s="516" t="n"/>
      <c r="C607" s="516" t="n"/>
      <c r="D607" s="516" t="n"/>
      <c r="E607" s="516" t="n"/>
      <c r="F607" s="516" t="n"/>
      <c r="G607" s="516" t="n"/>
      <c r="H607" s="516" t="n"/>
      <c r="I607" s="516" t="n"/>
      <c r="J607" s="516" t="n"/>
      <c r="K607" s="516" t="n"/>
    </row>
    <row r="608">
      <c r="A608" s="516" t="n"/>
      <c r="B608" s="516" t="n"/>
      <c r="C608" s="516" t="n"/>
      <c r="D608" s="516" t="n"/>
      <c r="E608" s="516" t="n"/>
      <c r="F608" s="516" t="n"/>
      <c r="G608" s="516" t="n"/>
      <c r="H608" s="516" t="n"/>
      <c r="I608" s="516" t="n"/>
      <c r="J608" s="516" t="n"/>
      <c r="K608" s="516" t="n"/>
    </row>
    <row r="609">
      <c r="A609" s="516" t="n"/>
      <c r="B609" s="516" t="n"/>
      <c r="C609" s="516" t="n"/>
      <c r="D609" s="516" t="n"/>
      <c r="E609" s="516" t="n"/>
      <c r="F609" s="516" t="n"/>
      <c r="G609" s="516" t="n"/>
      <c r="H609" s="516" t="n"/>
      <c r="I609" s="516" t="n"/>
      <c r="J609" s="516" t="n"/>
      <c r="K609" s="516" t="n"/>
    </row>
    <row r="610">
      <c r="A610" s="516" t="n"/>
      <c r="B610" s="516" t="n"/>
      <c r="C610" s="516" t="n"/>
      <c r="D610" s="516" t="n"/>
      <c r="E610" s="516" t="n"/>
      <c r="F610" s="516" t="n"/>
      <c r="G610" s="516" t="n"/>
      <c r="H610" s="516" t="n"/>
      <c r="I610" s="516" t="n"/>
      <c r="J610" s="516" t="n"/>
      <c r="K610" s="516" t="n"/>
    </row>
    <row r="611">
      <c r="A611" s="516" t="n"/>
      <c r="B611" s="516" t="n"/>
      <c r="C611" s="516" t="n"/>
      <c r="D611" s="516" t="n"/>
      <c r="E611" s="516" t="n"/>
      <c r="F611" s="516" t="n"/>
      <c r="G611" s="516" t="n"/>
      <c r="H611" s="516" t="n"/>
      <c r="I611" s="516" t="n"/>
      <c r="J611" s="516" t="n"/>
      <c r="K611" s="516" t="n"/>
    </row>
    <row r="612">
      <c r="A612" s="516" t="n"/>
      <c r="B612" s="516" t="n"/>
      <c r="C612" s="516" t="n"/>
      <c r="D612" s="516" t="n"/>
      <c r="E612" s="516" t="n"/>
      <c r="F612" s="516" t="n"/>
      <c r="G612" s="516" t="n"/>
      <c r="H612" s="516" t="n"/>
      <c r="I612" s="516" t="n"/>
      <c r="J612" s="516" t="n"/>
      <c r="K612" s="516" t="n"/>
    </row>
    <row r="613">
      <c r="A613" s="516" t="n"/>
      <c r="B613" s="516" t="n"/>
      <c r="C613" s="516" t="n"/>
      <c r="D613" s="516" t="n"/>
      <c r="E613" s="516" t="n"/>
      <c r="F613" s="516" t="n"/>
      <c r="G613" s="516" t="n"/>
      <c r="H613" s="516" t="n"/>
      <c r="I613" s="516" t="n"/>
      <c r="J613" s="516" t="n"/>
      <c r="K613" s="516" t="n"/>
    </row>
    <row r="614">
      <c r="A614" s="516" t="n"/>
      <c r="B614" s="516" t="n"/>
      <c r="C614" s="516" t="n"/>
      <c r="D614" s="516" t="n"/>
      <c r="E614" s="516" t="n"/>
      <c r="F614" s="516" t="n"/>
      <c r="G614" s="516" t="n"/>
      <c r="H614" s="516" t="n"/>
      <c r="I614" s="516" t="n"/>
      <c r="J614" s="516" t="n"/>
      <c r="K614" s="516" t="n"/>
    </row>
    <row r="615">
      <c r="A615" s="516" t="n"/>
      <c r="B615" s="516" t="n"/>
      <c r="C615" s="516" t="n"/>
      <c r="D615" s="516" t="n"/>
      <c r="E615" s="516" t="n"/>
      <c r="F615" s="516" t="n"/>
      <c r="G615" s="516" t="n"/>
      <c r="H615" s="516" t="n"/>
      <c r="I615" s="516" t="n"/>
      <c r="J615" s="516" t="n"/>
      <c r="K615" s="516" t="n"/>
    </row>
    <row r="616">
      <c r="A616" s="516" t="n"/>
      <c r="B616" s="516" t="n"/>
      <c r="C616" s="516" t="n"/>
      <c r="D616" s="516" t="n"/>
      <c r="E616" s="516" t="n"/>
      <c r="F616" s="516" t="n"/>
      <c r="G616" s="516" t="n"/>
      <c r="H616" s="516" t="n"/>
      <c r="I616" s="516" t="n"/>
      <c r="J616" s="516" t="n"/>
      <c r="K616" s="516" t="n"/>
    </row>
    <row r="617">
      <c r="A617" s="516" t="n"/>
      <c r="B617" s="516" t="n"/>
      <c r="C617" s="516" t="n"/>
      <c r="D617" s="516" t="n"/>
      <c r="E617" s="516" t="n"/>
      <c r="F617" s="516" t="n"/>
      <c r="G617" s="516" t="n"/>
      <c r="H617" s="516" t="n"/>
      <c r="I617" s="516" t="n"/>
      <c r="J617" s="516" t="n"/>
      <c r="K617" s="516" t="n"/>
    </row>
    <row r="618">
      <c r="A618" s="516" t="n"/>
      <c r="B618" s="516" t="n"/>
      <c r="C618" s="516" t="n"/>
      <c r="D618" s="516" t="n"/>
      <c r="E618" s="516" t="n"/>
      <c r="F618" s="516" t="n"/>
      <c r="G618" s="516" t="n"/>
      <c r="H618" s="516" t="n"/>
      <c r="I618" s="516" t="n"/>
      <c r="J618" s="516" t="n"/>
      <c r="K618" s="516" t="n"/>
    </row>
    <row r="619">
      <c r="A619" s="516" t="n"/>
      <c r="B619" s="516" t="n"/>
      <c r="C619" s="516" t="n"/>
      <c r="D619" s="516" t="n"/>
      <c r="E619" s="516" t="n"/>
      <c r="F619" s="516" t="n"/>
      <c r="G619" s="516" t="n"/>
      <c r="H619" s="516" t="n"/>
      <c r="I619" s="516" t="n"/>
      <c r="J619" s="516" t="n"/>
      <c r="K619" s="516" t="n"/>
    </row>
    <row r="620">
      <c r="A620" s="516" t="n"/>
      <c r="B620" s="516" t="n"/>
      <c r="C620" s="516" t="n"/>
      <c r="D620" s="516" t="n"/>
      <c r="E620" s="516" t="n"/>
      <c r="F620" s="516" t="n"/>
      <c r="G620" s="516" t="n"/>
      <c r="H620" s="516" t="n"/>
      <c r="I620" s="516" t="n"/>
      <c r="J620" s="516" t="n"/>
      <c r="K620" s="516" t="n"/>
    </row>
    <row r="621">
      <c r="A621" s="516" t="n"/>
      <c r="B621" s="516" t="n"/>
      <c r="C621" s="516" t="n"/>
      <c r="D621" s="516" t="n"/>
      <c r="E621" s="516" t="n"/>
      <c r="F621" s="516" t="n"/>
      <c r="G621" s="516" t="n"/>
      <c r="H621" s="516" t="n"/>
      <c r="I621" s="516" t="n"/>
      <c r="J621" s="516" t="n"/>
      <c r="K621" s="516" t="n"/>
    </row>
    <row r="622">
      <c r="A622" s="516" t="n"/>
      <c r="B622" s="516" t="n"/>
      <c r="C622" s="516" t="n"/>
      <c r="D622" s="516" t="n"/>
      <c r="E622" s="516" t="n"/>
      <c r="F622" s="516" t="n"/>
      <c r="G622" s="516" t="n"/>
      <c r="H622" s="516" t="n"/>
      <c r="I622" s="516" t="n"/>
      <c r="J622" s="516" t="n"/>
      <c r="K622" s="516" t="n"/>
    </row>
    <row r="623">
      <c r="A623" s="516" t="n"/>
      <c r="B623" s="516" t="n"/>
      <c r="C623" s="516" t="n"/>
      <c r="D623" s="516" t="n"/>
      <c r="E623" s="516" t="n"/>
      <c r="F623" s="516" t="n"/>
      <c r="G623" s="516" t="n"/>
      <c r="H623" s="516" t="n"/>
      <c r="I623" s="516" t="n"/>
      <c r="J623" s="516" t="n"/>
      <c r="K623" s="516" t="n"/>
    </row>
    <row r="624">
      <c r="A624" s="516" t="n"/>
      <c r="B624" s="516" t="n"/>
      <c r="C624" s="516" t="n"/>
      <c r="D624" s="516" t="n"/>
      <c r="E624" s="516" t="n"/>
      <c r="F624" s="516" t="n"/>
      <c r="G624" s="516" t="n"/>
      <c r="H624" s="516" t="n"/>
      <c r="I624" s="516" t="n"/>
      <c r="J624" s="516" t="n"/>
      <c r="K624" s="516" t="n"/>
    </row>
    <row r="625">
      <c r="A625" s="516" t="n"/>
      <c r="B625" s="516" t="n"/>
      <c r="C625" s="516" t="n"/>
      <c r="D625" s="516" t="n"/>
      <c r="E625" s="516" t="n"/>
      <c r="F625" s="516" t="n"/>
      <c r="G625" s="516" t="n"/>
      <c r="H625" s="516" t="n"/>
      <c r="I625" s="516" t="n"/>
      <c r="J625" s="516" t="n"/>
      <c r="K625" s="516" t="n"/>
    </row>
    <row r="626">
      <c r="A626" s="516" t="n"/>
      <c r="B626" s="516" t="n"/>
      <c r="C626" s="516" t="n"/>
      <c r="D626" s="516" t="n"/>
      <c r="E626" s="516" t="n"/>
      <c r="F626" s="516" t="n"/>
      <c r="G626" s="516" t="n"/>
      <c r="H626" s="516" t="n"/>
      <c r="I626" s="516" t="n"/>
      <c r="J626" s="516" t="n"/>
      <c r="K626" s="516" t="n"/>
    </row>
    <row r="627">
      <c r="A627" s="516" t="n"/>
      <c r="B627" s="516" t="n"/>
      <c r="C627" s="516" t="n"/>
      <c r="D627" s="516" t="n"/>
      <c r="E627" s="516" t="n"/>
      <c r="F627" s="516" t="n"/>
      <c r="G627" s="516" t="n"/>
      <c r="H627" s="516" t="n"/>
      <c r="I627" s="516" t="n"/>
      <c r="J627" s="516" t="n"/>
      <c r="K627" s="516" t="n"/>
    </row>
    <row r="628">
      <c r="A628" s="516" t="n"/>
      <c r="B628" s="516" t="n"/>
      <c r="C628" s="516" t="n"/>
      <c r="D628" s="516" t="n"/>
      <c r="E628" s="516" t="n"/>
      <c r="F628" s="516" t="n"/>
      <c r="G628" s="516" t="n"/>
      <c r="H628" s="516" t="n"/>
      <c r="I628" s="516" t="n"/>
      <c r="J628" s="516" t="n"/>
      <c r="K628" s="516" t="n"/>
    </row>
    <row r="629">
      <c r="A629" s="516" t="n"/>
      <c r="B629" s="516" t="n"/>
      <c r="C629" s="516" t="n"/>
      <c r="D629" s="516" t="n"/>
      <c r="E629" s="516" t="n"/>
      <c r="F629" s="516" t="n"/>
      <c r="G629" s="516" t="n"/>
      <c r="H629" s="516" t="n"/>
      <c r="I629" s="516" t="n"/>
      <c r="J629" s="516" t="n"/>
      <c r="K629" s="516" t="n"/>
    </row>
    <row r="630">
      <c r="A630" s="516" t="n"/>
      <c r="B630" s="516" t="n"/>
      <c r="C630" s="516" t="n"/>
      <c r="D630" s="516" t="n"/>
      <c r="E630" s="516" t="n"/>
      <c r="F630" s="516" t="n"/>
      <c r="G630" s="516" t="n"/>
      <c r="H630" s="516" t="n"/>
      <c r="I630" s="516" t="n"/>
      <c r="J630" s="516" t="n"/>
      <c r="K630" s="516" t="n"/>
    </row>
    <row r="631">
      <c r="A631" s="516" t="n"/>
      <c r="B631" s="516" t="n"/>
      <c r="C631" s="516" t="n"/>
      <c r="D631" s="516" t="n"/>
      <c r="E631" s="516" t="n"/>
      <c r="F631" s="516" t="n"/>
      <c r="G631" s="516" t="n"/>
      <c r="H631" s="516" t="n"/>
      <c r="I631" s="516" t="n"/>
      <c r="J631" s="516" t="n"/>
      <c r="K631" s="516" t="n"/>
    </row>
    <row r="632">
      <c r="A632" s="516" t="n"/>
      <c r="B632" s="516" t="n"/>
      <c r="C632" s="516" t="n"/>
      <c r="D632" s="516" t="n"/>
      <c r="E632" s="516" t="n"/>
      <c r="F632" s="516" t="n"/>
      <c r="G632" s="516" t="n"/>
      <c r="H632" s="516" t="n"/>
      <c r="I632" s="516" t="n"/>
      <c r="J632" s="516" t="n"/>
      <c r="K632" s="516" t="n"/>
    </row>
    <row r="633">
      <c r="A633" s="516" t="n"/>
      <c r="B633" s="516" t="n"/>
      <c r="C633" s="516" t="n"/>
      <c r="D633" s="516" t="n"/>
      <c r="E633" s="516" t="n"/>
      <c r="F633" s="516" t="n"/>
      <c r="G633" s="516" t="n"/>
      <c r="H633" s="516" t="n"/>
      <c r="I633" s="516" t="n"/>
      <c r="J633" s="516" t="n"/>
      <c r="K633" s="516" t="n"/>
    </row>
    <row r="634">
      <c r="A634" s="516" t="n"/>
      <c r="B634" s="516" t="n"/>
      <c r="C634" s="516" t="n"/>
      <c r="D634" s="516" t="n"/>
      <c r="E634" s="516" t="n"/>
      <c r="F634" s="516" t="n"/>
      <c r="G634" s="516" t="n"/>
      <c r="H634" s="516" t="n"/>
      <c r="I634" s="516" t="n"/>
      <c r="J634" s="516" t="n"/>
      <c r="K634" s="516" t="n"/>
    </row>
    <row r="635">
      <c r="A635" s="516" t="n"/>
      <c r="B635" s="516" t="n"/>
      <c r="C635" s="516" t="n"/>
      <c r="D635" s="516" t="n"/>
      <c r="E635" s="516" t="n"/>
      <c r="F635" s="516" t="n"/>
      <c r="G635" s="516" t="n"/>
      <c r="H635" s="516" t="n"/>
      <c r="I635" s="516" t="n"/>
      <c r="J635" s="516" t="n"/>
      <c r="K635" s="516" t="n"/>
    </row>
    <row r="636">
      <c r="A636" s="516" t="n"/>
      <c r="B636" s="516" t="n"/>
      <c r="C636" s="516" t="n"/>
      <c r="D636" s="516" t="n"/>
      <c r="E636" s="516" t="n"/>
      <c r="F636" s="516" t="n"/>
      <c r="G636" s="516" t="n"/>
      <c r="H636" s="516" t="n"/>
      <c r="I636" s="516" t="n"/>
      <c r="J636" s="516" t="n"/>
      <c r="K636" s="516" t="n"/>
    </row>
    <row r="637">
      <c r="A637" s="516" t="n"/>
      <c r="B637" s="516" t="n"/>
      <c r="C637" s="516" t="n"/>
      <c r="D637" s="516" t="n"/>
      <c r="E637" s="516" t="n"/>
      <c r="F637" s="516" t="n"/>
      <c r="G637" s="516" t="n"/>
      <c r="H637" s="516" t="n"/>
      <c r="I637" s="516" t="n"/>
      <c r="J637" s="516" t="n"/>
      <c r="K637" s="516" t="n"/>
    </row>
    <row r="638">
      <c r="A638" s="516" t="n"/>
      <c r="B638" s="516" t="n"/>
      <c r="C638" s="516" t="n"/>
      <c r="D638" s="516" t="n"/>
      <c r="E638" s="516" t="n"/>
      <c r="F638" s="516" t="n"/>
      <c r="G638" s="516" t="n"/>
      <c r="H638" s="516" t="n"/>
      <c r="I638" s="516" t="n"/>
      <c r="J638" s="516" t="n"/>
      <c r="K638" s="516" t="n"/>
    </row>
    <row r="639">
      <c r="A639" s="516" t="n"/>
      <c r="B639" s="516" t="n"/>
      <c r="C639" s="516" t="n"/>
      <c r="D639" s="516" t="n"/>
      <c r="E639" s="516" t="n"/>
      <c r="F639" s="516" t="n"/>
      <c r="G639" s="516" t="n"/>
      <c r="H639" s="516" t="n"/>
      <c r="I639" s="516" t="n"/>
      <c r="J639" s="516" t="n"/>
      <c r="K639" s="516" t="n"/>
    </row>
    <row r="640">
      <c r="A640" s="516" t="n"/>
      <c r="B640" s="516" t="n"/>
      <c r="C640" s="516" t="n"/>
      <c r="D640" s="516" t="n"/>
      <c r="E640" s="516" t="n"/>
      <c r="F640" s="516" t="n"/>
      <c r="G640" s="516" t="n"/>
      <c r="H640" s="516" t="n"/>
      <c r="I640" s="516" t="n"/>
      <c r="J640" s="516" t="n"/>
      <c r="K640" s="516" t="n"/>
    </row>
    <row r="641">
      <c r="A641" s="516" t="n"/>
      <c r="B641" s="516" t="n"/>
      <c r="C641" s="516" t="n"/>
      <c r="D641" s="516" t="n"/>
      <c r="E641" s="516" t="n"/>
      <c r="F641" s="516" t="n"/>
      <c r="G641" s="516" t="n"/>
      <c r="H641" s="516" t="n"/>
      <c r="I641" s="516" t="n"/>
      <c r="J641" s="516" t="n"/>
      <c r="K641" s="516" t="n"/>
    </row>
    <row r="642">
      <c r="A642" s="516" t="n"/>
      <c r="B642" s="516" t="n"/>
      <c r="C642" s="516" t="n"/>
      <c r="D642" s="516" t="n"/>
      <c r="E642" s="516" t="n"/>
      <c r="F642" s="516" t="n"/>
      <c r="G642" s="516" t="n"/>
      <c r="H642" s="516" t="n"/>
      <c r="I642" s="516" t="n"/>
      <c r="J642" s="516" t="n"/>
      <c r="K642" s="516" t="n"/>
    </row>
    <row r="643">
      <c r="A643" s="516" t="n"/>
      <c r="B643" s="516" t="n"/>
      <c r="C643" s="516" t="n"/>
      <c r="D643" s="516" t="n"/>
      <c r="E643" s="516" t="n"/>
      <c r="F643" s="516" t="n"/>
      <c r="G643" s="516" t="n"/>
      <c r="H643" s="516" t="n"/>
      <c r="I643" s="516" t="n"/>
      <c r="J643" s="516" t="n"/>
      <c r="K643" s="516" t="n"/>
    </row>
    <row r="644">
      <c r="A644" s="516" t="n"/>
      <c r="B644" s="516" t="n"/>
      <c r="C644" s="516" t="n"/>
      <c r="D644" s="516" t="n"/>
      <c r="E644" s="516" t="n"/>
      <c r="F644" s="516" t="n"/>
      <c r="G644" s="516" t="n"/>
      <c r="H644" s="516" t="n"/>
      <c r="I644" s="516" t="n"/>
      <c r="J644" s="516" t="n"/>
      <c r="K644" s="516" t="n"/>
    </row>
    <row r="645">
      <c r="A645" s="516" t="n"/>
      <c r="B645" s="516" t="n"/>
      <c r="C645" s="516" t="n"/>
      <c r="D645" s="516" t="n"/>
      <c r="E645" s="516" t="n"/>
      <c r="F645" s="516" t="n"/>
      <c r="G645" s="516" t="n"/>
      <c r="H645" s="516" t="n"/>
      <c r="I645" s="516" t="n"/>
      <c r="J645" s="516" t="n"/>
      <c r="K645" s="516" t="n"/>
    </row>
    <row r="646">
      <c r="A646" s="516" t="n"/>
      <c r="B646" s="516" t="n"/>
      <c r="C646" s="516" t="n"/>
      <c r="D646" s="516" t="n"/>
      <c r="E646" s="516" t="n"/>
      <c r="F646" s="516" t="n"/>
      <c r="G646" s="516" t="n"/>
      <c r="H646" s="516" t="n"/>
      <c r="I646" s="516" t="n"/>
      <c r="J646" s="516" t="n"/>
      <c r="K646" s="516" t="n"/>
    </row>
    <row r="647">
      <c r="A647" s="516" t="n"/>
      <c r="B647" s="516" t="n"/>
      <c r="C647" s="516" t="n"/>
      <c r="D647" s="516" t="n"/>
      <c r="E647" s="516" t="n"/>
      <c r="F647" s="516" t="n"/>
      <c r="G647" s="516" t="n"/>
      <c r="H647" s="516" t="n"/>
      <c r="I647" s="516" t="n"/>
      <c r="J647" s="516" t="n"/>
      <c r="K647" s="516" t="n"/>
    </row>
    <row r="648">
      <c r="A648" s="516" t="n"/>
      <c r="B648" s="516" t="n"/>
      <c r="C648" s="516" t="n"/>
      <c r="D648" s="516" t="n"/>
      <c r="E648" s="516" t="n"/>
      <c r="F648" s="516" t="n"/>
      <c r="G648" s="516" t="n"/>
      <c r="H648" s="516" t="n"/>
      <c r="I648" s="516" t="n"/>
      <c r="J648" s="516" t="n"/>
      <c r="K648" s="516" t="n"/>
    </row>
    <row r="649">
      <c r="A649" s="516" t="n"/>
      <c r="B649" s="516" t="n"/>
      <c r="C649" s="516" t="n"/>
      <c r="D649" s="516" t="n"/>
      <c r="E649" s="516" t="n"/>
      <c r="F649" s="516" t="n"/>
      <c r="G649" s="516" t="n"/>
      <c r="H649" s="516" t="n"/>
      <c r="I649" s="516" t="n"/>
      <c r="J649" s="516" t="n"/>
      <c r="K649" s="516" t="n"/>
    </row>
    <row r="650">
      <c r="A650" s="516" t="n"/>
      <c r="B650" s="516" t="n"/>
      <c r="C650" s="516" t="n"/>
      <c r="D650" s="516" t="n"/>
      <c r="E650" s="516" t="n"/>
      <c r="F650" s="516" t="n"/>
      <c r="G650" s="516" t="n"/>
      <c r="H650" s="516" t="n"/>
      <c r="I650" s="516" t="n"/>
      <c r="J650" s="516" t="n"/>
      <c r="K650" s="516" t="n"/>
    </row>
    <row r="651">
      <c r="A651" s="516" t="n"/>
      <c r="B651" s="516" t="n"/>
      <c r="C651" s="516" t="n"/>
      <c r="D651" s="516" t="n"/>
      <c r="E651" s="516" t="n"/>
      <c r="F651" s="516" t="n"/>
      <c r="G651" s="516" t="n"/>
      <c r="H651" s="516" t="n"/>
      <c r="I651" s="516" t="n"/>
      <c r="J651" s="516" t="n"/>
      <c r="K651" s="516" t="n"/>
    </row>
    <row r="652">
      <c r="A652" s="516" t="n"/>
      <c r="B652" s="516" t="n"/>
      <c r="C652" s="516" t="n"/>
      <c r="D652" s="516" t="n"/>
      <c r="E652" s="516" t="n"/>
      <c r="F652" s="516" t="n"/>
      <c r="G652" s="516" t="n"/>
      <c r="H652" s="516" t="n"/>
      <c r="I652" s="516" t="n"/>
      <c r="J652" s="516" t="n"/>
      <c r="K652" s="516" t="n"/>
    </row>
    <row r="653">
      <c r="A653" s="516" t="n"/>
      <c r="B653" s="516" t="n"/>
      <c r="C653" s="516" t="n"/>
      <c r="D653" s="516" t="n"/>
      <c r="E653" s="516" t="n"/>
      <c r="F653" s="516" t="n"/>
      <c r="G653" s="516" t="n"/>
      <c r="H653" s="516" t="n"/>
      <c r="I653" s="516" t="n"/>
      <c r="J653" s="516" t="n"/>
      <c r="K653" s="516" t="n"/>
    </row>
    <row r="654">
      <c r="A654" s="516" t="n"/>
      <c r="B654" s="516" t="n"/>
      <c r="C654" s="516" t="n"/>
      <c r="D654" s="516" t="n"/>
      <c r="E654" s="516" t="n"/>
      <c r="F654" s="516" t="n"/>
      <c r="G654" s="516" t="n"/>
      <c r="H654" s="516" t="n"/>
      <c r="I654" s="516" t="n"/>
      <c r="J654" s="516" t="n"/>
      <c r="K654" s="516" t="n"/>
    </row>
    <row r="655">
      <c r="A655" s="516" t="n"/>
      <c r="B655" s="516" t="n"/>
      <c r="C655" s="516" t="n"/>
      <c r="D655" s="516" t="n"/>
      <c r="E655" s="516" t="n"/>
      <c r="F655" s="516" t="n"/>
      <c r="G655" s="516" t="n"/>
      <c r="H655" s="516" t="n"/>
      <c r="I655" s="516" t="n"/>
      <c r="J655" s="516" t="n"/>
      <c r="K655" s="516" t="n"/>
    </row>
    <row r="656">
      <c r="A656" s="516" t="n"/>
      <c r="B656" s="516" t="n"/>
      <c r="C656" s="516" t="n"/>
      <c r="D656" s="516" t="n"/>
      <c r="E656" s="516" t="n"/>
      <c r="F656" s="516" t="n"/>
      <c r="G656" s="516" t="n"/>
      <c r="H656" s="516" t="n"/>
      <c r="I656" s="516" t="n"/>
      <c r="J656" s="516" t="n"/>
      <c r="K656" s="516" t="n"/>
    </row>
    <row r="657">
      <c r="A657" s="516" t="n"/>
      <c r="B657" s="516" t="n"/>
      <c r="C657" s="516" t="n"/>
      <c r="D657" s="516" t="n"/>
      <c r="E657" s="516" t="n"/>
      <c r="F657" s="516" t="n"/>
      <c r="G657" s="516" t="n"/>
      <c r="H657" s="516" t="n"/>
      <c r="I657" s="516" t="n"/>
      <c r="J657" s="516" t="n"/>
      <c r="K657" s="516" t="n"/>
    </row>
    <row r="658">
      <c r="A658" s="516" t="n"/>
      <c r="B658" s="516" t="n"/>
      <c r="C658" s="516" t="n"/>
      <c r="D658" s="516" t="n"/>
      <c r="E658" s="516" t="n"/>
      <c r="F658" s="516" t="n"/>
      <c r="G658" s="516" t="n"/>
      <c r="H658" s="516" t="n"/>
      <c r="I658" s="516" t="n"/>
      <c r="J658" s="516" t="n"/>
      <c r="K658" s="516" t="n"/>
    </row>
    <row r="659">
      <c r="A659" s="516" t="n"/>
      <c r="B659" s="516" t="n"/>
      <c r="C659" s="516" t="n"/>
      <c r="D659" s="516" t="n"/>
      <c r="E659" s="516" t="n"/>
      <c r="F659" s="516" t="n"/>
      <c r="G659" s="516" t="n"/>
      <c r="H659" s="516" t="n"/>
      <c r="I659" s="516" t="n"/>
      <c r="J659" s="516" t="n"/>
      <c r="K659" s="516" t="n"/>
    </row>
    <row r="660">
      <c r="A660" s="516" t="n"/>
      <c r="B660" s="516" t="n"/>
      <c r="C660" s="516" t="n"/>
      <c r="D660" s="516" t="n"/>
      <c r="E660" s="516" t="n"/>
      <c r="F660" s="516" t="n"/>
      <c r="G660" s="516" t="n"/>
      <c r="H660" s="516" t="n"/>
      <c r="I660" s="516" t="n"/>
      <c r="J660" s="516" t="n"/>
      <c r="K660" s="516" t="n"/>
    </row>
    <row r="661">
      <c r="A661" s="516" t="n"/>
      <c r="B661" s="516" t="n"/>
      <c r="C661" s="516" t="n"/>
      <c r="D661" s="516" t="n"/>
      <c r="E661" s="516" t="n"/>
      <c r="F661" s="516" t="n"/>
      <c r="G661" s="516" t="n"/>
      <c r="H661" s="516" t="n"/>
      <c r="I661" s="516" t="n"/>
      <c r="J661" s="516" t="n"/>
      <c r="K661" s="516" t="n"/>
    </row>
    <row r="662">
      <c r="A662" s="516" t="n"/>
      <c r="B662" s="516" t="n"/>
      <c r="C662" s="516" t="n"/>
      <c r="D662" s="516" t="n"/>
      <c r="E662" s="516" t="n"/>
      <c r="F662" s="516" t="n"/>
      <c r="G662" s="516" t="n"/>
      <c r="H662" s="516" t="n"/>
      <c r="I662" s="516" t="n"/>
      <c r="J662" s="516" t="n"/>
      <c r="K662" s="516" t="n"/>
    </row>
    <row r="663">
      <c r="A663" s="516" t="n"/>
      <c r="B663" s="516" t="n"/>
      <c r="C663" s="516" t="n"/>
      <c r="D663" s="516" t="n"/>
      <c r="E663" s="516" t="n"/>
      <c r="F663" s="516" t="n"/>
      <c r="G663" s="516" t="n"/>
      <c r="H663" s="516" t="n"/>
      <c r="I663" s="516" t="n"/>
      <c r="J663" s="516" t="n"/>
      <c r="K663" s="516" t="n"/>
    </row>
    <row r="664">
      <c r="A664" s="516" t="n"/>
      <c r="B664" s="516" t="n"/>
      <c r="C664" s="516" t="n"/>
      <c r="D664" s="516" t="n"/>
      <c r="E664" s="516" t="n"/>
      <c r="F664" s="516" t="n"/>
      <c r="G664" s="516" t="n"/>
      <c r="H664" s="516" t="n"/>
      <c r="I664" s="516" t="n"/>
      <c r="J664" s="516" t="n"/>
      <c r="K664" s="516" t="n"/>
    </row>
    <row r="665">
      <c r="A665" s="516" t="n"/>
      <c r="B665" s="516" t="n"/>
      <c r="C665" s="516" t="n"/>
      <c r="D665" s="516" t="n"/>
      <c r="E665" s="516" t="n"/>
      <c r="F665" s="516" t="n"/>
      <c r="G665" s="516" t="n"/>
      <c r="H665" s="516" t="n"/>
      <c r="I665" s="516" t="n"/>
      <c r="J665" s="516" t="n"/>
      <c r="K665" s="516" t="n"/>
    </row>
    <row r="666">
      <c r="A666" s="516" t="n"/>
      <c r="B666" s="516" t="n"/>
      <c r="C666" s="516" t="n"/>
      <c r="D666" s="516" t="n"/>
      <c r="E666" s="516" t="n"/>
      <c r="F666" s="516" t="n"/>
      <c r="G666" s="516" t="n"/>
      <c r="H666" s="516" t="n"/>
      <c r="I666" s="516" t="n"/>
      <c r="J666" s="516" t="n"/>
      <c r="K666" s="516" t="n"/>
    </row>
    <row r="667">
      <c r="A667" s="516" t="n"/>
      <c r="B667" s="516" t="n"/>
      <c r="C667" s="516" t="n"/>
      <c r="D667" s="516" t="n"/>
      <c r="E667" s="516" t="n"/>
      <c r="F667" s="516" t="n"/>
      <c r="G667" s="516" t="n"/>
      <c r="H667" s="516" t="n"/>
      <c r="I667" s="516" t="n"/>
      <c r="J667" s="516" t="n"/>
      <c r="K667" s="516" t="n"/>
    </row>
    <row r="668">
      <c r="A668" s="516" t="n"/>
      <c r="B668" s="516" t="n"/>
      <c r="C668" s="516" t="n"/>
      <c r="D668" s="516" t="n"/>
      <c r="E668" s="516" t="n"/>
      <c r="F668" s="516" t="n"/>
      <c r="G668" s="516" t="n"/>
      <c r="H668" s="516" t="n"/>
      <c r="I668" s="516" t="n"/>
      <c r="J668" s="516" t="n"/>
      <c r="K668" s="516" t="n"/>
    </row>
    <row r="669">
      <c r="A669" s="516" t="n"/>
      <c r="B669" s="516" t="n"/>
      <c r="C669" s="516" t="n"/>
      <c r="D669" s="516" t="n"/>
      <c r="E669" s="516" t="n"/>
      <c r="F669" s="516" t="n"/>
      <c r="G669" s="516" t="n"/>
      <c r="H669" s="516" t="n"/>
      <c r="I669" s="516" t="n"/>
      <c r="J669" s="516" t="n"/>
      <c r="K669" s="516" t="n"/>
    </row>
    <row r="670">
      <c r="A670" s="516" t="n"/>
      <c r="B670" s="516" t="n"/>
      <c r="C670" s="516" t="n"/>
      <c r="D670" s="516" t="n"/>
      <c r="E670" s="516" t="n"/>
      <c r="F670" s="516" t="n"/>
      <c r="G670" s="516" t="n"/>
      <c r="H670" s="516" t="n"/>
      <c r="I670" s="516" t="n"/>
      <c r="J670" s="516" t="n"/>
      <c r="K670" s="516" t="n"/>
    </row>
    <row r="671">
      <c r="A671" s="516" t="n"/>
      <c r="B671" s="516" t="n"/>
      <c r="C671" s="516" t="n"/>
      <c r="D671" s="516" t="n"/>
      <c r="E671" s="516" t="n"/>
      <c r="F671" s="516" t="n"/>
      <c r="G671" s="516" t="n"/>
      <c r="H671" s="516" t="n"/>
      <c r="I671" s="516" t="n"/>
      <c r="J671" s="516" t="n"/>
      <c r="K671" s="516" t="n"/>
    </row>
    <row r="672">
      <c r="A672" s="516" t="n"/>
      <c r="B672" s="516" t="n"/>
      <c r="C672" s="516" t="n"/>
      <c r="D672" s="516" t="n"/>
      <c r="E672" s="516" t="n"/>
      <c r="F672" s="516" t="n"/>
      <c r="G672" s="516" t="n"/>
      <c r="H672" s="516" t="n"/>
      <c r="I672" s="516" t="n"/>
      <c r="J672" s="516" t="n"/>
      <c r="K672" s="516" t="n"/>
    </row>
    <row r="673">
      <c r="A673" s="516" t="n"/>
      <c r="B673" s="516" t="n"/>
      <c r="C673" s="516" t="n"/>
      <c r="D673" s="516" t="n"/>
      <c r="E673" s="516" t="n"/>
      <c r="F673" s="516" t="n"/>
      <c r="G673" s="516" t="n"/>
      <c r="H673" s="516" t="n"/>
      <c r="I673" s="516" t="n"/>
      <c r="J673" s="516" t="n"/>
      <c r="K673" s="516" t="n"/>
    </row>
    <row r="674">
      <c r="A674" s="516" t="n"/>
      <c r="B674" s="516" t="n"/>
      <c r="C674" s="516" t="n"/>
      <c r="D674" s="516" t="n"/>
      <c r="E674" s="516" t="n"/>
      <c r="F674" s="516" t="n"/>
      <c r="G674" s="516" t="n"/>
      <c r="H674" s="516" t="n"/>
      <c r="I674" s="516" t="n"/>
      <c r="J674" s="516" t="n"/>
      <c r="K674" s="516" t="n"/>
    </row>
    <row r="675">
      <c r="A675" s="516" t="n"/>
      <c r="B675" s="516" t="n"/>
      <c r="C675" s="516" t="n"/>
      <c r="D675" s="516" t="n"/>
      <c r="E675" s="516" t="n"/>
      <c r="F675" s="516" t="n"/>
      <c r="G675" s="516" t="n"/>
      <c r="H675" s="516" t="n"/>
      <c r="I675" s="516" t="n"/>
      <c r="J675" s="516" t="n"/>
      <c r="K675" s="516" t="n"/>
    </row>
    <row r="676">
      <c r="A676" s="516" t="n"/>
      <c r="B676" s="516" t="n"/>
      <c r="C676" s="516" t="n"/>
      <c r="D676" s="516" t="n"/>
      <c r="E676" s="516" t="n"/>
      <c r="F676" s="516" t="n"/>
      <c r="G676" s="516" t="n"/>
      <c r="H676" s="516" t="n"/>
      <c r="I676" s="516" t="n"/>
      <c r="J676" s="516" t="n"/>
      <c r="K676" s="516" t="n"/>
    </row>
    <row r="677">
      <c r="A677" s="516" t="n"/>
      <c r="B677" s="516" t="n"/>
      <c r="C677" s="516" t="n"/>
      <c r="D677" s="516" t="n"/>
      <c r="E677" s="516" t="n"/>
      <c r="F677" s="516" t="n"/>
      <c r="G677" s="516" t="n"/>
      <c r="H677" s="516" t="n"/>
      <c r="I677" s="516" t="n"/>
      <c r="J677" s="516" t="n"/>
      <c r="K677" s="516" t="n"/>
    </row>
    <row r="678">
      <c r="A678" s="516" t="n"/>
      <c r="B678" s="516" t="n"/>
      <c r="C678" s="516" t="n"/>
      <c r="D678" s="516" t="n"/>
      <c r="E678" s="516" t="n"/>
      <c r="F678" s="516" t="n"/>
      <c r="G678" s="516" t="n"/>
      <c r="H678" s="516" t="n"/>
      <c r="I678" s="516" t="n"/>
      <c r="J678" s="516" t="n"/>
      <c r="K678" s="516" t="n"/>
    </row>
    <row r="679">
      <c r="A679" s="516" t="n"/>
      <c r="B679" s="516" t="n"/>
      <c r="C679" s="516" t="n"/>
      <c r="D679" s="516" t="n"/>
      <c r="E679" s="516" t="n"/>
      <c r="F679" s="516" t="n"/>
      <c r="G679" s="516" t="n"/>
      <c r="H679" s="516" t="n"/>
      <c r="I679" s="516" t="n"/>
      <c r="J679" s="516" t="n"/>
      <c r="K679" s="516" t="n"/>
    </row>
    <row r="680">
      <c r="A680" s="516" t="n"/>
      <c r="B680" s="516" t="n"/>
      <c r="C680" s="516" t="n"/>
      <c r="D680" s="516" t="n"/>
      <c r="E680" s="516" t="n"/>
      <c r="F680" s="516" t="n"/>
      <c r="G680" s="516" t="n"/>
      <c r="H680" s="516" t="n"/>
      <c r="I680" s="516" t="n"/>
      <c r="J680" s="516" t="n"/>
      <c r="K680" s="516" t="n"/>
    </row>
    <row r="681">
      <c r="A681" s="516" t="n"/>
      <c r="B681" s="516" t="n"/>
      <c r="C681" s="516" t="n"/>
      <c r="D681" s="516" t="n"/>
      <c r="E681" s="516" t="n"/>
      <c r="F681" s="516" t="n"/>
      <c r="G681" s="516" t="n"/>
      <c r="H681" s="516" t="n"/>
      <c r="I681" s="516" t="n"/>
      <c r="J681" s="516" t="n"/>
      <c r="K681" s="516" t="n"/>
    </row>
    <row r="682">
      <c r="A682" s="516" t="n"/>
      <c r="B682" s="516" t="n"/>
      <c r="C682" s="516" t="n"/>
      <c r="D682" s="516" t="n"/>
      <c r="E682" s="516" t="n"/>
      <c r="F682" s="516" t="n"/>
      <c r="G682" s="516" t="n"/>
      <c r="H682" s="516" t="n"/>
      <c r="I682" s="516" t="n"/>
      <c r="J682" s="516" t="n"/>
      <c r="K682" s="516" t="n"/>
    </row>
    <row r="683">
      <c r="A683" s="516" t="n"/>
      <c r="B683" s="516" t="n"/>
      <c r="C683" s="516" t="n"/>
      <c r="D683" s="516" t="n"/>
      <c r="E683" s="516" t="n"/>
      <c r="F683" s="516" t="n"/>
      <c r="G683" s="516" t="n"/>
      <c r="H683" s="516" t="n"/>
      <c r="I683" s="516" t="n"/>
      <c r="J683" s="516" t="n"/>
      <c r="K683" s="516" t="n"/>
    </row>
    <row r="684">
      <c r="A684" s="516" t="n"/>
      <c r="B684" s="516" t="n"/>
      <c r="C684" s="516" t="n"/>
      <c r="D684" s="516" t="n"/>
      <c r="E684" s="516" t="n"/>
      <c r="F684" s="516" t="n"/>
      <c r="G684" s="516" t="n"/>
      <c r="H684" s="516" t="n"/>
      <c r="I684" s="516" t="n"/>
      <c r="J684" s="516" t="n"/>
      <c r="K684" s="516" t="n"/>
    </row>
    <row r="685">
      <c r="A685" s="516" t="n"/>
      <c r="B685" s="516" t="n"/>
      <c r="C685" s="516" t="n"/>
      <c r="D685" s="516" t="n"/>
      <c r="E685" s="516" t="n"/>
      <c r="F685" s="516" t="n"/>
      <c r="G685" s="516" t="n"/>
      <c r="H685" s="516" t="n"/>
      <c r="I685" s="516" t="n"/>
      <c r="J685" s="516" t="n"/>
      <c r="K685" s="516" t="n"/>
    </row>
    <row r="686">
      <c r="A686" s="516" t="n"/>
      <c r="B686" s="516" t="n"/>
      <c r="C686" s="516" t="n"/>
      <c r="D686" s="516" t="n"/>
      <c r="E686" s="516" t="n"/>
      <c r="F686" s="516" t="n"/>
      <c r="G686" s="516" t="n"/>
      <c r="H686" s="516" t="n"/>
      <c r="I686" s="516" t="n"/>
      <c r="J686" s="516" t="n"/>
      <c r="K686" s="516" t="n"/>
    </row>
    <row r="687">
      <c r="A687" s="516" t="n"/>
      <c r="B687" s="516" t="n"/>
      <c r="C687" s="516" t="n"/>
      <c r="D687" s="516" t="n"/>
      <c r="E687" s="516" t="n"/>
      <c r="F687" s="516" t="n"/>
      <c r="G687" s="516" t="n"/>
      <c r="H687" s="516" t="n"/>
      <c r="I687" s="516" t="n"/>
      <c r="J687" s="516" t="n"/>
      <c r="K687" s="516" t="n"/>
    </row>
    <row r="688">
      <c r="A688" s="516" t="n"/>
      <c r="B688" s="516" t="n"/>
      <c r="C688" s="516" t="n"/>
      <c r="D688" s="516" t="n"/>
      <c r="E688" s="516" t="n"/>
      <c r="F688" s="516" t="n"/>
      <c r="G688" s="516" t="n"/>
      <c r="H688" s="516" t="n"/>
      <c r="I688" s="516" t="n"/>
      <c r="J688" s="516" t="n"/>
      <c r="K688" s="516" t="n"/>
    </row>
    <row r="689">
      <c r="A689" s="516" t="n"/>
      <c r="B689" s="516" t="n"/>
      <c r="C689" s="516" t="n"/>
      <c r="D689" s="516" t="n"/>
      <c r="E689" s="516" t="n"/>
      <c r="F689" s="516" t="n"/>
      <c r="G689" s="516" t="n"/>
      <c r="H689" s="516" t="n"/>
      <c r="I689" s="516" t="n"/>
      <c r="J689" s="516" t="n"/>
      <c r="K689" s="516" t="n"/>
    </row>
    <row r="690">
      <c r="A690" s="516" t="n"/>
      <c r="B690" s="516" t="n"/>
      <c r="C690" s="516" t="n"/>
      <c r="D690" s="516" t="n"/>
      <c r="E690" s="516" t="n"/>
      <c r="F690" s="516" t="n"/>
      <c r="G690" s="516" t="n"/>
      <c r="H690" s="516" t="n"/>
      <c r="I690" s="516" t="n"/>
      <c r="J690" s="516" t="n"/>
      <c r="K690" s="516" t="n"/>
    </row>
    <row r="691">
      <c r="A691" s="516" t="n"/>
      <c r="B691" s="516" t="n"/>
      <c r="C691" s="516" t="n"/>
      <c r="D691" s="516" t="n"/>
      <c r="E691" s="516" t="n"/>
      <c r="F691" s="516" t="n"/>
      <c r="G691" s="516" t="n"/>
      <c r="H691" s="516" t="n"/>
      <c r="I691" s="516" t="n"/>
      <c r="J691" s="516" t="n"/>
      <c r="K691" s="516" t="n"/>
    </row>
    <row r="692">
      <c r="A692" s="516" t="n"/>
      <c r="B692" s="516" t="n"/>
      <c r="C692" s="516" t="n"/>
      <c r="D692" s="516" t="n"/>
      <c r="E692" s="516" t="n"/>
      <c r="F692" s="516" t="n"/>
      <c r="G692" s="516" t="n"/>
      <c r="H692" s="516" t="n"/>
      <c r="I692" s="516" t="n"/>
      <c r="J692" s="516" t="n"/>
      <c r="K692" s="516" t="n"/>
    </row>
    <row r="693">
      <c r="A693" s="516" t="n"/>
      <c r="B693" s="516" t="n"/>
      <c r="C693" s="516" t="n"/>
      <c r="D693" s="516" t="n"/>
      <c r="E693" s="516" t="n"/>
      <c r="F693" s="516" t="n"/>
      <c r="G693" s="516" t="n"/>
      <c r="H693" s="516" t="n"/>
      <c r="I693" s="516" t="n"/>
      <c r="J693" s="516" t="n"/>
      <c r="K693" s="516" t="n"/>
    </row>
    <row r="694">
      <c r="A694" s="516" t="n"/>
      <c r="B694" s="516" t="n"/>
      <c r="C694" s="516" t="n"/>
      <c r="D694" s="516" t="n"/>
      <c r="E694" s="516" t="n"/>
      <c r="F694" s="516" t="n"/>
      <c r="G694" s="516" t="n"/>
      <c r="H694" s="516" t="n"/>
      <c r="I694" s="516" t="n"/>
      <c r="J694" s="516" t="n"/>
      <c r="K694" s="516" t="n"/>
    </row>
    <row r="695">
      <c r="A695" s="516" t="n"/>
      <c r="B695" s="516" t="n"/>
      <c r="C695" s="516" t="n"/>
      <c r="D695" s="516" t="n"/>
      <c r="E695" s="516" t="n"/>
      <c r="F695" s="516" t="n"/>
      <c r="G695" s="516" t="n"/>
      <c r="H695" s="516" t="n"/>
      <c r="I695" s="516" t="n"/>
      <c r="J695" s="516" t="n"/>
      <c r="K695" s="516" t="n"/>
    </row>
    <row r="696">
      <c r="A696" s="516" t="n"/>
      <c r="B696" s="516" t="n"/>
      <c r="C696" s="516" t="n"/>
      <c r="D696" s="516" t="n"/>
      <c r="E696" s="516" t="n"/>
      <c r="F696" s="516" t="n"/>
      <c r="G696" s="516" t="n"/>
      <c r="H696" s="516" t="n"/>
      <c r="I696" s="516" t="n"/>
      <c r="J696" s="516" t="n"/>
      <c r="K696" s="516" t="n"/>
    </row>
    <row r="697">
      <c r="A697" s="516" t="n"/>
      <c r="B697" s="516" t="n"/>
      <c r="C697" s="516" t="n"/>
      <c r="D697" s="516" t="n"/>
      <c r="E697" s="516" t="n"/>
      <c r="F697" s="516" t="n"/>
      <c r="G697" s="516" t="n"/>
      <c r="H697" s="516" t="n"/>
      <c r="I697" s="516" t="n"/>
      <c r="J697" s="516" t="n"/>
      <c r="K697" s="516" t="n"/>
    </row>
    <row r="698">
      <c r="A698" s="516" t="n"/>
      <c r="B698" s="516" t="n"/>
      <c r="C698" s="516" t="n"/>
      <c r="D698" s="516" t="n"/>
      <c r="E698" s="516" t="n"/>
      <c r="F698" s="516" t="n"/>
      <c r="G698" s="516" t="n"/>
      <c r="H698" s="516" t="n"/>
      <c r="I698" s="516" t="n"/>
      <c r="J698" s="516" t="n"/>
      <c r="K698" s="516" t="n"/>
    </row>
    <row r="699">
      <c r="A699" s="516" t="n"/>
      <c r="B699" s="516" t="n"/>
      <c r="C699" s="516" t="n"/>
      <c r="D699" s="516" t="n"/>
      <c r="E699" s="516" t="n"/>
      <c r="F699" s="516" t="n"/>
      <c r="G699" s="516" t="n"/>
      <c r="H699" s="516" t="n"/>
      <c r="I699" s="516" t="n"/>
      <c r="J699" s="516" t="n"/>
      <c r="K699" s="516" t="n"/>
    </row>
    <row r="700">
      <c r="A700" s="516" t="n"/>
      <c r="B700" s="516" t="n"/>
      <c r="C700" s="516" t="n"/>
      <c r="D700" s="516" t="n"/>
      <c r="E700" s="516" t="n"/>
      <c r="F700" s="516" t="n"/>
      <c r="G700" s="516" t="n"/>
      <c r="H700" s="516" t="n"/>
      <c r="I700" s="516" t="n"/>
      <c r="J700" s="516" t="n"/>
      <c r="K700" s="516" t="n"/>
    </row>
    <row r="701">
      <c r="A701" s="516" t="n"/>
      <c r="B701" s="516" t="n"/>
      <c r="C701" s="516" t="n"/>
      <c r="D701" s="516" t="n"/>
      <c r="E701" s="516" t="n"/>
      <c r="F701" s="516" t="n"/>
      <c r="G701" s="516" t="n"/>
      <c r="H701" s="516" t="n"/>
      <c r="I701" s="516" t="n"/>
      <c r="J701" s="516" t="n"/>
      <c r="K701" s="516" t="n"/>
    </row>
    <row r="702">
      <c r="A702" s="516" t="n"/>
      <c r="B702" s="516" t="n"/>
      <c r="C702" s="516" t="n"/>
      <c r="D702" s="516" t="n"/>
      <c r="E702" s="516" t="n"/>
      <c r="F702" s="516" t="n"/>
      <c r="G702" s="516" t="n"/>
      <c r="H702" s="516" t="n"/>
      <c r="I702" s="516" t="n"/>
      <c r="J702" s="516" t="n"/>
      <c r="K702" s="516" t="n"/>
    </row>
    <row r="703">
      <c r="A703" s="516" t="n"/>
      <c r="B703" s="516" t="n"/>
      <c r="C703" s="516" t="n"/>
      <c r="D703" s="516" t="n"/>
      <c r="E703" s="516" t="n"/>
      <c r="F703" s="516" t="n"/>
      <c r="G703" s="516" t="n"/>
      <c r="H703" s="516" t="n"/>
      <c r="I703" s="516" t="n"/>
      <c r="J703" s="516" t="n"/>
      <c r="K703" s="516" t="n"/>
    </row>
    <row r="704">
      <c r="A704" s="516" t="n"/>
      <c r="B704" s="516" t="n"/>
      <c r="C704" s="516" t="n"/>
      <c r="D704" s="516" t="n"/>
      <c r="E704" s="516" t="n"/>
      <c r="F704" s="516" t="n"/>
      <c r="G704" s="516" t="n"/>
      <c r="H704" s="516" t="n"/>
      <c r="I704" s="516" t="n"/>
      <c r="J704" s="516" t="n"/>
      <c r="K704" s="516" t="n"/>
    </row>
    <row r="705">
      <c r="A705" s="516" t="n"/>
      <c r="B705" s="516" t="n"/>
      <c r="C705" s="516" t="n"/>
      <c r="D705" s="516" t="n"/>
      <c r="E705" s="516" t="n"/>
      <c r="F705" s="516" t="n"/>
      <c r="G705" s="516" t="n"/>
      <c r="H705" s="516" t="n"/>
      <c r="I705" s="516" t="n"/>
      <c r="J705" s="516" t="n"/>
      <c r="K705" s="516" t="n"/>
    </row>
    <row r="706">
      <c r="A706" s="516" t="n"/>
      <c r="B706" s="516" t="n"/>
      <c r="C706" s="516" t="n"/>
      <c r="D706" s="516" t="n"/>
      <c r="E706" s="516" t="n"/>
      <c r="F706" s="516" t="n"/>
      <c r="G706" s="516" t="n"/>
      <c r="H706" s="516" t="n"/>
      <c r="I706" s="516" t="n"/>
      <c r="J706" s="516" t="n"/>
      <c r="K706" s="516" t="n"/>
    </row>
    <row r="707">
      <c r="A707" s="516" t="n"/>
      <c r="B707" s="516" t="n"/>
      <c r="C707" s="516" t="n"/>
      <c r="D707" s="516" t="n"/>
      <c r="E707" s="516" t="n"/>
      <c r="F707" s="516" t="n"/>
      <c r="G707" s="516" t="n"/>
      <c r="H707" s="516" t="n"/>
      <c r="I707" s="516" t="n"/>
      <c r="J707" s="516" t="n"/>
      <c r="K707" s="516" t="n"/>
    </row>
    <row r="708">
      <c r="A708" s="516" t="n"/>
      <c r="B708" s="516" t="n"/>
      <c r="C708" s="516" t="n"/>
      <c r="D708" s="516" t="n"/>
      <c r="E708" s="516" t="n"/>
      <c r="F708" s="516" t="n"/>
      <c r="G708" s="516" t="n"/>
      <c r="H708" s="516" t="n"/>
      <c r="I708" s="516" t="n"/>
      <c r="J708" s="516" t="n"/>
      <c r="K708" s="516" t="n"/>
    </row>
    <row r="709">
      <c r="A709" s="516" t="n"/>
      <c r="B709" s="516" t="n"/>
      <c r="C709" s="516" t="n"/>
      <c r="D709" s="516" t="n"/>
      <c r="E709" s="516" t="n"/>
      <c r="F709" s="516" t="n"/>
      <c r="G709" s="516" t="n"/>
      <c r="H709" s="516" t="n"/>
      <c r="I709" s="516" t="n"/>
      <c r="J709" s="516" t="n"/>
      <c r="K709" s="516" t="n"/>
    </row>
    <row r="710">
      <c r="A710" s="516" t="n"/>
      <c r="B710" s="516" t="n"/>
      <c r="C710" s="516" t="n"/>
      <c r="D710" s="516" t="n"/>
      <c r="E710" s="516" t="n"/>
      <c r="F710" s="516" t="n"/>
      <c r="G710" s="516" t="n"/>
      <c r="H710" s="516" t="n"/>
      <c r="I710" s="516" t="n"/>
      <c r="J710" s="516" t="n"/>
      <c r="K710" s="516" t="n"/>
    </row>
    <row r="711">
      <c r="A711" s="516" t="n"/>
      <c r="B711" s="516" t="n"/>
      <c r="C711" s="516" t="n"/>
      <c r="D711" s="516" t="n"/>
      <c r="E711" s="516" t="n"/>
      <c r="F711" s="516" t="n"/>
      <c r="G711" s="516" t="n"/>
      <c r="H711" s="516" t="n"/>
      <c r="I711" s="516" t="n"/>
      <c r="J711" s="516" t="n"/>
      <c r="K711" s="516" t="n"/>
    </row>
    <row r="712">
      <c r="A712" s="516" t="n"/>
      <c r="B712" s="516" t="n"/>
      <c r="C712" s="516" t="n"/>
      <c r="D712" s="516" t="n"/>
      <c r="E712" s="516" t="n"/>
      <c r="F712" s="516" t="n"/>
      <c r="G712" s="516" t="n"/>
      <c r="H712" s="516" t="n"/>
      <c r="I712" s="516" t="n"/>
      <c r="J712" s="516" t="n"/>
      <c r="K712" s="516" t="n"/>
    </row>
    <row r="713">
      <c r="A713" s="516" t="n"/>
      <c r="B713" s="516" t="n"/>
      <c r="C713" s="516" t="n"/>
      <c r="D713" s="516" t="n"/>
      <c r="E713" s="516" t="n"/>
      <c r="F713" s="516" t="n"/>
      <c r="G713" s="516" t="n"/>
      <c r="H713" s="516" t="n"/>
      <c r="I713" s="516" t="n"/>
      <c r="J713" s="516" t="n"/>
      <c r="K713" s="516" t="n"/>
    </row>
    <row r="714">
      <c r="A714" s="516" t="n"/>
      <c r="B714" s="516" t="n"/>
      <c r="C714" s="516" t="n"/>
      <c r="D714" s="516" t="n"/>
      <c r="E714" s="516" t="n"/>
      <c r="F714" s="516" t="n"/>
      <c r="G714" s="516" t="n"/>
      <c r="H714" s="516" t="n"/>
      <c r="I714" s="516" t="n"/>
      <c r="J714" s="516" t="n"/>
      <c r="K714" s="516" t="n"/>
    </row>
    <row r="715">
      <c r="A715" s="516" t="n"/>
      <c r="B715" s="516" t="n"/>
      <c r="C715" s="516" t="n"/>
      <c r="D715" s="516" t="n"/>
      <c r="E715" s="516" t="n"/>
      <c r="F715" s="516" t="n"/>
      <c r="G715" s="516" t="n"/>
      <c r="H715" s="516" t="n"/>
      <c r="I715" s="516" t="n"/>
      <c r="J715" s="516" t="n"/>
      <c r="K715" s="516" t="n"/>
    </row>
    <row r="716">
      <c r="A716" s="516" t="n"/>
      <c r="B716" s="516" t="n"/>
      <c r="C716" s="516" t="n"/>
      <c r="D716" s="516" t="n"/>
      <c r="E716" s="516" t="n"/>
      <c r="F716" s="516" t="n"/>
      <c r="G716" s="516" t="n"/>
      <c r="H716" s="516" t="n"/>
      <c r="I716" s="516" t="n"/>
      <c r="J716" s="516" t="n"/>
      <c r="K716" s="516" t="n"/>
    </row>
    <row r="717">
      <c r="A717" s="516" t="n"/>
      <c r="B717" s="516" t="n"/>
      <c r="C717" s="516" t="n"/>
      <c r="D717" s="516" t="n"/>
      <c r="E717" s="516" t="n"/>
      <c r="F717" s="516" t="n"/>
      <c r="G717" s="516" t="n"/>
      <c r="H717" s="516" t="n"/>
      <c r="I717" s="516" t="n"/>
      <c r="J717" s="516" t="n"/>
      <c r="K717" s="516" t="n"/>
    </row>
    <row r="718">
      <c r="A718" s="516" t="n"/>
      <c r="B718" s="516" t="n"/>
      <c r="C718" s="516" t="n"/>
      <c r="D718" s="516" t="n"/>
      <c r="E718" s="516" t="n"/>
      <c r="F718" s="516" t="n"/>
      <c r="G718" s="516" t="n"/>
      <c r="H718" s="516" t="n"/>
      <c r="I718" s="516" t="n"/>
      <c r="J718" s="516" t="n"/>
      <c r="K718" s="516" t="n"/>
    </row>
    <row r="719">
      <c r="A719" s="516" t="n"/>
      <c r="B719" s="516" t="n"/>
      <c r="C719" s="516" t="n"/>
      <c r="D719" s="516" t="n"/>
      <c r="E719" s="516" t="n"/>
      <c r="F719" s="516" t="n"/>
      <c r="G719" s="516" t="n"/>
      <c r="H719" s="516" t="n"/>
      <c r="I719" s="516" t="n"/>
      <c r="J719" s="516" t="n"/>
      <c r="K719" s="516" t="n"/>
    </row>
    <row r="720">
      <c r="A720" s="516" t="n"/>
      <c r="B720" s="516" t="n"/>
      <c r="C720" s="516" t="n"/>
      <c r="D720" s="516" t="n"/>
      <c r="E720" s="516" t="n"/>
      <c r="F720" s="516" t="n"/>
      <c r="G720" s="516" t="n"/>
      <c r="H720" s="516" t="n"/>
      <c r="I720" s="516" t="n"/>
      <c r="J720" s="516" t="n"/>
      <c r="K720" s="516" t="n"/>
    </row>
    <row r="721">
      <c r="A721" s="516" t="n"/>
      <c r="B721" s="516" t="n"/>
      <c r="C721" s="516" t="n"/>
      <c r="D721" s="516" t="n"/>
      <c r="E721" s="516" t="n"/>
      <c r="F721" s="516" t="n"/>
      <c r="G721" s="516" t="n"/>
      <c r="H721" s="516" t="n"/>
      <c r="I721" s="516" t="n"/>
      <c r="J721" s="516" t="n"/>
      <c r="K721" s="516" t="n"/>
    </row>
    <row r="722">
      <c r="A722" s="516" t="n"/>
      <c r="B722" s="516" t="n"/>
      <c r="C722" s="516" t="n"/>
      <c r="D722" s="516" t="n"/>
      <c r="E722" s="516" t="n"/>
      <c r="F722" s="516" t="n"/>
      <c r="G722" s="516" t="n"/>
      <c r="H722" s="516" t="n"/>
      <c r="I722" s="516" t="n"/>
      <c r="J722" s="516" t="n"/>
      <c r="K722" s="516" t="n"/>
    </row>
    <row r="723">
      <c r="A723" s="516" t="n"/>
      <c r="B723" s="516" t="n"/>
      <c r="C723" s="516" t="n"/>
      <c r="D723" s="516" t="n"/>
      <c r="E723" s="516" t="n"/>
      <c r="F723" s="516" t="n"/>
      <c r="G723" s="516" t="n"/>
      <c r="H723" s="516" t="n"/>
      <c r="I723" s="516" t="n"/>
      <c r="J723" s="516" t="n"/>
      <c r="K723" s="516" t="n"/>
    </row>
    <row r="724">
      <c r="A724" s="516" t="n"/>
      <c r="B724" s="516" t="n"/>
      <c r="C724" s="516" t="n"/>
      <c r="D724" s="516" t="n"/>
      <c r="E724" s="516" t="n"/>
      <c r="F724" s="516" t="n"/>
      <c r="G724" s="516" t="n"/>
      <c r="H724" s="516" t="n"/>
      <c r="I724" s="516" t="n"/>
      <c r="J724" s="516" t="n"/>
      <c r="K724" s="516" t="n"/>
    </row>
    <row r="725">
      <c r="A725" s="516" t="n"/>
      <c r="B725" s="516" t="n"/>
      <c r="C725" s="516" t="n"/>
      <c r="D725" s="516" t="n"/>
      <c r="E725" s="516" t="n"/>
      <c r="F725" s="516" t="n"/>
      <c r="G725" s="516" t="n"/>
      <c r="H725" s="516" t="n"/>
      <c r="I725" s="516" t="n"/>
      <c r="J725" s="516" t="n"/>
      <c r="K725" s="516" t="n"/>
    </row>
    <row r="726">
      <c r="A726" s="516" t="n"/>
      <c r="B726" s="516" t="n"/>
      <c r="C726" s="516" t="n"/>
      <c r="D726" s="516" t="n"/>
      <c r="E726" s="516" t="n"/>
      <c r="F726" s="516" t="n"/>
      <c r="G726" s="516" t="n"/>
      <c r="H726" s="516" t="n"/>
      <c r="I726" s="516" t="n"/>
      <c r="J726" s="516" t="n"/>
      <c r="K726" s="516" t="n"/>
    </row>
    <row r="727">
      <c r="A727" s="516" t="n"/>
      <c r="B727" s="516" t="n"/>
      <c r="C727" s="516" t="n"/>
      <c r="D727" s="516" t="n"/>
      <c r="E727" s="516" t="n"/>
      <c r="F727" s="516" t="n"/>
      <c r="G727" s="516" t="n"/>
      <c r="H727" s="516" t="n"/>
      <c r="I727" s="516" t="n"/>
      <c r="J727" s="516" t="n"/>
      <c r="K727" s="516" t="n"/>
    </row>
    <row r="728">
      <c r="A728" s="516" t="n"/>
      <c r="B728" s="516" t="n"/>
      <c r="C728" s="516" t="n"/>
      <c r="D728" s="516" t="n"/>
      <c r="E728" s="516" t="n"/>
      <c r="F728" s="516" t="n"/>
      <c r="G728" s="516" t="n"/>
      <c r="H728" s="516" t="n"/>
      <c r="I728" s="516" t="n"/>
      <c r="J728" s="516" t="n"/>
      <c r="K728" s="516" t="n"/>
    </row>
    <row r="729">
      <c r="A729" s="516" t="n"/>
      <c r="B729" s="516" t="n"/>
      <c r="C729" s="516" t="n"/>
      <c r="D729" s="516" t="n"/>
      <c r="E729" s="516" t="n"/>
      <c r="F729" s="516" t="n"/>
      <c r="G729" s="516" t="n"/>
      <c r="H729" s="516" t="n"/>
      <c r="I729" s="516" t="n"/>
      <c r="J729" s="516" t="n"/>
      <c r="K729" s="516" t="n"/>
    </row>
    <row r="730">
      <c r="A730" s="516" t="n"/>
      <c r="B730" s="516" t="n"/>
      <c r="C730" s="516" t="n"/>
      <c r="D730" s="516" t="n"/>
      <c r="E730" s="516" t="n"/>
      <c r="F730" s="516" t="n"/>
      <c r="G730" s="516" t="n"/>
      <c r="H730" s="516" t="n"/>
      <c r="I730" s="516" t="n"/>
      <c r="J730" s="516" t="n"/>
      <c r="K730" s="516" t="n"/>
    </row>
    <row r="731">
      <c r="A731" s="516" t="n"/>
      <c r="B731" s="516" t="n"/>
      <c r="C731" s="516" t="n"/>
      <c r="D731" s="516" t="n"/>
      <c r="E731" s="516" t="n"/>
      <c r="F731" s="516" t="n"/>
      <c r="G731" s="516" t="n"/>
      <c r="H731" s="516" t="n"/>
      <c r="I731" s="516" t="n"/>
      <c r="J731" s="516" t="n"/>
      <c r="K731" s="516" t="n"/>
    </row>
    <row r="732">
      <c r="A732" s="516" t="n"/>
      <c r="B732" s="516" t="n"/>
      <c r="C732" s="516" t="n"/>
      <c r="D732" s="516" t="n"/>
      <c r="E732" s="516" t="n"/>
      <c r="F732" s="516" t="n"/>
      <c r="G732" s="516" t="n"/>
      <c r="H732" s="516" t="n"/>
      <c r="I732" s="516" t="n"/>
      <c r="J732" s="516" t="n"/>
      <c r="K732" s="516" t="n"/>
    </row>
    <row r="733">
      <c r="A733" s="516" t="n"/>
      <c r="B733" s="516" t="n"/>
      <c r="C733" s="516" t="n"/>
      <c r="D733" s="516" t="n"/>
      <c r="E733" s="516" t="n"/>
      <c r="F733" s="516" t="n"/>
      <c r="G733" s="516" t="n"/>
      <c r="H733" s="516" t="n"/>
      <c r="I733" s="516" t="n"/>
      <c r="J733" s="516" t="n"/>
      <c r="K733" s="516" t="n"/>
    </row>
    <row r="734">
      <c r="A734" s="516" t="n"/>
      <c r="B734" s="516" t="n"/>
      <c r="C734" s="516" t="n"/>
      <c r="D734" s="516" t="n"/>
      <c r="E734" s="516" t="n"/>
      <c r="F734" s="516" t="n"/>
      <c r="G734" s="516" t="n"/>
      <c r="H734" s="516" t="n"/>
      <c r="I734" s="516" t="n"/>
      <c r="J734" s="516" t="n"/>
      <c r="K734" s="516" t="n"/>
    </row>
    <row r="735">
      <c r="A735" s="516" t="n"/>
      <c r="B735" s="516" t="n"/>
      <c r="C735" s="516" t="n"/>
      <c r="D735" s="516" t="n"/>
      <c r="E735" s="516" t="n"/>
      <c r="F735" s="516" t="n"/>
      <c r="G735" s="516" t="n"/>
      <c r="H735" s="516" t="n"/>
      <c r="I735" s="516" t="n"/>
      <c r="J735" s="516" t="n"/>
      <c r="K735" s="516" t="n"/>
    </row>
    <row r="736">
      <c r="A736" s="516" t="n"/>
      <c r="B736" s="516" t="n"/>
      <c r="C736" s="516" t="n"/>
      <c r="D736" s="516" t="n"/>
      <c r="E736" s="516" t="n"/>
      <c r="F736" s="516" t="n"/>
      <c r="G736" s="516" t="n"/>
      <c r="H736" s="516" t="n"/>
      <c r="I736" s="516" t="n"/>
      <c r="J736" s="516" t="n"/>
      <c r="K736" s="516" t="n"/>
    </row>
    <row r="737">
      <c r="A737" s="516" t="n"/>
      <c r="B737" s="516" t="n"/>
      <c r="C737" s="516" t="n"/>
      <c r="D737" s="516" t="n"/>
      <c r="E737" s="516" t="n"/>
      <c r="F737" s="516" t="n"/>
      <c r="G737" s="516" t="n"/>
      <c r="H737" s="516" t="n"/>
      <c r="I737" s="516" t="n"/>
      <c r="J737" s="516" t="n"/>
      <c r="K737" s="516" t="n"/>
    </row>
    <row r="738">
      <c r="A738" s="516" t="n"/>
      <c r="B738" s="516" t="n"/>
      <c r="C738" s="516" t="n"/>
      <c r="D738" s="516" t="n"/>
      <c r="E738" s="516" t="n"/>
      <c r="F738" s="516" t="n"/>
      <c r="G738" s="516" t="n"/>
      <c r="H738" s="516" t="n"/>
      <c r="I738" s="516" t="n"/>
      <c r="J738" s="516" t="n"/>
      <c r="K738" s="516" t="n"/>
    </row>
    <row r="739">
      <c r="A739" s="516" t="n"/>
      <c r="B739" s="516" t="n"/>
      <c r="C739" s="516" t="n"/>
      <c r="D739" s="516" t="n"/>
      <c r="E739" s="516" t="n"/>
      <c r="F739" s="516" t="n"/>
      <c r="G739" s="516" t="n"/>
      <c r="H739" s="516" t="n"/>
      <c r="I739" s="516" t="n"/>
      <c r="J739" s="516" t="n"/>
      <c r="K739" s="516" t="n"/>
    </row>
    <row r="740">
      <c r="A740" s="516" t="n"/>
      <c r="B740" s="516" t="n"/>
      <c r="C740" s="516" t="n"/>
      <c r="D740" s="516" t="n"/>
      <c r="E740" s="516" t="n"/>
      <c r="F740" s="516" t="n"/>
      <c r="G740" s="516" t="n"/>
      <c r="H740" s="516" t="n"/>
      <c r="I740" s="516" t="n"/>
      <c r="J740" s="516" t="n"/>
      <c r="K740" s="516" t="n"/>
    </row>
    <row r="741">
      <c r="A741" s="516" t="n"/>
      <c r="B741" s="516" t="n"/>
      <c r="C741" s="516" t="n"/>
      <c r="D741" s="516" t="n"/>
      <c r="E741" s="516" t="n"/>
      <c r="F741" s="516" t="n"/>
      <c r="G741" s="516" t="n"/>
      <c r="H741" s="516" t="n"/>
      <c r="I741" s="516" t="n"/>
      <c r="J741" s="516" t="n"/>
      <c r="K741" s="516" t="n"/>
    </row>
    <row r="742">
      <c r="A742" s="516" t="n"/>
      <c r="B742" s="516" t="n"/>
      <c r="C742" s="516" t="n"/>
      <c r="D742" s="516" t="n"/>
      <c r="E742" s="516" t="n"/>
      <c r="F742" s="516" t="n"/>
      <c r="G742" s="516" t="n"/>
      <c r="H742" s="516" t="n"/>
      <c r="I742" s="516" t="n"/>
      <c r="J742" s="516" t="n"/>
      <c r="K742" s="516" t="n"/>
    </row>
    <row r="743">
      <c r="A743" s="516" t="n"/>
      <c r="B743" s="516" t="n"/>
      <c r="C743" s="516" t="n"/>
      <c r="D743" s="516" t="n"/>
      <c r="E743" s="516" t="n"/>
      <c r="F743" s="516" t="n"/>
      <c r="G743" s="516" t="n"/>
      <c r="H743" s="516" t="n"/>
      <c r="I743" s="516" t="n"/>
      <c r="J743" s="516" t="n"/>
      <c r="K743" s="516" t="n"/>
    </row>
    <row r="744">
      <c r="A744" s="516" t="n"/>
      <c r="B744" s="516" t="n"/>
      <c r="C744" s="516" t="n"/>
      <c r="D744" s="516" t="n"/>
      <c r="E744" s="516" t="n"/>
      <c r="F744" s="516" t="n"/>
      <c r="G744" s="516" t="n"/>
      <c r="H744" s="516" t="n"/>
      <c r="I744" s="516" t="n"/>
      <c r="J744" s="516" t="n"/>
      <c r="K744" s="516" t="n"/>
    </row>
    <row r="745">
      <c r="A745" s="516" t="n"/>
      <c r="B745" s="516" t="n"/>
      <c r="C745" s="516" t="n"/>
      <c r="D745" s="516" t="n"/>
      <c r="E745" s="516" t="n"/>
      <c r="F745" s="516" t="n"/>
      <c r="G745" s="516" t="n"/>
      <c r="H745" s="516" t="n"/>
      <c r="I745" s="516" t="n"/>
      <c r="J745" s="516" t="n"/>
      <c r="K745" s="516" t="n"/>
    </row>
    <row r="746">
      <c r="A746" s="516" t="n"/>
      <c r="B746" s="516" t="n"/>
      <c r="C746" s="516" t="n"/>
      <c r="D746" s="516" t="n"/>
      <c r="E746" s="516" t="n"/>
      <c r="F746" s="516" t="n"/>
      <c r="G746" s="516" t="n"/>
      <c r="H746" s="516" t="n"/>
      <c r="I746" s="516" t="n"/>
      <c r="J746" s="516" t="n"/>
      <c r="K746" s="516" t="n"/>
    </row>
    <row r="747">
      <c r="A747" s="516" t="n"/>
      <c r="B747" s="516" t="n"/>
      <c r="C747" s="516" t="n"/>
      <c r="D747" s="516" t="n"/>
      <c r="E747" s="516" t="n"/>
      <c r="F747" s="516" t="n"/>
      <c r="G747" s="516" t="n"/>
      <c r="H747" s="516" t="n"/>
      <c r="I747" s="516" t="n"/>
      <c r="J747" s="516" t="n"/>
      <c r="K747" s="516" t="n"/>
    </row>
    <row r="748">
      <c r="A748" s="516" t="n"/>
      <c r="B748" s="516" t="n"/>
      <c r="C748" s="516" t="n"/>
      <c r="D748" s="516" t="n"/>
      <c r="E748" s="516" t="n"/>
      <c r="F748" s="516" t="n"/>
      <c r="G748" s="516" t="n"/>
      <c r="H748" s="516" t="n"/>
      <c r="I748" s="516" t="n"/>
      <c r="J748" s="516" t="n"/>
      <c r="K748" s="516" t="n"/>
    </row>
    <row r="749">
      <c r="A749" s="516" t="n"/>
      <c r="B749" s="516" t="n"/>
      <c r="C749" s="516" t="n"/>
      <c r="D749" s="516" t="n"/>
      <c r="E749" s="516" t="n"/>
      <c r="F749" s="516" t="n"/>
      <c r="G749" s="516" t="n"/>
      <c r="H749" s="516" t="n"/>
      <c r="I749" s="516" t="n"/>
      <c r="J749" s="516" t="n"/>
      <c r="K749" s="516" t="n"/>
    </row>
    <row r="750">
      <c r="A750" s="516" t="n"/>
      <c r="B750" s="516" t="n"/>
      <c r="C750" s="516" t="n"/>
      <c r="D750" s="516" t="n"/>
      <c r="E750" s="516" t="n"/>
      <c r="F750" s="516" t="n"/>
      <c r="G750" s="516" t="n"/>
      <c r="H750" s="516" t="n"/>
      <c r="I750" s="516" t="n"/>
      <c r="J750" s="516" t="n"/>
      <c r="K750" s="516" t="n"/>
    </row>
    <row r="751">
      <c r="A751" s="516" t="n"/>
      <c r="B751" s="516" t="n"/>
      <c r="C751" s="516" t="n"/>
      <c r="D751" s="516" t="n"/>
      <c r="E751" s="516" t="n"/>
      <c r="F751" s="516" t="n"/>
      <c r="G751" s="516" t="n"/>
      <c r="H751" s="516" t="n"/>
      <c r="I751" s="516" t="n"/>
      <c r="J751" s="516" t="n"/>
      <c r="K751" s="516" t="n"/>
    </row>
    <row r="752">
      <c r="A752" s="516" t="n"/>
      <c r="B752" s="516" t="n"/>
      <c r="C752" s="516" t="n"/>
      <c r="D752" s="516" t="n"/>
      <c r="E752" s="516" t="n"/>
      <c r="F752" s="516" t="n"/>
      <c r="G752" s="516" t="n"/>
      <c r="H752" s="516" t="n"/>
      <c r="I752" s="516" t="n"/>
      <c r="J752" s="516" t="n"/>
      <c r="K752" s="516" t="n"/>
    </row>
    <row r="753">
      <c r="A753" s="516" t="n"/>
      <c r="B753" s="516" t="n"/>
      <c r="C753" s="516" t="n"/>
      <c r="D753" s="516" t="n"/>
      <c r="E753" s="516" t="n"/>
      <c r="F753" s="516" t="n"/>
      <c r="G753" s="516" t="n"/>
      <c r="H753" s="516" t="n"/>
      <c r="I753" s="516" t="n"/>
      <c r="J753" s="516" t="n"/>
      <c r="K753" s="516" t="n"/>
    </row>
    <row r="754">
      <c r="A754" s="516" t="n"/>
      <c r="B754" s="516" t="n"/>
      <c r="C754" s="516" t="n"/>
      <c r="D754" s="516" t="n"/>
      <c r="E754" s="516" t="n"/>
      <c r="F754" s="516" t="n"/>
      <c r="G754" s="516" t="n"/>
      <c r="H754" s="516" t="n"/>
      <c r="I754" s="516" t="n"/>
      <c r="J754" s="516" t="n"/>
      <c r="K754" s="516" t="n"/>
    </row>
    <row r="755">
      <c r="A755" s="516" t="n"/>
      <c r="B755" s="516" t="n"/>
      <c r="C755" s="516" t="n"/>
      <c r="D755" s="516" t="n"/>
      <c r="E755" s="516" t="n"/>
      <c r="F755" s="516" t="n"/>
      <c r="G755" s="516" t="n"/>
      <c r="H755" s="516" t="n"/>
      <c r="I755" s="516" t="n"/>
      <c r="J755" s="516" t="n"/>
      <c r="K755" s="516" t="n"/>
    </row>
    <row r="756">
      <c r="A756" s="516" t="n"/>
      <c r="B756" s="516" t="n"/>
      <c r="C756" s="516" t="n"/>
      <c r="D756" s="516" t="n"/>
      <c r="E756" s="516" t="n"/>
      <c r="F756" s="516" t="n"/>
      <c r="G756" s="516" t="n"/>
      <c r="H756" s="516" t="n"/>
      <c r="I756" s="516" t="n"/>
      <c r="J756" s="516" t="n"/>
      <c r="K756" s="516" t="n"/>
    </row>
    <row r="757">
      <c r="A757" s="516" t="n"/>
      <c r="B757" s="516" t="n"/>
      <c r="C757" s="516" t="n"/>
      <c r="D757" s="516" t="n"/>
      <c r="E757" s="516" t="n"/>
      <c r="F757" s="516" t="n"/>
      <c r="G757" s="516" t="n"/>
      <c r="H757" s="516" t="n"/>
      <c r="I757" s="516" t="n"/>
      <c r="J757" s="516" t="n"/>
      <c r="K757" s="516" t="n"/>
    </row>
    <row r="758">
      <c r="A758" s="516" t="n"/>
      <c r="B758" s="516" t="n"/>
      <c r="C758" s="516" t="n"/>
      <c r="D758" s="516" t="n"/>
      <c r="E758" s="516" t="n"/>
      <c r="F758" s="516" t="n"/>
      <c r="G758" s="516" t="n"/>
      <c r="H758" s="516" t="n"/>
      <c r="I758" s="516" t="n"/>
      <c r="J758" s="516" t="n"/>
      <c r="K758" s="516" t="n"/>
    </row>
    <row r="759">
      <c r="A759" s="516" t="n"/>
      <c r="B759" s="516" t="n"/>
      <c r="C759" s="516" t="n"/>
      <c r="D759" s="516" t="n"/>
      <c r="E759" s="516" t="n"/>
      <c r="F759" s="516" t="n"/>
      <c r="G759" s="516" t="n"/>
      <c r="H759" s="516" t="n"/>
      <c r="I759" s="516" t="n"/>
      <c r="J759" s="516" t="n"/>
      <c r="K759" s="516" t="n"/>
    </row>
    <row r="760">
      <c r="A760" s="516" t="n"/>
      <c r="B760" s="516" t="n"/>
      <c r="C760" s="516" t="n"/>
      <c r="D760" s="516" t="n"/>
      <c r="E760" s="516" t="n"/>
      <c r="F760" s="516" t="n"/>
      <c r="G760" s="516" t="n"/>
      <c r="H760" s="516" t="n"/>
      <c r="I760" s="516" t="n"/>
      <c r="J760" s="516" t="n"/>
      <c r="K760" s="516" t="n"/>
    </row>
    <row r="761">
      <c r="A761" s="516" t="n"/>
      <c r="B761" s="516" t="n"/>
      <c r="C761" s="516" t="n"/>
      <c r="D761" s="516" t="n"/>
      <c r="E761" s="516" t="n"/>
      <c r="F761" s="516" t="n"/>
      <c r="G761" s="516" t="n"/>
      <c r="H761" s="516" t="n"/>
      <c r="I761" s="516" t="n"/>
      <c r="J761" s="516" t="n"/>
      <c r="K761" s="516" t="n"/>
    </row>
    <row r="762">
      <c r="A762" s="516" t="n"/>
      <c r="B762" s="516" t="n"/>
      <c r="C762" s="516" t="n"/>
      <c r="D762" s="516" t="n"/>
      <c r="E762" s="516" t="n"/>
      <c r="F762" s="516" t="n"/>
      <c r="G762" s="516" t="n"/>
      <c r="H762" s="516" t="n"/>
      <c r="I762" s="516" t="n"/>
      <c r="J762" s="516" t="n"/>
      <c r="K762" s="516" t="n"/>
    </row>
    <row r="763">
      <c r="A763" s="516" t="n"/>
      <c r="B763" s="516" t="n"/>
      <c r="C763" s="516" t="n"/>
      <c r="D763" s="516" t="n"/>
      <c r="E763" s="516" t="n"/>
      <c r="F763" s="516" t="n"/>
      <c r="G763" s="516" t="n"/>
      <c r="H763" s="516" t="n"/>
      <c r="I763" s="516" t="n"/>
      <c r="J763" s="516" t="n"/>
      <c r="K763" s="516" t="n"/>
    </row>
    <row r="764">
      <c r="A764" s="516" t="n"/>
      <c r="B764" s="516" t="n"/>
      <c r="C764" s="516" t="n"/>
      <c r="D764" s="516" t="n"/>
      <c r="E764" s="516" t="n"/>
      <c r="F764" s="516" t="n"/>
      <c r="G764" s="516" t="n"/>
      <c r="H764" s="516" t="n"/>
      <c r="I764" s="516" t="n"/>
      <c r="J764" s="516" t="n"/>
      <c r="K764" s="516" t="n"/>
    </row>
    <row r="765">
      <c r="A765" s="516" t="n"/>
      <c r="B765" s="516" t="n"/>
      <c r="C765" s="516" t="n"/>
      <c r="D765" s="516" t="n"/>
      <c r="E765" s="516" t="n"/>
      <c r="F765" s="516" t="n"/>
      <c r="G765" s="516" t="n"/>
      <c r="H765" s="516" t="n"/>
      <c r="I765" s="516" t="n"/>
      <c r="J765" s="516" t="n"/>
      <c r="K765" s="516" t="n"/>
    </row>
    <row r="766">
      <c r="A766" s="516" t="n"/>
      <c r="B766" s="516" t="n"/>
      <c r="C766" s="516" t="n"/>
      <c r="D766" s="516" t="n"/>
      <c r="E766" s="516" t="n"/>
      <c r="F766" s="516" t="n"/>
      <c r="G766" s="516" t="n"/>
      <c r="H766" s="516" t="n"/>
      <c r="I766" s="516" t="n"/>
      <c r="J766" s="516" t="n"/>
      <c r="K766" s="516" t="n"/>
    </row>
    <row r="767">
      <c r="A767" s="516" t="n"/>
      <c r="B767" s="516" t="n"/>
      <c r="C767" s="516" t="n"/>
      <c r="D767" s="516" t="n"/>
      <c r="E767" s="516" t="n"/>
      <c r="F767" s="516" t="n"/>
      <c r="G767" s="516" t="n"/>
      <c r="H767" s="516" t="n"/>
      <c r="I767" s="516" t="n"/>
      <c r="J767" s="516" t="n"/>
      <c r="K767" s="516" t="n"/>
    </row>
    <row r="768">
      <c r="A768" s="516" t="n"/>
      <c r="B768" s="516" t="n"/>
      <c r="C768" s="516" t="n"/>
      <c r="D768" s="516" t="n"/>
      <c r="E768" s="516" t="n"/>
      <c r="F768" s="516" t="n"/>
      <c r="G768" s="516" t="n"/>
      <c r="H768" s="516" t="n"/>
      <c r="I768" s="516" t="n"/>
      <c r="J768" s="516" t="n"/>
      <c r="K768" s="516" t="n"/>
    </row>
    <row r="769">
      <c r="A769" s="516" t="n"/>
      <c r="B769" s="516" t="n"/>
      <c r="C769" s="516" t="n"/>
      <c r="D769" s="516" t="n"/>
      <c r="E769" s="516" t="n"/>
      <c r="F769" s="516" t="n"/>
      <c r="G769" s="516" t="n"/>
      <c r="H769" s="516" t="n"/>
      <c r="I769" s="516" t="n"/>
      <c r="J769" s="516" t="n"/>
      <c r="K769" s="516" t="n"/>
    </row>
    <row r="770">
      <c r="A770" s="516" t="n"/>
      <c r="B770" s="516" t="n"/>
      <c r="C770" s="516" t="n"/>
      <c r="D770" s="516" t="n"/>
      <c r="E770" s="516" t="n"/>
      <c r="F770" s="516" t="n"/>
      <c r="G770" s="516" t="n"/>
      <c r="H770" s="516" t="n"/>
      <c r="I770" s="516" t="n"/>
      <c r="J770" s="516" t="n"/>
      <c r="K770" s="516" t="n"/>
    </row>
    <row r="771">
      <c r="A771" s="516" t="n"/>
      <c r="B771" s="516" t="n"/>
      <c r="C771" s="516" t="n"/>
      <c r="D771" s="516" t="n"/>
      <c r="E771" s="516" t="n"/>
      <c r="F771" s="516" t="n"/>
      <c r="G771" s="516" t="n"/>
      <c r="H771" s="516" t="n"/>
      <c r="I771" s="516" t="n"/>
      <c r="J771" s="516" t="n"/>
      <c r="K771" s="516" t="n"/>
    </row>
    <row r="772">
      <c r="A772" s="516" t="n"/>
      <c r="B772" s="516" t="n"/>
      <c r="C772" s="516" t="n"/>
      <c r="D772" s="516" t="n"/>
      <c r="E772" s="516" t="n"/>
      <c r="F772" s="516" t="n"/>
      <c r="G772" s="516" t="n"/>
      <c r="H772" s="516" t="n"/>
      <c r="I772" s="516" t="n"/>
      <c r="J772" s="516" t="n"/>
      <c r="K772" s="516" t="n"/>
    </row>
    <row r="773">
      <c r="A773" s="516" t="n"/>
      <c r="B773" s="516" t="n"/>
      <c r="C773" s="516" t="n"/>
      <c r="D773" s="516" t="n"/>
      <c r="E773" s="516" t="n"/>
      <c r="F773" s="516" t="n"/>
      <c r="G773" s="516" t="n"/>
      <c r="H773" s="516" t="n"/>
      <c r="I773" s="516" t="n"/>
      <c r="J773" s="516" t="n"/>
      <c r="K773" s="516" t="n"/>
    </row>
    <row r="774">
      <c r="A774" s="516" t="n"/>
      <c r="B774" s="516" t="n"/>
      <c r="C774" s="516" t="n"/>
      <c r="D774" s="516" t="n"/>
      <c r="E774" s="516" t="n"/>
      <c r="F774" s="516" t="n"/>
      <c r="G774" s="516" t="n"/>
      <c r="H774" s="516" t="n"/>
      <c r="I774" s="516" t="n"/>
      <c r="J774" s="516" t="n"/>
      <c r="K774" s="516" t="n"/>
    </row>
    <row r="775">
      <c r="A775" s="516" t="n"/>
      <c r="B775" s="516" t="n"/>
      <c r="C775" s="516" t="n"/>
      <c r="D775" s="516" t="n"/>
      <c r="E775" s="516" t="n"/>
      <c r="F775" s="516" t="n"/>
      <c r="G775" s="516" t="n"/>
      <c r="H775" s="516" t="n"/>
      <c r="I775" s="516" t="n"/>
      <c r="J775" s="516" t="n"/>
      <c r="K775" s="516" t="n"/>
    </row>
    <row r="776">
      <c r="A776" s="516" t="n"/>
      <c r="B776" s="516" t="n"/>
      <c r="C776" s="516" t="n"/>
      <c r="D776" s="516" t="n"/>
      <c r="E776" s="516" t="n"/>
      <c r="F776" s="516" t="n"/>
      <c r="G776" s="516" t="n"/>
      <c r="H776" s="516" t="n"/>
      <c r="I776" s="516" t="n"/>
      <c r="J776" s="516" t="n"/>
      <c r="K776" s="516" t="n"/>
    </row>
    <row r="777">
      <c r="A777" s="516" t="n"/>
      <c r="B777" s="516" t="n"/>
      <c r="C777" s="516" t="n"/>
      <c r="D777" s="516" t="n"/>
      <c r="E777" s="516" t="n"/>
      <c r="F777" s="516" t="n"/>
      <c r="G777" s="516" t="n"/>
      <c r="H777" s="516" t="n"/>
      <c r="I777" s="516" t="n"/>
      <c r="J777" s="516" t="n"/>
      <c r="K777" s="516" t="n"/>
    </row>
    <row r="778">
      <c r="A778" s="516" t="n"/>
      <c r="B778" s="516" t="n"/>
      <c r="C778" s="516" t="n"/>
      <c r="D778" s="516" t="n"/>
      <c r="E778" s="516" t="n"/>
      <c r="F778" s="516" t="n"/>
      <c r="G778" s="516" t="n"/>
      <c r="H778" s="516" t="n"/>
      <c r="I778" s="516" t="n"/>
      <c r="J778" s="516" t="n"/>
      <c r="K778" s="516" t="n"/>
    </row>
    <row r="779">
      <c r="A779" s="516" t="n"/>
      <c r="B779" s="516" t="n"/>
      <c r="C779" s="516" t="n"/>
      <c r="D779" s="516" t="n"/>
      <c r="E779" s="516" t="n"/>
      <c r="F779" s="516" t="n"/>
      <c r="G779" s="516" t="n"/>
      <c r="H779" s="516" t="n"/>
      <c r="I779" s="516" t="n"/>
      <c r="J779" s="516" t="n"/>
      <c r="K779" s="516" t="n"/>
    </row>
    <row r="780">
      <c r="A780" s="516" t="n"/>
      <c r="B780" s="516" t="n"/>
      <c r="C780" s="516" t="n"/>
      <c r="D780" s="516" t="n"/>
      <c r="E780" s="516" t="n"/>
      <c r="F780" s="516" t="n"/>
      <c r="G780" s="516" t="n"/>
      <c r="H780" s="516" t="n"/>
      <c r="I780" s="516" t="n"/>
      <c r="J780" s="516" t="n"/>
      <c r="K780" s="516" t="n"/>
    </row>
    <row r="781">
      <c r="A781" s="516" t="n"/>
      <c r="B781" s="516" t="n"/>
      <c r="C781" s="516" t="n"/>
      <c r="D781" s="516" t="n"/>
      <c r="E781" s="516" t="n"/>
      <c r="F781" s="516" t="n"/>
      <c r="G781" s="516" t="n"/>
      <c r="H781" s="516" t="n"/>
      <c r="I781" s="516" t="n"/>
      <c r="J781" s="516" t="n"/>
      <c r="K781" s="516" t="n"/>
    </row>
    <row r="782">
      <c r="A782" s="516" t="n"/>
      <c r="B782" s="516" t="n"/>
      <c r="C782" s="516" t="n"/>
      <c r="D782" s="516" t="n"/>
      <c r="E782" s="516" t="n"/>
      <c r="F782" s="516" t="n"/>
      <c r="G782" s="516" t="n"/>
      <c r="H782" s="516" t="n"/>
      <c r="I782" s="516" t="n"/>
      <c r="J782" s="516" t="n"/>
      <c r="K782" s="516" t="n"/>
    </row>
    <row r="783">
      <c r="A783" s="516" t="n"/>
      <c r="B783" s="516" t="n"/>
      <c r="C783" s="516" t="n"/>
      <c r="D783" s="516" t="n"/>
      <c r="E783" s="516" t="n"/>
      <c r="F783" s="516" t="n"/>
      <c r="G783" s="516" t="n"/>
      <c r="H783" s="516" t="n"/>
      <c r="I783" s="516" t="n"/>
      <c r="J783" s="516" t="n"/>
      <c r="K783" s="516" t="n"/>
    </row>
    <row r="784">
      <c r="A784" s="516" t="n"/>
      <c r="B784" s="516" t="n"/>
      <c r="C784" s="516" t="n"/>
      <c r="D784" s="516" t="n"/>
      <c r="E784" s="516" t="n"/>
      <c r="F784" s="516" t="n"/>
      <c r="G784" s="516" t="n"/>
      <c r="H784" s="516" t="n"/>
      <c r="I784" s="516" t="n"/>
      <c r="J784" s="516" t="n"/>
      <c r="K784" s="516" t="n"/>
    </row>
    <row r="785">
      <c r="A785" s="516" t="n"/>
      <c r="B785" s="516" t="n"/>
      <c r="C785" s="516" t="n"/>
      <c r="D785" s="516" t="n"/>
      <c r="E785" s="516" t="n"/>
      <c r="F785" s="516" t="n"/>
      <c r="G785" s="516" t="n"/>
      <c r="H785" s="516" t="n"/>
      <c r="I785" s="516" t="n"/>
      <c r="J785" s="516" t="n"/>
      <c r="K785" s="516" t="n"/>
    </row>
    <row r="786">
      <c r="A786" s="516" t="n"/>
      <c r="B786" s="516" t="n"/>
      <c r="C786" s="516" t="n"/>
      <c r="D786" s="516" t="n"/>
      <c r="E786" s="516" t="n"/>
      <c r="F786" s="516" t="n"/>
      <c r="G786" s="516" t="n"/>
      <c r="H786" s="516" t="n"/>
      <c r="I786" s="516" t="n"/>
      <c r="J786" s="516" t="n"/>
      <c r="K786" s="516" t="n"/>
    </row>
    <row r="787">
      <c r="A787" s="516" t="n"/>
      <c r="B787" s="516" t="n"/>
      <c r="C787" s="516" t="n"/>
      <c r="D787" s="516" t="n"/>
      <c r="E787" s="516" t="n"/>
      <c r="F787" s="516" t="n"/>
      <c r="G787" s="516" t="n"/>
      <c r="H787" s="516" t="n"/>
      <c r="I787" s="516" t="n"/>
      <c r="J787" s="516" t="n"/>
      <c r="K787" s="516" t="n"/>
    </row>
    <row r="788">
      <c r="A788" s="516" t="n"/>
      <c r="B788" s="516" t="n"/>
      <c r="C788" s="516" t="n"/>
      <c r="D788" s="516" t="n"/>
      <c r="E788" s="516" t="n"/>
      <c r="F788" s="516" t="n"/>
      <c r="G788" s="516" t="n"/>
      <c r="H788" s="516" t="n"/>
      <c r="I788" s="516" t="n"/>
      <c r="J788" s="516" t="n"/>
      <c r="K788" s="516" t="n"/>
    </row>
    <row r="789">
      <c r="A789" s="516" t="n"/>
      <c r="B789" s="516" t="n"/>
      <c r="C789" s="516" t="n"/>
      <c r="D789" s="516" t="n"/>
      <c r="E789" s="516" t="n"/>
      <c r="F789" s="516" t="n"/>
      <c r="G789" s="516" t="n"/>
      <c r="H789" s="516" t="n"/>
      <c r="I789" s="516" t="n"/>
      <c r="J789" s="516" t="n"/>
      <c r="K789" s="516" t="n"/>
    </row>
    <row r="790">
      <c r="A790" s="516" t="n"/>
      <c r="B790" s="516" t="n"/>
      <c r="C790" s="516" t="n"/>
      <c r="D790" s="516" t="n"/>
      <c r="E790" s="516" t="n"/>
      <c r="F790" s="516" t="n"/>
      <c r="G790" s="516" t="n"/>
      <c r="H790" s="516" t="n"/>
      <c r="I790" s="516" t="n"/>
      <c r="J790" s="516" t="n"/>
      <c r="K790" s="516" t="n"/>
    </row>
    <row r="791">
      <c r="A791" s="516" t="n"/>
      <c r="B791" s="516" t="n"/>
      <c r="C791" s="516" t="n"/>
      <c r="D791" s="516" t="n"/>
      <c r="E791" s="516" t="n"/>
      <c r="F791" s="516" t="n"/>
      <c r="G791" s="516" t="n"/>
      <c r="H791" s="516" t="n"/>
      <c r="I791" s="516" t="n"/>
      <c r="J791" s="516" t="n"/>
      <c r="K791" s="516" t="n"/>
    </row>
    <row r="792">
      <c r="A792" s="516" t="n"/>
      <c r="B792" s="516" t="n"/>
      <c r="C792" s="516" t="n"/>
      <c r="D792" s="516" t="n"/>
      <c r="E792" s="516" t="n"/>
      <c r="F792" s="516" t="n"/>
      <c r="G792" s="516" t="n"/>
      <c r="H792" s="516" t="n"/>
      <c r="I792" s="516" t="n"/>
      <c r="J792" s="516" t="n"/>
      <c r="K792" s="516" t="n"/>
    </row>
    <row r="793">
      <c r="A793" s="516" t="n"/>
      <c r="B793" s="516" t="n"/>
      <c r="C793" s="516" t="n"/>
      <c r="D793" s="516" t="n"/>
      <c r="E793" s="516" t="n"/>
      <c r="F793" s="516" t="n"/>
      <c r="G793" s="516" t="n"/>
      <c r="H793" s="516" t="n"/>
      <c r="I793" s="516" t="n"/>
      <c r="J793" s="516" t="n"/>
      <c r="K793" s="516" t="n"/>
    </row>
    <row r="794">
      <c r="A794" s="516" t="n"/>
      <c r="B794" s="516" t="n"/>
      <c r="C794" s="516" t="n"/>
      <c r="D794" s="516" t="n"/>
      <c r="E794" s="516" t="n"/>
      <c r="F794" s="516" t="n"/>
      <c r="G794" s="516" t="n"/>
      <c r="H794" s="516" t="n"/>
      <c r="I794" s="516" t="n"/>
      <c r="J794" s="516" t="n"/>
      <c r="K794" s="516" t="n"/>
    </row>
    <row r="795">
      <c r="A795" s="516" t="n"/>
      <c r="B795" s="516" t="n"/>
      <c r="C795" s="516" t="n"/>
      <c r="D795" s="516" t="n"/>
      <c r="E795" s="516" t="n"/>
      <c r="F795" s="516" t="n"/>
      <c r="G795" s="516" t="n"/>
      <c r="H795" s="516" t="n"/>
      <c r="I795" s="516" t="n"/>
      <c r="J795" s="516" t="n"/>
      <c r="K795" s="516" t="n"/>
    </row>
    <row r="796">
      <c r="A796" s="516" t="n"/>
      <c r="B796" s="516" t="n"/>
      <c r="C796" s="516" t="n"/>
      <c r="D796" s="516" t="n"/>
      <c r="E796" s="516" t="n"/>
      <c r="F796" s="516" t="n"/>
      <c r="G796" s="516" t="n"/>
      <c r="H796" s="516" t="n"/>
      <c r="I796" s="516" t="n"/>
      <c r="J796" s="516" t="n"/>
      <c r="K796" s="516" t="n"/>
    </row>
    <row r="797">
      <c r="A797" s="516" t="n"/>
      <c r="B797" s="516" t="n"/>
      <c r="C797" s="516" t="n"/>
      <c r="D797" s="516" t="n"/>
      <c r="E797" s="516" t="n"/>
      <c r="F797" s="516" t="n"/>
      <c r="G797" s="516" t="n"/>
      <c r="H797" s="516" t="n"/>
      <c r="I797" s="516" t="n"/>
      <c r="J797" s="516" t="n"/>
      <c r="K797" s="516" t="n"/>
    </row>
    <row r="798">
      <c r="A798" s="516" t="n"/>
      <c r="B798" s="516" t="n"/>
      <c r="C798" s="516" t="n"/>
      <c r="D798" s="516" t="n"/>
      <c r="E798" s="516" t="n"/>
      <c r="F798" s="516" t="n"/>
      <c r="G798" s="516" t="n"/>
      <c r="H798" s="516" t="n"/>
      <c r="I798" s="516" t="n"/>
      <c r="J798" s="516" t="n"/>
      <c r="K798" s="516" t="n"/>
    </row>
    <row r="799">
      <c r="A799" s="516" t="n"/>
      <c r="B799" s="516" t="n"/>
      <c r="C799" s="516" t="n"/>
      <c r="D799" s="516" t="n"/>
      <c r="E799" s="516" t="n"/>
      <c r="F799" s="516" t="n"/>
      <c r="G799" s="516" t="n"/>
      <c r="H799" s="516" t="n"/>
      <c r="I799" s="516" t="n"/>
      <c r="J799" s="516" t="n"/>
      <c r="K799" s="516" t="n"/>
    </row>
    <row r="800">
      <c r="A800" s="516" t="n"/>
      <c r="B800" s="516" t="n"/>
      <c r="C800" s="516" t="n"/>
      <c r="D800" s="516" t="n"/>
      <c r="E800" s="516" t="n"/>
      <c r="F800" s="516" t="n"/>
      <c r="G800" s="516" t="n"/>
      <c r="H800" s="516" t="n"/>
      <c r="I800" s="516" t="n"/>
      <c r="J800" s="516" t="n"/>
      <c r="K800" s="516" t="n"/>
    </row>
    <row r="801">
      <c r="A801" s="516" t="n"/>
      <c r="B801" s="516" t="n"/>
      <c r="C801" s="516" t="n"/>
      <c r="D801" s="516" t="n"/>
      <c r="E801" s="516" t="n"/>
      <c r="F801" s="516" t="n"/>
      <c r="G801" s="516" t="n"/>
      <c r="H801" s="516" t="n"/>
      <c r="I801" s="516" t="n"/>
      <c r="J801" s="516" t="n"/>
      <c r="K801" s="516" t="n"/>
    </row>
    <row r="802">
      <c r="A802" s="516" t="n"/>
      <c r="B802" s="516" t="n"/>
      <c r="C802" s="516" t="n"/>
      <c r="D802" s="516" t="n"/>
      <c r="E802" s="516" t="n"/>
      <c r="F802" s="516" t="n"/>
      <c r="G802" s="516" t="n"/>
      <c r="H802" s="516" t="n"/>
      <c r="I802" s="516" t="n"/>
      <c r="J802" s="516" t="n"/>
      <c r="K802" s="516" t="n"/>
    </row>
    <row r="803">
      <c r="A803" s="516" t="n"/>
      <c r="B803" s="516" t="n"/>
      <c r="C803" s="516" t="n"/>
      <c r="D803" s="516" t="n"/>
      <c r="E803" s="516" t="n"/>
      <c r="F803" s="516" t="n"/>
      <c r="G803" s="516" t="n"/>
      <c r="H803" s="516" t="n"/>
      <c r="I803" s="516" t="n"/>
      <c r="J803" s="516" t="n"/>
      <c r="K803" s="516" t="n"/>
    </row>
    <row r="804">
      <c r="A804" s="516" t="n"/>
      <c r="B804" s="516" t="n"/>
      <c r="C804" s="516" t="n"/>
      <c r="D804" s="516" t="n"/>
      <c r="E804" s="516" t="n"/>
      <c r="F804" s="516" t="n"/>
      <c r="G804" s="516" t="n"/>
      <c r="H804" s="516" t="n"/>
      <c r="I804" s="516" t="n"/>
      <c r="J804" s="516" t="n"/>
      <c r="K804" s="516" t="n"/>
    </row>
    <row r="805">
      <c r="A805" s="516" t="n"/>
      <c r="B805" s="516" t="n"/>
      <c r="C805" s="516" t="n"/>
      <c r="D805" s="516" t="n"/>
      <c r="E805" s="516" t="n"/>
      <c r="F805" s="516" t="n"/>
      <c r="G805" s="516" t="n"/>
      <c r="H805" s="516" t="n"/>
      <c r="I805" s="516" t="n"/>
      <c r="J805" s="516" t="n"/>
      <c r="K805" s="516" t="n"/>
    </row>
    <row r="806">
      <c r="A806" s="516" t="n"/>
      <c r="B806" s="516" t="n"/>
      <c r="C806" s="516" t="n"/>
      <c r="D806" s="516" t="n"/>
      <c r="E806" s="516" t="n"/>
      <c r="F806" s="516" t="n"/>
      <c r="G806" s="516" t="n"/>
      <c r="H806" s="516" t="n"/>
      <c r="I806" s="516" t="n"/>
      <c r="J806" s="516" t="n"/>
      <c r="K806" s="516" t="n"/>
    </row>
    <row r="807">
      <c r="A807" s="516" t="n"/>
      <c r="B807" s="516" t="n"/>
      <c r="C807" s="516" t="n"/>
      <c r="D807" s="516" t="n"/>
      <c r="E807" s="516" t="n"/>
      <c r="F807" s="516" t="n"/>
      <c r="G807" s="516" t="n"/>
      <c r="H807" s="516" t="n"/>
      <c r="I807" s="516" t="n"/>
      <c r="J807" s="516" t="n"/>
      <c r="K807" s="516" t="n"/>
    </row>
    <row r="808">
      <c r="A808" s="516" t="n"/>
      <c r="B808" s="516" t="n"/>
      <c r="C808" s="516" t="n"/>
      <c r="D808" s="516" t="n"/>
      <c r="E808" s="516" t="n"/>
      <c r="F808" s="516" t="n"/>
      <c r="G808" s="516" t="n"/>
      <c r="H808" s="516" t="n"/>
      <c r="I808" s="516" t="n"/>
      <c r="J808" s="516" t="n"/>
      <c r="K808" s="516" t="n"/>
    </row>
    <row r="809">
      <c r="A809" s="516" t="n"/>
      <c r="B809" s="516" t="n"/>
      <c r="C809" s="516" t="n"/>
      <c r="D809" s="516" t="n"/>
      <c r="E809" s="516" t="n"/>
      <c r="F809" s="516" t="n"/>
      <c r="G809" s="516" t="n"/>
      <c r="H809" s="516" t="n"/>
      <c r="I809" s="516" t="n"/>
      <c r="J809" s="516" t="n"/>
      <c r="K809" s="516" t="n"/>
    </row>
    <row r="810">
      <c r="A810" s="516" t="n"/>
      <c r="B810" s="516" t="n"/>
      <c r="C810" s="516" t="n"/>
      <c r="D810" s="516" t="n"/>
      <c r="E810" s="516" t="n"/>
      <c r="F810" s="516" t="n"/>
      <c r="G810" s="516" t="n"/>
      <c r="H810" s="516" t="n"/>
      <c r="I810" s="516" t="n"/>
      <c r="J810" s="516" t="n"/>
      <c r="K810" s="516" t="n"/>
    </row>
    <row r="811">
      <c r="A811" s="516" t="n"/>
      <c r="B811" s="516" t="n"/>
      <c r="C811" s="516" t="n"/>
      <c r="D811" s="516" t="n"/>
      <c r="E811" s="516" t="n"/>
      <c r="F811" s="516" t="n"/>
      <c r="G811" s="516" t="n"/>
      <c r="H811" s="516" t="n"/>
      <c r="I811" s="516" t="n"/>
      <c r="J811" s="516" t="n"/>
      <c r="K811" s="516" t="n"/>
    </row>
    <row r="812">
      <c r="A812" s="516" t="n"/>
      <c r="B812" s="516" t="n"/>
      <c r="C812" s="516" t="n"/>
      <c r="D812" s="516" t="n"/>
      <c r="E812" s="516" t="n"/>
      <c r="F812" s="516" t="n"/>
      <c r="G812" s="516" t="n"/>
      <c r="H812" s="516" t="n"/>
      <c r="I812" s="516" t="n"/>
      <c r="J812" s="516" t="n"/>
      <c r="K812" s="516" t="n"/>
    </row>
    <row r="813">
      <c r="A813" s="516" t="n"/>
      <c r="B813" s="516" t="n"/>
      <c r="C813" s="516" t="n"/>
      <c r="D813" s="516" t="n"/>
      <c r="E813" s="516" t="n"/>
      <c r="F813" s="516" t="n"/>
      <c r="G813" s="516" t="n"/>
      <c r="H813" s="516" t="n"/>
      <c r="I813" s="516" t="n"/>
      <c r="J813" s="516" t="n"/>
      <c r="K813" s="516" t="n"/>
    </row>
    <row r="814">
      <c r="A814" s="516" t="n"/>
      <c r="B814" s="516" t="n"/>
      <c r="C814" s="516" t="n"/>
      <c r="D814" s="516" t="n"/>
      <c r="E814" s="516" t="n"/>
      <c r="F814" s="516" t="n"/>
      <c r="G814" s="516" t="n"/>
      <c r="H814" s="516" t="n"/>
      <c r="I814" s="516" t="n"/>
      <c r="J814" s="516" t="n"/>
      <c r="K814" s="516" t="n"/>
    </row>
    <row r="815">
      <c r="A815" s="516" t="n"/>
      <c r="B815" s="516" t="n"/>
      <c r="C815" s="516" t="n"/>
      <c r="D815" s="516" t="n"/>
      <c r="E815" s="516" t="n"/>
      <c r="F815" s="516" t="n"/>
      <c r="G815" s="516" t="n"/>
      <c r="H815" s="516" t="n"/>
      <c r="I815" s="516" t="n"/>
      <c r="J815" s="516" t="n"/>
      <c r="K815" s="516" t="n"/>
    </row>
    <row r="816">
      <c r="A816" s="516" t="n"/>
      <c r="B816" s="516" t="n"/>
      <c r="C816" s="516" t="n"/>
      <c r="D816" s="516" t="n"/>
      <c r="E816" s="516" t="n"/>
      <c r="F816" s="516" t="n"/>
      <c r="G816" s="516" t="n"/>
      <c r="H816" s="516" t="n"/>
      <c r="I816" s="516" t="n"/>
      <c r="J816" s="516" t="n"/>
      <c r="K816" s="516" t="n"/>
    </row>
    <row r="817">
      <c r="A817" s="516" t="n"/>
      <c r="B817" s="516" t="n"/>
      <c r="C817" s="516" t="n"/>
      <c r="D817" s="516" t="n"/>
      <c r="E817" s="516" t="n"/>
      <c r="F817" s="516" t="n"/>
      <c r="G817" s="516" t="n"/>
      <c r="H817" s="516" t="n"/>
      <c r="I817" s="516" t="n"/>
      <c r="J817" s="516" t="n"/>
      <c r="K817" s="516" t="n"/>
    </row>
    <row r="818">
      <c r="A818" s="516" t="n"/>
      <c r="B818" s="516" t="n"/>
      <c r="C818" s="516" t="n"/>
      <c r="D818" s="516" t="n"/>
      <c r="E818" s="516" t="n"/>
      <c r="F818" s="516" t="n"/>
      <c r="G818" s="516" t="n"/>
      <c r="H818" s="516" t="n"/>
      <c r="I818" s="516" t="n"/>
      <c r="J818" s="516" t="n"/>
      <c r="K818" s="516" t="n"/>
    </row>
    <row r="819">
      <c r="A819" s="516" t="n"/>
      <c r="B819" s="516" t="n"/>
      <c r="C819" s="516" t="n"/>
      <c r="D819" s="516" t="n"/>
      <c r="E819" s="516" t="n"/>
      <c r="F819" s="516" t="n"/>
      <c r="G819" s="516" t="n"/>
      <c r="H819" s="516" t="n"/>
      <c r="I819" s="516" t="n"/>
      <c r="J819" s="516" t="n"/>
      <c r="K819" s="516" t="n"/>
    </row>
    <row r="820">
      <c r="A820" s="516" t="n"/>
      <c r="B820" s="516" t="n"/>
      <c r="C820" s="516" t="n"/>
      <c r="D820" s="516" t="n"/>
      <c r="E820" s="516" t="n"/>
      <c r="F820" s="516" t="n"/>
      <c r="G820" s="516" t="n"/>
      <c r="H820" s="516" t="n"/>
      <c r="I820" s="516" t="n"/>
      <c r="J820" s="516" t="n"/>
      <c r="K820" s="516" t="n"/>
    </row>
    <row r="821">
      <c r="A821" s="516" t="n"/>
      <c r="B821" s="516" t="n"/>
      <c r="C821" s="516" t="n"/>
      <c r="D821" s="516" t="n"/>
      <c r="E821" s="516" t="n"/>
      <c r="F821" s="516" t="n"/>
      <c r="G821" s="516" t="n"/>
      <c r="H821" s="516" t="n"/>
      <c r="I821" s="516" t="n"/>
      <c r="J821" s="516" t="n"/>
      <c r="K821" s="516" t="n"/>
    </row>
    <row r="822">
      <c r="A822" s="516" t="n"/>
      <c r="B822" s="516" t="n"/>
      <c r="C822" s="516" t="n"/>
      <c r="D822" s="516" t="n"/>
      <c r="E822" s="516" t="n"/>
      <c r="F822" s="516" t="n"/>
      <c r="G822" s="516" t="n"/>
      <c r="H822" s="516" t="n"/>
      <c r="I822" s="516" t="n"/>
      <c r="J822" s="516" t="n"/>
      <c r="K822" s="516" t="n"/>
    </row>
    <row r="823">
      <c r="A823" s="516" t="n"/>
      <c r="B823" s="516" t="n"/>
      <c r="C823" s="516" t="n"/>
      <c r="D823" s="516" t="n"/>
      <c r="E823" s="516" t="n"/>
      <c r="F823" s="516" t="n"/>
      <c r="G823" s="516" t="n"/>
      <c r="H823" s="516" t="n"/>
      <c r="I823" s="516" t="n"/>
      <c r="J823" s="516" t="n"/>
      <c r="K823" s="516" t="n"/>
    </row>
    <row r="824">
      <c r="A824" s="516" t="n"/>
      <c r="B824" s="516" t="n"/>
      <c r="C824" s="516" t="n"/>
      <c r="D824" s="516" t="n"/>
      <c r="E824" s="516" t="n"/>
      <c r="F824" s="516" t="n"/>
      <c r="G824" s="516" t="n"/>
      <c r="H824" s="516" t="n"/>
      <c r="I824" s="516" t="n"/>
      <c r="J824" s="516" t="n"/>
      <c r="K824" s="516" t="n"/>
    </row>
    <row r="825">
      <c r="A825" s="516" t="n"/>
      <c r="B825" s="516" t="n"/>
      <c r="C825" s="516" t="n"/>
      <c r="D825" s="516" t="n"/>
      <c r="E825" s="516" t="n"/>
      <c r="F825" s="516" t="n"/>
      <c r="G825" s="516" t="n"/>
      <c r="H825" s="516" t="n"/>
      <c r="I825" s="516" t="n"/>
      <c r="J825" s="516" t="n"/>
      <c r="K825" s="516" t="n"/>
    </row>
    <row r="826">
      <c r="A826" s="516" t="n"/>
      <c r="B826" s="516" t="n"/>
      <c r="C826" s="516" t="n"/>
      <c r="D826" s="516" t="n"/>
      <c r="E826" s="516" t="n"/>
      <c r="F826" s="516" t="n"/>
      <c r="G826" s="516" t="n"/>
      <c r="H826" s="516" t="n"/>
      <c r="I826" s="516" t="n"/>
      <c r="J826" s="516" t="n"/>
      <c r="K826" s="516" t="n"/>
    </row>
    <row r="827">
      <c r="A827" s="516" t="n"/>
      <c r="B827" s="516" t="n"/>
      <c r="C827" s="516" t="n"/>
      <c r="D827" s="516" t="n"/>
      <c r="E827" s="516" t="n"/>
      <c r="F827" s="516" t="n"/>
      <c r="G827" s="516" t="n"/>
      <c r="H827" s="516" t="n"/>
      <c r="I827" s="516" t="n"/>
      <c r="J827" s="516" t="n"/>
      <c r="K827" s="516" t="n"/>
    </row>
    <row r="828">
      <c r="A828" s="516" t="n"/>
      <c r="B828" s="516" t="n"/>
      <c r="C828" s="516" t="n"/>
      <c r="D828" s="516" t="n"/>
      <c r="E828" s="516" t="n"/>
      <c r="F828" s="516" t="n"/>
      <c r="G828" s="516" t="n"/>
      <c r="H828" s="516" t="n"/>
      <c r="I828" s="516" t="n"/>
      <c r="J828" s="516" t="n"/>
      <c r="K828" s="516" t="n"/>
    </row>
    <row r="829">
      <c r="A829" s="516" t="n"/>
      <c r="B829" s="516" t="n"/>
      <c r="C829" s="516" t="n"/>
      <c r="D829" s="516" t="n"/>
      <c r="E829" s="516" t="n"/>
      <c r="F829" s="516" t="n"/>
      <c r="G829" s="516" t="n"/>
      <c r="H829" s="516" t="n"/>
      <c r="I829" s="516" t="n"/>
      <c r="J829" s="516" t="n"/>
      <c r="K829" s="516" t="n"/>
    </row>
    <row r="830">
      <c r="A830" s="516" t="n"/>
      <c r="B830" s="516" t="n"/>
      <c r="C830" s="516" t="n"/>
      <c r="D830" s="516" t="n"/>
      <c r="E830" s="516" t="n"/>
      <c r="F830" s="516" t="n"/>
      <c r="G830" s="516" t="n"/>
      <c r="H830" s="516" t="n"/>
      <c r="I830" s="516" t="n"/>
      <c r="J830" s="516" t="n"/>
      <c r="K830" s="516" t="n"/>
    </row>
    <row r="831">
      <c r="A831" s="516" t="n"/>
      <c r="B831" s="516" t="n"/>
      <c r="C831" s="516" t="n"/>
      <c r="D831" s="516" t="n"/>
      <c r="E831" s="516" t="n"/>
      <c r="F831" s="516" t="n"/>
      <c r="G831" s="516" t="n"/>
      <c r="H831" s="516" t="n"/>
      <c r="I831" s="516" t="n"/>
      <c r="J831" s="516" t="n"/>
      <c r="K831" s="516" t="n"/>
    </row>
    <row r="832">
      <c r="A832" s="516" t="n"/>
      <c r="B832" s="516" t="n"/>
      <c r="C832" s="516" t="n"/>
      <c r="D832" s="516" t="n"/>
      <c r="E832" s="516" t="n"/>
      <c r="F832" s="516" t="n"/>
      <c r="G832" s="516" t="n"/>
      <c r="H832" s="516" t="n"/>
      <c r="I832" s="516" t="n"/>
      <c r="J832" s="516" t="n"/>
      <c r="K832" s="516" t="n"/>
    </row>
    <row r="833">
      <c r="A833" s="516" t="n"/>
      <c r="B833" s="516" t="n"/>
      <c r="C833" s="516" t="n"/>
      <c r="D833" s="516" t="n"/>
      <c r="E833" s="516" t="n"/>
      <c r="F833" s="516" t="n"/>
      <c r="G833" s="516" t="n"/>
      <c r="H833" s="516" t="n"/>
      <c r="I833" s="516" t="n"/>
      <c r="J833" s="516" t="n"/>
      <c r="K833" s="516" t="n"/>
    </row>
    <row r="834">
      <c r="A834" s="516" t="n"/>
      <c r="B834" s="516" t="n"/>
      <c r="C834" s="516" t="n"/>
      <c r="D834" s="516" t="n"/>
      <c r="E834" s="516" t="n"/>
      <c r="F834" s="516" t="n"/>
      <c r="G834" s="516" t="n"/>
      <c r="H834" s="516" t="n"/>
      <c r="I834" s="516" t="n"/>
      <c r="J834" s="516" t="n"/>
      <c r="K834" s="516" t="n"/>
    </row>
    <row r="835">
      <c r="A835" s="516" t="n"/>
      <c r="B835" s="516" t="n"/>
      <c r="C835" s="516" t="n"/>
      <c r="D835" s="516" t="n"/>
      <c r="E835" s="516" t="n"/>
      <c r="F835" s="516" t="n"/>
      <c r="G835" s="516" t="n"/>
      <c r="H835" s="516" t="n"/>
      <c r="I835" s="516" t="n"/>
      <c r="J835" s="516" t="n"/>
      <c r="K835" s="516" t="n"/>
    </row>
    <row r="836">
      <c r="A836" s="516" t="n"/>
      <c r="B836" s="516" t="n"/>
      <c r="C836" s="516" t="n"/>
      <c r="D836" s="516" t="n"/>
      <c r="E836" s="516" t="n"/>
      <c r="F836" s="516" t="n"/>
      <c r="G836" s="516" t="n"/>
      <c r="H836" s="516" t="n"/>
      <c r="I836" s="516" t="n"/>
      <c r="J836" s="516" t="n"/>
      <c r="K836" s="516" t="n"/>
    </row>
    <row r="837">
      <c r="A837" s="516" t="n"/>
      <c r="B837" s="516" t="n"/>
      <c r="C837" s="516" t="n"/>
      <c r="D837" s="516" t="n"/>
      <c r="E837" s="516" t="n"/>
      <c r="F837" s="516" t="n"/>
      <c r="G837" s="516" t="n"/>
      <c r="H837" s="516" t="n"/>
      <c r="I837" s="516" t="n"/>
      <c r="J837" s="516" t="n"/>
      <c r="K837" s="516" t="n"/>
    </row>
    <row r="838">
      <c r="A838" s="516" t="n"/>
      <c r="B838" s="516" t="n"/>
      <c r="C838" s="516" t="n"/>
      <c r="D838" s="516" t="n"/>
      <c r="E838" s="516" t="n"/>
      <c r="F838" s="516" t="n"/>
      <c r="G838" s="516" t="n"/>
      <c r="H838" s="516" t="n"/>
      <c r="I838" s="516" t="n"/>
      <c r="J838" s="516" t="n"/>
      <c r="K838" s="516" t="n"/>
    </row>
    <row r="839">
      <c r="A839" s="516" t="n"/>
      <c r="B839" s="516" t="n"/>
      <c r="C839" s="516" t="n"/>
      <c r="D839" s="516" t="n"/>
      <c r="E839" s="516" t="n"/>
      <c r="F839" s="516" t="n"/>
      <c r="G839" s="516" t="n"/>
      <c r="H839" s="516" t="n"/>
      <c r="I839" s="516" t="n"/>
      <c r="J839" s="516" t="n"/>
      <c r="K839" s="516" t="n"/>
    </row>
    <row r="840">
      <c r="A840" s="516" t="n"/>
      <c r="B840" s="516" t="n"/>
      <c r="C840" s="516" t="n"/>
      <c r="D840" s="516" t="n"/>
      <c r="E840" s="516" t="n"/>
      <c r="F840" s="516" t="n"/>
      <c r="G840" s="516" t="n"/>
      <c r="H840" s="516" t="n"/>
      <c r="I840" s="516" t="n"/>
      <c r="J840" s="516" t="n"/>
      <c r="K840" s="516" t="n"/>
    </row>
    <row r="841">
      <c r="A841" s="516" t="n"/>
      <c r="B841" s="516" t="n"/>
      <c r="C841" s="516" t="n"/>
      <c r="D841" s="516" t="n"/>
      <c r="E841" s="516" t="n"/>
      <c r="F841" s="516" t="n"/>
      <c r="G841" s="516" t="n"/>
      <c r="H841" s="516" t="n"/>
      <c r="I841" s="516" t="n"/>
      <c r="J841" s="516" t="n"/>
      <c r="K841" s="516" t="n"/>
    </row>
    <row r="842">
      <c r="A842" s="516" t="n"/>
      <c r="B842" s="516" t="n"/>
      <c r="C842" s="516" t="n"/>
      <c r="D842" s="516" t="n"/>
      <c r="E842" s="516" t="n"/>
      <c r="F842" s="516" t="n"/>
      <c r="G842" s="516" t="n"/>
      <c r="H842" s="516" t="n"/>
      <c r="I842" s="516" t="n"/>
      <c r="J842" s="516" t="n"/>
      <c r="K842" s="516" t="n"/>
    </row>
    <row r="843">
      <c r="A843" s="516" t="n"/>
      <c r="B843" s="516" t="n"/>
      <c r="C843" s="516" t="n"/>
      <c r="D843" s="516" t="n"/>
      <c r="E843" s="516" t="n"/>
      <c r="F843" s="516" t="n"/>
      <c r="G843" s="516" t="n"/>
      <c r="H843" s="516" t="n"/>
      <c r="I843" s="516" t="n"/>
      <c r="J843" s="516" t="n"/>
      <c r="K843" s="516" t="n"/>
    </row>
    <row r="844">
      <c r="A844" s="516" t="n"/>
      <c r="B844" s="516" t="n"/>
      <c r="C844" s="516" t="n"/>
      <c r="D844" s="516" t="n"/>
      <c r="E844" s="516" t="n"/>
      <c r="F844" s="516" t="n"/>
      <c r="G844" s="516" t="n"/>
      <c r="H844" s="516" t="n"/>
      <c r="I844" s="516" t="n"/>
      <c r="J844" s="516" t="n"/>
      <c r="K844" s="516" t="n"/>
    </row>
    <row r="845">
      <c r="A845" s="516" t="n"/>
      <c r="B845" s="516" t="n"/>
      <c r="C845" s="516" t="n"/>
      <c r="D845" s="516" t="n"/>
      <c r="E845" s="516" t="n"/>
      <c r="F845" s="516" t="n"/>
      <c r="G845" s="516" t="n"/>
      <c r="H845" s="516" t="n"/>
      <c r="I845" s="516" t="n"/>
      <c r="J845" s="516" t="n"/>
      <c r="K845" s="516" t="n"/>
    </row>
    <row r="846">
      <c r="A846" s="516" t="n"/>
      <c r="B846" s="516" t="n"/>
      <c r="C846" s="516" t="n"/>
      <c r="D846" s="516" t="n"/>
      <c r="E846" s="516" t="n"/>
      <c r="F846" s="516" t="n"/>
      <c r="G846" s="516" t="n"/>
      <c r="H846" s="516" t="n"/>
      <c r="I846" s="516" t="n"/>
      <c r="J846" s="516" t="n"/>
      <c r="K846" s="516" t="n"/>
    </row>
    <row r="847">
      <c r="A847" s="516" t="n"/>
      <c r="B847" s="516" t="n"/>
      <c r="C847" s="516" t="n"/>
      <c r="D847" s="516" t="n"/>
      <c r="E847" s="516" t="n"/>
      <c r="F847" s="516" t="n"/>
      <c r="G847" s="516" t="n"/>
      <c r="H847" s="516" t="n"/>
      <c r="I847" s="516" t="n"/>
      <c r="J847" s="516" t="n"/>
      <c r="K847" s="516" t="n"/>
    </row>
    <row r="848">
      <c r="A848" s="516" t="n"/>
      <c r="B848" s="516" t="n"/>
      <c r="C848" s="516" t="n"/>
      <c r="D848" s="516" t="n"/>
      <c r="E848" s="516" t="n"/>
      <c r="F848" s="516" t="n"/>
      <c r="G848" s="516" t="n"/>
      <c r="H848" s="516" t="n"/>
      <c r="I848" s="516" t="n"/>
      <c r="J848" s="516" t="n"/>
      <c r="K848" s="516" t="n"/>
    </row>
    <row r="849">
      <c r="A849" s="516" t="n"/>
      <c r="B849" s="516" t="n"/>
      <c r="C849" s="516" t="n"/>
      <c r="D849" s="516" t="n"/>
      <c r="E849" s="516" t="n"/>
      <c r="F849" s="516" t="n"/>
      <c r="G849" s="516" t="n"/>
      <c r="H849" s="516" t="n"/>
      <c r="I849" s="516" t="n"/>
      <c r="J849" s="516" t="n"/>
      <c r="K849" s="516" t="n"/>
    </row>
    <row r="850">
      <c r="A850" s="516" t="n"/>
      <c r="B850" s="516" t="n"/>
      <c r="C850" s="516" t="n"/>
      <c r="D850" s="516" t="n"/>
      <c r="E850" s="516" t="n"/>
      <c r="F850" s="516" t="n"/>
      <c r="G850" s="516" t="n"/>
      <c r="H850" s="516" t="n"/>
      <c r="I850" s="516" t="n"/>
      <c r="J850" s="516" t="n"/>
      <c r="K850" s="516" t="n"/>
    </row>
    <row r="851">
      <c r="A851" s="516" t="n"/>
      <c r="B851" s="516" t="n"/>
      <c r="C851" s="516" t="n"/>
      <c r="D851" s="516" t="n"/>
      <c r="E851" s="516" t="n"/>
      <c r="F851" s="516" t="n"/>
      <c r="G851" s="516" t="n"/>
      <c r="H851" s="516" t="n"/>
      <c r="I851" s="516" t="n"/>
      <c r="J851" s="516" t="n"/>
      <c r="K851" s="516" t="n"/>
    </row>
    <row r="852">
      <c r="A852" s="516" t="n"/>
      <c r="B852" s="516" t="n"/>
      <c r="C852" s="516" t="n"/>
      <c r="D852" s="516" t="n"/>
      <c r="E852" s="516" t="n"/>
      <c r="F852" s="516" t="n"/>
      <c r="G852" s="516" t="n"/>
      <c r="H852" s="516" t="n"/>
      <c r="I852" s="516" t="n"/>
      <c r="J852" s="516" t="n"/>
      <c r="K852" s="516" t="n"/>
    </row>
    <row r="853">
      <c r="A853" s="516" t="n"/>
      <c r="B853" s="516" t="n"/>
      <c r="C853" s="516" t="n"/>
      <c r="D853" s="516" t="n"/>
      <c r="E853" s="516" t="n"/>
      <c r="F853" s="516" t="n"/>
      <c r="G853" s="516" t="n"/>
      <c r="H853" s="516" t="n"/>
      <c r="I853" s="516" t="n"/>
      <c r="J853" s="516" t="n"/>
      <c r="K853" s="516" t="n"/>
    </row>
    <row r="854">
      <c r="A854" s="516" t="n"/>
      <c r="B854" s="516" t="n"/>
      <c r="C854" s="516" t="n"/>
      <c r="D854" s="516" t="n"/>
      <c r="E854" s="516" t="n"/>
      <c r="F854" s="516" t="n"/>
      <c r="G854" s="516" t="n"/>
      <c r="H854" s="516" t="n"/>
      <c r="I854" s="516" t="n"/>
      <c r="J854" s="516" t="n"/>
      <c r="K854" s="516" t="n"/>
    </row>
    <row r="855">
      <c r="A855" s="516" t="n"/>
      <c r="B855" s="516" t="n"/>
      <c r="C855" s="516" t="n"/>
      <c r="D855" s="516" t="n"/>
      <c r="E855" s="516" t="n"/>
      <c r="F855" s="516" t="n"/>
      <c r="G855" s="516" t="n"/>
      <c r="H855" s="516" t="n"/>
      <c r="I855" s="516" t="n"/>
      <c r="J855" s="516" t="n"/>
      <c r="K855" s="516" t="n"/>
    </row>
    <row r="856">
      <c r="A856" s="516" t="n"/>
      <c r="B856" s="516" t="n"/>
      <c r="C856" s="516" t="n"/>
      <c r="D856" s="516" t="n"/>
      <c r="E856" s="516" t="n"/>
      <c r="F856" s="516" t="n"/>
      <c r="G856" s="516" t="n"/>
      <c r="H856" s="516" t="n"/>
      <c r="I856" s="516" t="n"/>
      <c r="J856" s="516" t="n"/>
      <c r="K856" s="516" t="n"/>
    </row>
    <row r="857">
      <c r="A857" s="516" t="n"/>
      <c r="B857" s="516" t="n"/>
      <c r="C857" s="516" t="n"/>
      <c r="D857" s="516" t="n"/>
      <c r="E857" s="516" t="n"/>
      <c r="F857" s="516" t="n"/>
      <c r="G857" s="516" t="n"/>
      <c r="H857" s="516" t="n"/>
      <c r="I857" s="516" t="n"/>
      <c r="J857" s="516" t="n"/>
      <c r="K857" s="516" t="n"/>
    </row>
    <row r="858">
      <c r="A858" s="516" t="n"/>
      <c r="B858" s="516" t="n"/>
      <c r="C858" s="516" t="n"/>
      <c r="D858" s="516" t="n"/>
      <c r="E858" s="516" t="n"/>
      <c r="F858" s="516" t="n"/>
      <c r="G858" s="516" t="n"/>
      <c r="H858" s="516" t="n"/>
      <c r="I858" s="516" t="n"/>
      <c r="J858" s="516" t="n"/>
      <c r="K858" s="516" t="n"/>
    </row>
    <row r="859">
      <c r="A859" s="516" t="n"/>
      <c r="B859" s="516" t="n"/>
      <c r="C859" s="516" t="n"/>
      <c r="D859" s="516" t="n"/>
      <c r="E859" s="516" t="n"/>
      <c r="F859" s="516" t="n"/>
      <c r="G859" s="516" t="n"/>
      <c r="H859" s="516" t="n"/>
      <c r="I859" s="516" t="n"/>
      <c r="J859" s="516" t="n"/>
      <c r="K859" s="516" t="n"/>
    </row>
    <row r="860">
      <c r="A860" s="516" t="n"/>
      <c r="B860" s="516" t="n"/>
      <c r="C860" s="516" t="n"/>
      <c r="D860" s="516" t="n"/>
      <c r="E860" s="516" t="n"/>
      <c r="F860" s="516" t="n"/>
      <c r="G860" s="516" t="n"/>
      <c r="H860" s="516" t="n"/>
      <c r="I860" s="516" t="n"/>
      <c r="J860" s="516" t="n"/>
      <c r="K860" s="516" t="n"/>
    </row>
    <row r="861">
      <c r="A861" s="516" t="n"/>
      <c r="B861" s="516" t="n"/>
      <c r="C861" s="516" t="n"/>
      <c r="D861" s="516" t="n"/>
      <c r="E861" s="516" t="n"/>
      <c r="F861" s="516" t="n"/>
      <c r="G861" s="516" t="n"/>
      <c r="H861" s="516" t="n"/>
      <c r="I861" s="516" t="n"/>
      <c r="J861" s="516" t="n"/>
      <c r="K861" s="516" t="n"/>
    </row>
    <row r="862">
      <c r="A862" s="516" t="n"/>
      <c r="B862" s="516" t="n"/>
      <c r="C862" s="516" t="n"/>
      <c r="D862" s="516" t="n"/>
      <c r="E862" s="516" t="n"/>
      <c r="F862" s="516" t="n"/>
      <c r="G862" s="516" t="n"/>
      <c r="H862" s="516" t="n"/>
      <c r="I862" s="516" t="n"/>
      <c r="J862" s="516" t="n"/>
      <c r="K862" s="516" t="n"/>
    </row>
    <row r="863">
      <c r="A863" s="516" t="n"/>
      <c r="B863" s="516" t="n"/>
      <c r="C863" s="516" t="n"/>
      <c r="D863" s="516" t="n"/>
      <c r="E863" s="516" t="n"/>
      <c r="F863" s="516" t="n"/>
      <c r="G863" s="516" t="n"/>
      <c r="H863" s="516" t="n"/>
      <c r="I863" s="516" t="n"/>
      <c r="J863" s="516" t="n"/>
      <c r="K863" s="516" t="n"/>
    </row>
    <row r="864">
      <c r="A864" s="516" t="n"/>
      <c r="B864" s="516" t="n"/>
      <c r="C864" s="516" t="n"/>
      <c r="D864" s="516" t="n"/>
      <c r="E864" s="516" t="n"/>
      <c r="F864" s="516" t="n"/>
      <c r="G864" s="516" t="n"/>
      <c r="H864" s="516" t="n"/>
      <c r="I864" s="516" t="n"/>
      <c r="J864" s="516" t="n"/>
      <c r="K864" s="516" t="n"/>
    </row>
    <row r="865">
      <c r="A865" s="516" t="n"/>
      <c r="B865" s="516" t="n"/>
      <c r="C865" s="516" t="n"/>
      <c r="D865" s="516" t="n"/>
      <c r="E865" s="516" t="n"/>
      <c r="F865" s="516" t="n"/>
      <c r="G865" s="516" t="n"/>
      <c r="H865" s="516" t="n"/>
      <c r="I865" s="516" t="n"/>
      <c r="J865" s="516" t="n"/>
      <c r="K865" s="516" t="n"/>
    </row>
    <row r="866">
      <c r="A866" s="516" t="n"/>
      <c r="B866" s="516" t="n"/>
      <c r="C866" s="516" t="n"/>
      <c r="D866" s="516" t="n"/>
      <c r="E866" s="516" t="n"/>
      <c r="F866" s="516" t="n"/>
      <c r="G866" s="516" t="n"/>
      <c r="H866" s="516" t="n"/>
      <c r="I866" s="516" t="n"/>
      <c r="J866" s="516" t="n"/>
      <c r="K866" s="516" t="n"/>
    </row>
    <row r="867">
      <c r="A867" s="516" t="n"/>
      <c r="B867" s="516" t="n"/>
      <c r="C867" s="516" t="n"/>
      <c r="D867" s="516" t="n"/>
      <c r="E867" s="516" t="n"/>
      <c r="F867" s="516" t="n"/>
      <c r="G867" s="516" t="n"/>
      <c r="H867" s="516" t="n"/>
      <c r="I867" s="516" t="n"/>
      <c r="J867" s="516" t="n"/>
      <c r="K867" s="516" t="n"/>
    </row>
    <row r="868">
      <c r="A868" s="516" t="n"/>
      <c r="B868" s="516" t="n"/>
      <c r="C868" s="516" t="n"/>
      <c r="D868" s="516" t="n"/>
      <c r="E868" s="516" t="n"/>
      <c r="F868" s="516" t="n"/>
      <c r="G868" s="516" t="n"/>
      <c r="H868" s="516" t="n"/>
      <c r="I868" s="516" t="n"/>
      <c r="J868" s="516" t="n"/>
      <c r="K868" s="516" t="n"/>
    </row>
    <row r="869">
      <c r="A869" s="516" t="n"/>
      <c r="B869" s="516" t="n"/>
      <c r="C869" s="516" t="n"/>
      <c r="D869" s="516" t="n"/>
      <c r="E869" s="516" t="n"/>
      <c r="F869" s="516" t="n"/>
      <c r="G869" s="516" t="n"/>
      <c r="H869" s="516" t="n"/>
      <c r="I869" s="516" t="n"/>
      <c r="J869" s="516" t="n"/>
      <c r="K869" s="516" t="n"/>
    </row>
    <row r="870">
      <c r="A870" s="516" t="n"/>
      <c r="B870" s="516" t="n"/>
      <c r="C870" s="516" t="n"/>
      <c r="D870" s="516" t="n"/>
      <c r="E870" s="516" t="n"/>
      <c r="F870" s="516" t="n"/>
      <c r="G870" s="516" t="n"/>
      <c r="H870" s="516" t="n"/>
      <c r="I870" s="516" t="n"/>
      <c r="J870" s="516" t="n"/>
      <c r="K870" s="516" t="n"/>
    </row>
    <row r="871">
      <c r="A871" s="516" t="n"/>
      <c r="B871" s="516" t="n"/>
      <c r="C871" s="516" t="n"/>
      <c r="D871" s="516" t="n"/>
      <c r="E871" s="516" t="n"/>
      <c r="F871" s="516" t="n"/>
      <c r="G871" s="516" t="n"/>
      <c r="H871" s="516" t="n"/>
      <c r="I871" s="516" t="n"/>
      <c r="J871" s="516" t="n"/>
      <c r="K871" s="516" t="n"/>
    </row>
    <row r="872">
      <c r="A872" s="516" t="n"/>
      <c r="B872" s="516" t="n"/>
      <c r="C872" s="516" t="n"/>
      <c r="D872" s="516" t="n"/>
      <c r="E872" s="516" t="n"/>
      <c r="F872" s="516" t="n"/>
      <c r="G872" s="516" t="n"/>
      <c r="H872" s="516" t="n"/>
      <c r="I872" s="516" t="n"/>
      <c r="J872" s="516" t="n"/>
      <c r="K872" s="516" t="n"/>
    </row>
    <row r="873">
      <c r="A873" s="516" t="n"/>
      <c r="B873" s="516" t="n"/>
      <c r="C873" s="516" t="n"/>
      <c r="D873" s="516" t="n"/>
      <c r="E873" s="516" t="n"/>
      <c r="F873" s="516" t="n"/>
      <c r="G873" s="516" t="n"/>
      <c r="H873" s="516" t="n"/>
      <c r="I873" s="516" t="n"/>
      <c r="J873" s="516" t="n"/>
      <c r="K873" s="516" t="n"/>
    </row>
    <row r="874">
      <c r="A874" s="516" t="n"/>
      <c r="B874" s="516" t="n"/>
      <c r="C874" s="516" t="n"/>
      <c r="D874" s="516" t="n"/>
      <c r="E874" s="516" t="n"/>
      <c r="F874" s="516" t="n"/>
      <c r="G874" s="516" t="n"/>
      <c r="H874" s="516" t="n"/>
      <c r="I874" s="516" t="n"/>
      <c r="J874" s="516" t="n"/>
      <c r="K874" s="516" t="n"/>
    </row>
    <row r="875">
      <c r="A875" s="516" t="n"/>
      <c r="B875" s="516" t="n"/>
      <c r="C875" s="516" t="n"/>
      <c r="D875" s="516" t="n"/>
      <c r="E875" s="516" t="n"/>
      <c r="F875" s="516" t="n"/>
      <c r="G875" s="516" t="n"/>
      <c r="H875" s="516" t="n"/>
      <c r="I875" s="516" t="n"/>
      <c r="J875" s="516" t="n"/>
      <c r="K875" s="516" t="n"/>
    </row>
    <row r="876">
      <c r="A876" s="516" t="n"/>
      <c r="B876" s="516" t="n"/>
      <c r="C876" s="516" t="n"/>
      <c r="D876" s="516" t="n"/>
      <c r="E876" s="516" t="n"/>
      <c r="F876" s="516" t="n"/>
      <c r="G876" s="516" t="n"/>
      <c r="H876" s="516" t="n"/>
      <c r="I876" s="516" t="n"/>
      <c r="J876" s="516" t="n"/>
      <c r="K876" s="516" t="n"/>
    </row>
    <row r="877">
      <c r="A877" s="516" t="n"/>
      <c r="B877" s="516" t="n"/>
      <c r="C877" s="516" t="n"/>
      <c r="D877" s="516" t="n"/>
      <c r="E877" s="516" t="n"/>
      <c r="F877" s="516" t="n"/>
      <c r="G877" s="516" t="n"/>
      <c r="H877" s="516" t="n"/>
      <c r="I877" s="516" t="n"/>
      <c r="J877" s="516" t="n"/>
      <c r="K877" s="516" t="n"/>
    </row>
    <row r="878">
      <c r="A878" s="516" t="n"/>
      <c r="B878" s="516" t="n"/>
      <c r="C878" s="516" t="n"/>
      <c r="D878" s="516" t="n"/>
      <c r="E878" s="516" t="n"/>
      <c r="F878" s="516" t="n"/>
      <c r="G878" s="516" t="n"/>
      <c r="H878" s="516" t="n"/>
      <c r="I878" s="516" t="n"/>
      <c r="J878" s="516" t="n"/>
      <c r="K878" s="516" t="n"/>
    </row>
    <row r="879">
      <c r="A879" s="516" t="n"/>
      <c r="B879" s="516" t="n"/>
      <c r="C879" s="516" t="n"/>
      <c r="D879" s="516" t="n"/>
      <c r="E879" s="516" t="n"/>
      <c r="F879" s="516" t="n"/>
      <c r="G879" s="516" t="n"/>
      <c r="H879" s="516" t="n"/>
      <c r="I879" s="516" t="n"/>
      <c r="J879" s="516" t="n"/>
      <c r="K879" s="516" t="n"/>
    </row>
    <row r="880">
      <c r="A880" s="516" t="n"/>
      <c r="B880" s="516" t="n"/>
      <c r="C880" s="516" t="n"/>
      <c r="D880" s="516" t="n"/>
      <c r="E880" s="516" t="n"/>
      <c r="F880" s="516" t="n"/>
      <c r="G880" s="516" t="n"/>
      <c r="H880" s="516" t="n"/>
      <c r="I880" s="516" t="n"/>
      <c r="J880" s="516" t="n"/>
      <c r="K880" s="516" t="n"/>
    </row>
    <row r="881">
      <c r="A881" s="516" t="n"/>
      <c r="B881" s="516" t="n"/>
      <c r="C881" s="516" t="n"/>
      <c r="D881" s="516" t="n"/>
      <c r="E881" s="516" t="n"/>
      <c r="F881" s="516" t="n"/>
      <c r="G881" s="516" t="n"/>
      <c r="H881" s="516" t="n"/>
      <c r="I881" s="516" t="n"/>
      <c r="J881" s="516" t="n"/>
      <c r="K881" s="516" t="n"/>
    </row>
    <row r="882">
      <c r="A882" s="516" t="n"/>
      <c r="B882" s="516" t="n"/>
      <c r="C882" s="516" t="n"/>
      <c r="D882" s="516" t="n"/>
      <c r="E882" s="516" t="n"/>
      <c r="F882" s="516" t="n"/>
      <c r="G882" s="516" t="n"/>
      <c r="H882" s="516" t="n"/>
      <c r="I882" s="516" t="n"/>
      <c r="J882" s="516" t="n"/>
      <c r="K882" s="516" t="n"/>
    </row>
    <row r="883">
      <c r="A883" s="516" t="n"/>
      <c r="B883" s="516" t="n"/>
      <c r="C883" s="516" t="n"/>
      <c r="D883" s="516" t="n"/>
      <c r="E883" s="516" t="n"/>
      <c r="F883" s="516" t="n"/>
      <c r="G883" s="516" t="n"/>
      <c r="H883" s="516" t="n"/>
      <c r="I883" s="516" t="n"/>
      <c r="J883" s="516" t="n"/>
      <c r="K883" s="516" t="n"/>
    </row>
    <row r="884">
      <c r="A884" s="516" t="n"/>
      <c r="B884" s="516" t="n"/>
      <c r="C884" s="516" t="n"/>
      <c r="D884" s="516" t="n"/>
      <c r="E884" s="516" t="n"/>
      <c r="F884" s="516" t="n"/>
      <c r="G884" s="516" t="n"/>
      <c r="H884" s="516" t="n"/>
      <c r="I884" s="516" t="n"/>
      <c r="J884" s="516" t="n"/>
      <c r="K884" s="516" t="n"/>
    </row>
    <row r="885">
      <c r="A885" s="516" t="n"/>
      <c r="B885" s="516" t="n"/>
      <c r="C885" s="516" t="n"/>
      <c r="D885" s="516" t="n"/>
      <c r="E885" s="516" t="n"/>
      <c r="F885" s="516" t="n"/>
      <c r="G885" s="516" t="n"/>
      <c r="H885" s="516" t="n"/>
      <c r="I885" s="516" t="n"/>
      <c r="J885" s="516" t="n"/>
      <c r="K885" s="516" t="n"/>
    </row>
    <row r="886">
      <c r="A886" s="516" t="n"/>
      <c r="B886" s="516" t="n"/>
      <c r="C886" s="516" t="n"/>
      <c r="D886" s="516" t="n"/>
      <c r="E886" s="516" t="n"/>
      <c r="F886" s="516" t="n"/>
      <c r="G886" s="516" t="n"/>
      <c r="H886" s="516" t="n"/>
      <c r="I886" s="516" t="n"/>
      <c r="J886" s="516" t="n"/>
      <c r="K886" s="516" t="n"/>
    </row>
    <row r="887">
      <c r="A887" s="516" t="n"/>
      <c r="B887" s="516" t="n"/>
      <c r="C887" s="516" t="n"/>
      <c r="D887" s="516" t="n"/>
      <c r="E887" s="516" t="n"/>
      <c r="F887" s="516" t="n"/>
      <c r="G887" s="516" t="n"/>
      <c r="H887" s="516" t="n"/>
      <c r="I887" s="516" t="n"/>
      <c r="J887" s="516" t="n"/>
      <c r="K887" s="516" t="n"/>
    </row>
    <row r="888">
      <c r="A888" s="516" t="n"/>
      <c r="B888" s="516" t="n"/>
      <c r="C888" s="516" t="n"/>
      <c r="D888" s="516" t="n"/>
      <c r="E888" s="516" t="n"/>
      <c r="F888" s="516" t="n"/>
      <c r="G888" s="516" t="n"/>
      <c r="H888" s="516" t="n"/>
      <c r="I888" s="516" t="n"/>
      <c r="J888" s="516" t="n"/>
      <c r="K888" s="516" t="n"/>
    </row>
    <row r="889">
      <c r="A889" s="516" t="n"/>
      <c r="B889" s="516" t="n"/>
      <c r="C889" s="516" t="n"/>
      <c r="D889" s="516" t="n"/>
      <c r="E889" s="516" t="n"/>
      <c r="F889" s="516" t="n"/>
      <c r="G889" s="516" t="n"/>
      <c r="H889" s="516" t="n"/>
      <c r="I889" s="516" t="n"/>
      <c r="J889" s="516" t="n"/>
      <c r="K889" s="516" t="n"/>
    </row>
    <row r="890">
      <c r="A890" s="516" t="n"/>
      <c r="B890" s="516" t="n"/>
      <c r="C890" s="516" t="n"/>
      <c r="D890" s="516" t="n"/>
      <c r="E890" s="516" t="n"/>
      <c r="F890" s="516" t="n"/>
      <c r="G890" s="516" t="n"/>
      <c r="H890" s="516" t="n"/>
      <c r="I890" s="516" t="n"/>
      <c r="J890" s="516" t="n"/>
      <c r="K890" s="516" t="n"/>
    </row>
    <row r="891">
      <c r="A891" s="516" t="n"/>
      <c r="B891" s="516" t="n"/>
      <c r="C891" s="516" t="n"/>
      <c r="D891" s="516" t="n"/>
      <c r="E891" s="516" t="n"/>
      <c r="F891" s="516" t="n"/>
      <c r="G891" s="516" t="n"/>
      <c r="H891" s="516" t="n"/>
      <c r="I891" s="516" t="n"/>
      <c r="J891" s="516" t="n"/>
      <c r="K891" s="516" t="n"/>
    </row>
    <row r="892">
      <c r="A892" s="516" t="n"/>
      <c r="B892" s="516" t="n"/>
      <c r="C892" s="516" t="n"/>
      <c r="D892" s="516" t="n"/>
      <c r="E892" s="516" t="n"/>
      <c r="F892" s="516" t="n"/>
      <c r="G892" s="516" t="n"/>
      <c r="H892" s="516" t="n"/>
      <c r="I892" s="516" t="n"/>
      <c r="J892" s="516" t="n"/>
      <c r="K892" s="516" t="n"/>
    </row>
    <row r="893">
      <c r="A893" s="516" t="n"/>
      <c r="B893" s="516" t="n"/>
      <c r="C893" s="516" t="n"/>
      <c r="D893" s="516" t="n"/>
      <c r="E893" s="516" t="n"/>
      <c r="F893" s="516" t="n"/>
      <c r="G893" s="516" t="n"/>
      <c r="H893" s="516" t="n"/>
      <c r="I893" s="516" t="n"/>
      <c r="J893" s="516" t="n"/>
      <c r="K893" s="516" t="n"/>
    </row>
    <row r="894">
      <c r="A894" s="516" t="n"/>
      <c r="B894" s="516" t="n"/>
      <c r="C894" s="516" t="n"/>
      <c r="D894" s="516" t="n"/>
      <c r="E894" s="516" t="n"/>
      <c r="F894" s="516" t="n"/>
      <c r="G894" s="516" t="n"/>
      <c r="H894" s="516" t="n"/>
      <c r="I894" s="516" t="n"/>
      <c r="J894" s="516" t="n"/>
      <c r="K894" s="516" t="n"/>
    </row>
    <row r="895">
      <c r="A895" s="516" t="n"/>
      <c r="B895" s="516" t="n"/>
      <c r="C895" s="516" t="n"/>
      <c r="D895" s="516" t="n"/>
      <c r="E895" s="516" t="n"/>
      <c r="F895" s="516" t="n"/>
      <c r="G895" s="516" t="n"/>
      <c r="H895" s="516" t="n"/>
      <c r="I895" s="516" t="n"/>
      <c r="J895" s="516" t="n"/>
      <c r="K895" s="516" t="n"/>
    </row>
    <row r="896">
      <c r="A896" s="516" t="n"/>
      <c r="B896" s="516" t="n"/>
      <c r="C896" s="516" t="n"/>
      <c r="D896" s="516" t="n"/>
      <c r="E896" s="516" t="n"/>
      <c r="F896" s="516" t="n"/>
      <c r="G896" s="516" t="n"/>
      <c r="H896" s="516" t="n"/>
      <c r="I896" s="516" t="n"/>
      <c r="J896" s="516" t="n"/>
      <c r="K896" s="516" t="n"/>
    </row>
    <row r="897">
      <c r="A897" s="516" t="n"/>
      <c r="B897" s="516" t="n"/>
      <c r="C897" s="516" t="n"/>
      <c r="D897" s="516" t="n"/>
      <c r="E897" s="516" t="n"/>
      <c r="F897" s="516" t="n"/>
      <c r="G897" s="516" t="n"/>
      <c r="H897" s="516" t="n"/>
      <c r="I897" s="516" t="n"/>
      <c r="J897" s="516" t="n"/>
      <c r="K897" s="516" t="n"/>
    </row>
    <row r="898">
      <c r="A898" s="516" t="n"/>
      <c r="B898" s="516" t="n"/>
      <c r="C898" s="516" t="n"/>
      <c r="D898" s="516" t="n"/>
      <c r="E898" s="516" t="n"/>
      <c r="F898" s="516" t="n"/>
      <c r="G898" s="516" t="n"/>
      <c r="H898" s="516" t="n"/>
      <c r="I898" s="516" t="n"/>
      <c r="J898" s="516" t="n"/>
      <c r="K898" s="516" t="n"/>
    </row>
    <row r="899">
      <c r="A899" s="516" t="n"/>
      <c r="B899" s="516" t="n"/>
      <c r="C899" s="516" t="n"/>
      <c r="D899" s="516" t="n"/>
      <c r="E899" s="516" t="n"/>
      <c r="F899" s="516" t="n"/>
      <c r="G899" s="516" t="n"/>
      <c r="H899" s="516" t="n"/>
      <c r="I899" s="516" t="n"/>
      <c r="J899" s="516" t="n"/>
      <c r="K899" s="516" t="n"/>
    </row>
    <row r="900">
      <c r="A900" s="516" t="n"/>
      <c r="B900" s="516" t="n"/>
      <c r="C900" s="516" t="n"/>
      <c r="D900" s="516" t="n"/>
      <c r="E900" s="516" t="n"/>
      <c r="F900" s="516" t="n"/>
      <c r="G900" s="516" t="n"/>
      <c r="H900" s="516" t="n"/>
      <c r="I900" s="516" t="n"/>
      <c r="J900" s="516" t="n"/>
      <c r="K900" s="516" t="n"/>
    </row>
    <row r="901">
      <c r="A901" s="516" t="n"/>
      <c r="B901" s="516" t="n"/>
      <c r="C901" s="516" t="n"/>
      <c r="D901" s="516" t="n"/>
      <c r="E901" s="516" t="n"/>
      <c r="F901" s="516" t="n"/>
      <c r="G901" s="516" t="n"/>
      <c r="H901" s="516" t="n"/>
      <c r="I901" s="516" t="n"/>
      <c r="J901" s="516" t="n"/>
      <c r="K901" s="516" t="n"/>
    </row>
    <row r="902">
      <c r="A902" s="516" t="n"/>
      <c r="B902" s="516" t="n"/>
      <c r="C902" s="516" t="n"/>
      <c r="D902" s="516" t="n"/>
      <c r="E902" s="516" t="n"/>
      <c r="F902" s="516" t="n"/>
      <c r="G902" s="516" t="n"/>
      <c r="H902" s="516" t="n"/>
      <c r="I902" s="516" t="n"/>
      <c r="J902" s="516" t="n"/>
      <c r="K902" s="516" t="n"/>
    </row>
    <row r="903">
      <c r="A903" s="516" t="n"/>
      <c r="B903" s="516" t="n"/>
      <c r="C903" s="516" t="n"/>
      <c r="D903" s="516" t="n"/>
      <c r="E903" s="516" t="n"/>
      <c r="F903" s="516" t="n"/>
      <c r="G903" s="516" t="n"/>
      <c r="H903" s="516" t="n"/>
      <c r="I903" s="516" t="n"/>
      <c r="J903" s="516" t="n"/>
      <c r="K903" s="516" t="n"/>
    </row>
    <row r="904">
      <c r="A904" s="516" t="n"/>
      <c r="B904" s="516" t="n"/>
      <c r="C904" s="516" t="n"/>
      <c r="D904" s="516" t="n"/>
      <c r="E904" s="516" t="n"/>
      <c r="F904" s="516" t="n"/>
      <c r="G904" s="516" t="n"/>
      <c r="H904" s="516" t="n"/>
      <c r="I904" s="516" t="n"/>
      <c r="J904" s="516" t="n"/>
      <c r="K904" s="516" t="n"/>
    </row>
    <row r="905">
      <c r="A905" s="516" t="n"/>
      <c r="B905" s="516" t="n"/>
      <c r="C905" s="516" t="n"/>
      <c r="D905" s="516" t="n"/>
      <c r="E905" s="516" t="n"/>
      <c r="F905" s="516" t="n"/>
      <c r="G905" s="516" t="n"/>
      <c r="H905" s="516" t="n"/>
      <c r="I905" s="516" t="n"/>
      <c r="J905" s="516" t="n"/>
      <c r="K905" s="516" t="n"/>
    </row>
    <row r="906">
      <c r="A906" s="516" t="n"/>
      <c r="B906" s="516" t="n"/>
      <c r="C906" s="516" t="n"/>
      <c r="D906" s="516" t="n"/>
      <c r="E906" s="516" t="n"/>
      <c r="F906" s="516" t="n"/>
      <c r="G906" s="516" t="n"/>
      <c r="H906" s="516" t="n"/>
      <c r="I906" s="516" t="n"/>
      <c r="J906" s="516" t="n"/>
      <c r="K906" s="516" t="n"/>
    </row>
    <row r="907">
      <c r="A907" s="516" t="n"/>
      <c r="B907" s="516" t="n"/>
      <c r="C907" s="516" t="n"/>
      <c r="D907" s="516" t="n"/>
      <c r="E907" s="516" t="n"/>
      <c r="F907" s="516" t="n"/>
      <c r="G907" s="516" t="n"/>
      <c r="H907" s="516" t="n"/>
      <c r="I907" s="516" t="n"/>
      <c r="J907" s="516" t="n"/>
      <c r="K907" s="516" t="n"/>
    </row>
    <row r="908">
      <c r="A908" s="516" t="n"/>
      <c r="B908" s="516" t="n"/>
      <c r="C908" s="516" t="n"/>
      <c r="D908" s="516" t="n"/>
      <c r="E908" s="516" t="n"/>
      <c r="F908" s="516" t="n"/>
      <c r="G908" s="516" t="n"/>
      <c r="H908" s="516" t="n"/>
      <c r="I908" s="516" t="n"/>
      <c r="J908" s="516" t="n"/>
      <c r="K908" s="516" t="n"/>
    </row>
    <row r="909">
      <c r="A909" s="516" t="n"/>
      <c r="B909" s="516" t="n"/>
      <c r="C909" s="516" t="n"/>
      <c r="D909" s="516" t="n"/>
      <c r="E909" s="516" t="n"/>
      <c r="F909" s="516" t="n"/>
      <c r="G909" s="516" t="n"/>
      <c r="H909" s="516" t="n"/>
      <c r="I909" s="516" t="n"/>
      <c r="J909" s="516" t="n"/>
      <c r="K909" s="516" t="n"/>
    </row>
    <row r="910">
      <c r="A910" s="516" t="n"/>
      <c r="B910" s="516" t="n"/>
      <c r="C910" s="516" t="n"/>
      <c r="D910" s="516" t="n"/>
      <c r="E910" s="516" t="n"/>
      <c r="F910" s="516" t="n"/>
      <c r="G910" s="516" t="n"/>
      <c r="H910" s="516" t="n"/>
      <c r="I910" s="516" t="n"/>
      <c r="J910" s="516" t="n"/>
      <c r="K910" s="516" t="n"/>
    </row>
    <row r="911">
      <c r="A911" s="516" t="n"/>
      <c r="B911" s="516" t="n"/>
      <c r="C911" s="516" t="n"/>
      <c r="D911" s="516" t="n"/>
      <c r="E911" s="516" t="n"/>
      <c r="F911" s="516" t="n"/>
      <c r="G911" s="516" t="n"/>
      <c r="H911" s="516" t="n"/>
      <c r="I911" s="516" t="n"/>
      <c r="J911" s="516" t="n"/>
      <c r="K911" s="516" t="n"/>
    </row>
    <row r="912">
      <c r="A912" s="516" t="n"/>
      <c r="B912" s="516" t="n"/>
      <c r="C912" s="516" t="n"/>
      <c r="D912" s="516" t="n"/>
      <c r="E912" s="516" t="n"/>
      <c r="F912" s="516" t="n"/>
      <c r="G912" s="516" t="n"/>
      <c r="H912" s="516" t="n"/>
      <c r="I912" s="516" t="n"/>
      <c r="J912" s="516" t="n"/>
      <c r="K912" s="516" t="n"/>
    </row>
    <row r="913">
      <c r="A913" s="516" t="n"/>
      <c r="B913" s="516" t="n"/>
      <c r="C913" s="516" t="n"/>
      <c r="D913" s="516" t="n"/>
      <c r="E913" s="516" t="n"/>
      <c r="F913" s="516" t="n"/>
      <c r="G913" s="516" t="n"/>
      <c r="H913" s="516" t="n"/>
      <c r="I913" s="516" t="n"/>
      <c r="J913" s="516" t="n"/>
      <c r="K913" s="516" t="n"/>
    </row>
    <row r="914">
      <c r="A914" s="516" t="n"/>
      <c r="B914" s="516" t="n"/>
      <c r="C914" s="516" t="n"/>
      <c r="D914" s="516" t="n"/>
      <c r="E914" s="516" t="n"/>
      <c r="F914" s="516" t="n"/>
      <c r="G914" s="516" t="n"/>
      <c r="H914" s="516" t="n"/>
      <c r="I914" s="516" t="n"/>
      <c r="J914" s="516" t="n"/>
      <c r="K914" s="516" t="n"/>
    </row>
    <row r="915">
      <c r="A915" s="516" t="n"/>
      <c r="B915" s="516" t="n"/>
      <c r="C915" s="516" t="n"/>
      <c r="D915" s="516" t="n"/>
      <c r="E915" s="516" t="n"/>
      <c r="F915" s="516" t="n"/>
      <c r="G915" s="516" t="n"/>
      <c r="H915" s="516" t="n"/>
      <c r="I915" s="516" t="n"/>
      <c r="J915" s="516" t="n"/>
      <c r="K915" s="516" t="n"/>
    </row>
    <row r="916">
      <c r="A916" s="516" t="n"/>
      <c r="B916" s="516" t="n"/>
      <c r="C916" s="516" t="n"/>
      <c r="D916" s="516" t="n"/>
      <c r="E916" s="516" t="n"/>
      <c r="F916" s="516" t="n"/>
      <c r="G916" s="516" t="n"/>
      <c r="H916" s="516" t="n"/>
      <c r="I916" s="516" t="n"/>
      <c r="J916" s="516" t="n"/>
      <c r="K916" s="516" t="n"/>
    </row>
    <row r="917">
      <c r="A917" s="516" t="n"/>
      <c r="B917" s="516" t="n"/>
      <c r="C917" s="516" t="n"/>
      <c r="D917" s="516" t="n"/>
      <c r="E917" s="516" t="n"/>
      <c r="F917" s="516" t="n"/>
      <c r="G917" s="516" t="n"/>
      <c r="H917" s="516" t="n"/>
      <c r="I917" s="516" t="n"/>
      <c r="J917" s="516" t="n"/>
      <c r="K917" s="516" t="n"/>
    </row>
    <row r="918">
      <c r="A918" s="516" t="n"/>
      <c r="B918" s="516" t="n"/>
      <c r="C918" s="516" t="n"/>
      <c r="D918" s="516" t="n"/>
      <c r="E918" s="516" t="n"/>
      <c r="F918" s="516" t="n"/>
      <c r="G918" s="516" t="n"/>
      <c r="H918" s="516" t="n"/>
      <c r="I918" s="516" t="n"/>
      <c r="J918" s="516" t="n"/>
      <c r="K918" s="516" t="n"/>
    </row>
    <row r="919">
      <c r="A919" s="516" t="n"/>
      <c r="B919" s="516" t="n"/>
      <c r="C919" s="516" t="n"/>
      <c r="D919" s="516" t="n"/>
      <c r="E919" s="516" t="n"/>
      <c r="F919" s="516" t="n"/>
      <c r="G919" s="516" t="n"/>
      <c r="H919" s="516" t="n"/>
      <c r="I919" s="516" t="n"/>
      <c r="J919" s="516" t="n"/>
      <c r="K919" s="516" t="n"/>
    </row>
    <row r="920">
      <c r="A920" s="516" t="n"/>
      <c r="B920" s="516" t="n"/>
      <c r="C920" s="516" t="n"/>
      <c r="D920" s="516" t="n"/>
      <c r="E920" s="516" t="n"/>
      <c r="F920" s="516" t="n"/>
      <c r="G920" s="516" t="n"/>
      <c r="H920" s="516" t="n"/>
      <c r="I920" s="516" t="n"/>
      <c r="J920" s="516" t="n"/>
      <c r="K920" s="516" t="n"/>
    </row>
    <row r="921">
      <c r="A921" s="516" t="n"/>
      <c r="B921" s="516" t="n"/>
      <c r="C921" s="516" t="n"/>
      <c r="D921" s="516" t="n"/>
      <c r="E921" s="516" t="n"/>
      <c r="F921" s="516" t="n"/>
      <c r="G921" s="516" t="n"/>
      <c r="H921" s="516" t="n"/>
      <c r="I921" s="516" t="n"/>
      <c r="J921" s="516" t="n"/>
      <c r="K921" s="516" t="n"/>
    </row>
    <row r="922">
      <c r="A922" s="516" t="n"/>
      <c r="B922" s="516" t="n"/>
      <c r="C922" s="516" t="n"/>
      <c r="D922" s="516" t="n"/>
      <c r="E922" s="516" t="n"/>
      <c r="F922" s="516" t="n"/>
      <c r="G922" s="516" t="n"/>
      <c r="H922" s="516" t="n"/>
      <c r="I922" s="516" t="n"/>
      <c r="J922" s="516" t="n"/>
      <c r="K922" s="516" t="n"/>
    </row>
    <row r="923">
      <c r="A923" s="516" t="n"/>
      <c r="B923" s="516" t="n"/>
      <c r="C923" s="516" t="n"/>
      <c r="D923" s="516" t="n"/>
      <c r="E923" s="516" t="n"/>
      <c r="F923" s="516" t="n"/>
      <c r="G923" s="516" t="n"/>
      <c r="H923" s="516" t="n"/>
      <c r="I923" s="516" t="n"/>
      <c r="J923" s="516" t="n"/>
      <c r="K923" s="516" t="n"/>
    </row>
    <row r="924">
      <c r="A924" s="516" t="n"/>
      <c r="B924" s="516" t="n"/>
      <c r="C924" s="516" t="n"/>
      <c r="D924" s="516" t="n"/>
      <c r="E924" s="516" t="n"/>
      <c r="F924" s="516" t="n"/>
      <c r="G924" s="516" t="n"/>
      <c r="H924" s="516" t="n"/>
      <c r="I924" s="516" t="n"/>
      <c r="J924" s="516" t="n"/>
      <c r="K924" s="516" t="n"/>
    </row>
    <row r="925">
      <c r="A925" s="516" t="n"/>
      <c r="B925" s="516" t="n"/>
      <c r="C925" s="516" t="n"/>
      <c r="D925" s="516" t="n"/>
      <c r="E925" s="516" t="n"/>
      <c r="F925" s="516" t="n"/>
      <c r="G925" s="516" t="n"/>
      <c r="H925" s="516" t="n"/>
      <c r="I925" s="516" t="n"/>
      <c r="J925" s="516" t="n"/>
      <c r="K925" s="516" t="n"/>
    </row>
    <row r="926">
      <c r="A926" s="516" t="n"/>
      <c r="B926" s="516" t="n"/>
      <c r="C926" s="516" t="n"/>
      <c r="D926" s="516" t="n"/>
      <c r="E926" s="516" t="n"/>
      <c r="F926" s="516" t="n"/>
      <c r="G926" s="516" t="n"/>
      <c r="H926" s="516" t="n"/>
      <c r="I926" s="516" t="n"/>
      <c r="J926" s="516" t="n"/>
      <c r="K926" s="516" t="n"/>
    </row>
    <row r="927">
      <c r="A927" s="516" t="n"/>
      <c r="B927" s="516" t="n"/>
      <c r="C927" s="516" t="n"/>
      <c r="D927" s="516" t="n"/>
      <c r="E927" s="516" t="n"/>
      <c r="F927" s="516" t="n"/>
      <c r="G927" s="516" t="n"/>
      <c r="H927" s="516" t="n"/>
      <c r="I927" s="516" t="n"/>
      <c r="J927" s="516" t="n"/>
      <c r="K927" s="516" t="n"/>
    </row>
    <row r="928">
      <c r="A928" s="516" t="n"/>
      <c r="B928" s="516" t="n"/>
      <c r="C928" s="516" t="n"/>
      <c r="D928" s="516" t="n"/>
      <c r="E928" s="516" t="n"/>
      <c r="F928" s="516" t="n"/>
      <c r="G928" s="516" t="n"/>
      <c r="H928" s="516" t="n"/>
      <c r="I928" s="516" t="n"/>
      <c r="J928" s="516" t="n"/>
      <c r="K928" s="516" t="n"/>
    </row>
    <row r="929">
      <c r="A929" s="516" t="n"/>
      <c r="B929" s="516" t="n"/>
      <c r="C929" s="516" t="n"/>
      <c r="D929" s="516" t="n"/>
      <c r="E929" s="516" t="n"/>
      <c r="F929" s="516" t="n"/>
      <c r="G929" s="516" t="n"/>
      <c r="H929" s="516" t="n"/>
      <c r="I929" s="516" t="n"/>
      <c r="J929" s="516" t="n"/>
      <c r="K929" s="516" t="n"/>
    </row>
    <row r="930">
      <c r="A930" s="516" t="n"/>
      <c r="B930" s="516" t="n"/>
      <c r="C930" s="516" t="n"/>
      <c r="D930" s="516" t="n"/>
      <c r="E930" s="516" t="n"/>
      <c r="F930" s="516" t="n"/>
      <c r="G930" s="516" t="n"/>
      <c r="H930" s="516" t="n"/>
      <c r="I930" s="516" t="n"/>
      <c r="J930" s="516" t="n"/>
      <c r="K930" s="516" t="n"/>
    </row>
    <row r="931">
      <c r="A931" s="516" t="n"/>
      <c r="B931" s="516" t="n"/>
      <c r="C931" s="516" t="n"/>
      <c r="D931" s="516" t="n"/>
      <c r="E931" s="516" t="n"/>
      <c r="F931" s="516" t="n"/>
      <c r="G931" s="516" t="n"/>
      <c r="H931" s="516" t="n"/>
      <c r="I931" s="516" t="n"/>
      <c r="J931" s="516" t="n"/>
      <c r="K931" s="516" t="n"/>
    </row>
    <row r="932">
      <c r="A932" s="516" t="n"/>
      <c r="B932" s="516" t="n"/>
      <c r="C932" s="516" t="n"/>
      <c r="D932" s="516" t="n"/>
      <c r="E932" s="516" t="n"/>
      <c r="F932" s="516" t="n"/>
      <c r="G932" s="516" t="n"/>
      <c r="H932" s="516" t="n"/>
      <c r="I932" s="516" t="n"/>
      <c r="J932" s="516" t="n"/>
      <c r="K932" s="516" t="n"/>
    </row>
    <row r="933">
      <c r="A933" s="516" t="n"/>
      <c r="B933" s="516" t="n"/>
      <c r="C933" s="516" t="n"/>
      <c r="D933" s="516" t="n"/>
      <c r="E933" s="516" t="n"/>
      <c r="F933" s="516" t="n"/>
      <c r="G933" s="516" t="n"/>
      <c r="H933" s="516" t="n"/>
      <c r="I933" s="516" t="n"/>
      <c r="J933" s="516" t="n"/>
      <c r="K933" s="516" t="n"/>
    </row>
    <row r="934">
      <c r="A934" s="516" t="n"/>
      <c r="B934" s="516" t="n"/>
      <c r="C934" s="516" t="n"/>
      <c r="D934" s="516" t="n"/>
      <c r="E934" s="516" t="n"/>
      <c r="F934" s="516" t="n"/>
      <c r="G934" s="516" t="n"/>
      <c r="H934" s="516" t="n"/>
      <c r="I934" s="516" t="n"/>
      <c r="J934" s="516" t="n"/>
      <c r="K934" s="516" t="n"/>
    </row>
    <row r="935">
      <c r="A935" s="516" t="n"/>
      <c r="B935" s="516" t="n"/>
      <c r="C935" s="516" t="n"/>
      <c r="D935" s="516" t="n"/>
      <c r="E935" s="516" t="n"/>
      <c r="F935" s="516" t="n"/>
      <c r="G935" s="516" t="n"/>
      <c r="H935" s="516" t="n"/>
      <c r="I935" s="516" t="n"/>
      <c r="J935" s="516" t="n"/>
      <c r="K935" s="516" t="n"/>
    </row>
    <row r="936">
      <c r="A936" s="516" t="n"/>
      <c r="B936" s="516" t="n"/>
      <c r="C936" s="516" t="n"/>
      <c r="D936" s="516" t="n"/>
      <c r="E936" s="516" t="n"/>
      <c r="F936" s="516" t="n"/>
      <c r="G936" s="516" t="n"/>
      <c r="H936" s="516" t="n"/>
      <c r="I936" s="516" t="n"/>
      <c r="J936" s="516" t="n"/>
      <c r="K936" s="516" t="n"/>
    </row>
    <row r="937">
      <c r="A937" s="516" t="n"/>
      <c r="B937" s="516" t="n"/>
      <c r="C937" s="516" t="n"/>
      <c r="D937" s="516" t="n"/>
      <c r="E937" s="516" t="n"/>
      <c r="F937" s="516" t="n"/>
      <c r="G937" s="516" t="n"/>
      <c r="H937" s="516" t="n"/>
      <c r="I937" s="516" t="n"/>
      <c r="J937" s="516" t="n"/>
      <c r="K937" s="516" t="n"/>
    </row>
    <row r="938">
      <c r="A938" s="516" t="n"/>
      <c r="B938" s="516" t="n"/>
      <c r="C938" s="516" t="n"/>
      <c r="D938" s="516" t="n"/>
      <c r="E938" s="516" t="n"/>
      <c r="F938" s="516" t="n"/>
      <c r="G938" s="516" t="n"/>
      <c r="H938" s="516" t="n"/>
      <c r="I938" s="516" t="n"/>
      <c r="J938" s="516" t="n"/>
      <c r="K938" s="516" t="n"/>
    </row>
    <row r="939">
      <c r="A939" s="516" t="n"/>
      <c r="B939" s="516" t="n"/>
      <c r="C939" s="516" t="n"/>
      <c r="D939" s="516" t="n"/>
      <c r="E939" s="516" t="n"/>
      <c r="F939" s="516" t="n"/>
      <c r="G939" s="516" t="n"/>
      <c r="H939" s="516" t="n"/>
      <c r="I939" s="516" t="n"/>
      <c r="J939" s="516" t="n"/>
      <c r="K939" s="516" t="n"/>
    </row>
    <row r="940">
      <c r="A940" s="516" t="n"/>
      <c r="B940" s="516" t="n"/>
      <c r="C940" s="516" t="n"/>
      <c r="D940" s="516" t="n"/>
      <c r="E940" s="516" t="n"/>
      <c r="F940" s="516" t="n"/>
      <c r="G940" s="516" t="n"/>
      <c r="H940" s="516" t="n"/>
      <c r="I940" s="516" t="n"/>
      <c r="J940" s="516" t="n"/>
      <c r="K940" s="516" t="n"/>
    </row>
    <row r="941">
      <c r="A941" s="516" t="n"/>
      <c r="B941" s="516" t="n"/>
      <c r="C941" s="516" t="n"/>
      <c r="D941" s="516" t="n"/>
      <c r="E941" s="516" t="n"/>
      <c r="F941" s="516" t="n"/>
      <c r="G941" s="516" t="n"/>
      <c r="H941" s="516" t="n"/>
      <c r="I941" s="516" t="n"/>
      <c r="J941" s="516" t="n"/>
      <c r="K941" s="516" t="n"/>
    </row>
    <row r="942">
      <c r="A942" s="516" t="n"/>
      <c r="B942" s="516" t="n"/>
      <c r="C942" s="516" t="n"/>
      <c r="D942" s="516" t="n"/>
      <c r="E942" s="516" t="n"/>
      <c r="F942" s="516" t="n"/>
      <c r="G942" s="516" t="n"/>
      <c r="H942" s="516" t="n"/>
      <c r="I942" s="516" t="n"/>
      <c r="J942" s="516" t="n"/>
      <c r="K942" s="516" t="n"/>
    </row>
    <row r="943">
      <c r="A943" s="516" t="n"/>
      <c r="B943" s="516" t="n"/>
      <c r="C943" s="516" t="n"/>
      <c r="D943" s="516" t="n"/>
      <c r="E943" s="516" t="n"/>
      <c r="F943" s="516" t="n"/>
      <c r="G943" s="516" t="n"/>
      <c r="H943" s="516" t="n"/>
      <c r="I943" s="516" t="n"/>
      <c r="J943" s="516" t="n"/>
      <c r="K943" s="516" t="n"/>
    </row>
    <row r="944">
      <c r="A944" s="516" t="n"/>
      <c r="B944" s="516" t="n"/>
      <c r="C944" s="516" t="n"/>
      <c r="D944" s="516" t="n"/>
      <c r="E944" s="516" t="n"/>
      <c r="F944" s="516" t="n"/>
      <c r="G944" s="516" t="n"/>
      <c r="H944" s="516" t="n"/>
      <c r="I944" s="516" t="n"/>
      <c r="J944" s="516" t="n"/>
      <c r="K944" s="516" t="n"/>
    </row>
    <row r="945">
      <c r="A945" s="516" t="n"/>
      <c r="B945" s="516" t="n"/>
      <c r="C945" s="516" t="n"/>
      <c r="D945" s="516" t="n"/>
      <c r="E945" s="516" t="n"/>
      <c r="F945" s="516" t="n"/>
      <c r="G945" s="516" t="n"/>
      <c r="H945" s="516" t="n"/>
      <c r="I945" s="516" t="n"/>
      <c r="J945" s="516" t="n"/>
      <c r="K945" s="516" t="n"/>
    </row>
    <row r="946">
      <c r="A946" s="516" t="n"/>
      <c r="B946" s="516" t="n"/>
      <c r="C946" s="516" t="n"/>
      <c r="D946" s="516" t="n"/>
      <c r="E946" s="516" t="n"/>
      <c r="F946" s="516" t="n"/>
      <c r="G946" s="516" t="n"/>
      <c r="H946" s="516" t="n"/>
      <c r="I946" s="516" t="n"/>
      <c r="J946" s="516" t="n"/>
      <c r="K946" s="516" t="n"/>
    </row>
    <row r="947">
      <c r="A947" s="516" t="n"/>
      <c r="B947" s="516" t="n"/>
      <c r="C947" s="516" t="n"/>
      <c r="D947" s="516" t="n"/>
      <c r="E947" s="516" t="n"/>
      <c r="F947" s="516" t="n"/>
      <c r="G947" s="516" t="n"/>
      <c r="H947" s="516" t="n"/>
      <c r="I947" s="516" t="n"/>
      <c r="J947" s="516" t="n"/>
      <c r="K947" s="516" t="n"/>
    </row>
    <row r="948">
      <c r="A948" s="516" t="n"/>
      <c r="B948" s="516" t="n"/>
      <c r="C948" s="516" t="n"/>
      <c r="D948" s="516" t="n"/>
      <c r="E948" s="516" t="n"/>
      <c r="F948" s="516" t="n"/>
      <c r="G948" s="516" t="n"/>
      <c r="H948" s="516" t="n"/>
      <c r="I948" s="516" t="n"/>
      <c r="J948" s="516" t="n"/>
      <c r="K948" s="516" t="n"/>
    </row>
    <row r="949">
      <c r="A949" s="516" t="n"/>
      <c r="B949" s="516" t="n"/>
      <c r="C949" s="516" t="n"/>
      <c r="D949" s="516" t="n"/>
      <c r="E949" s="516" t="n"/>
      <c r="F949" s="516" t="n"/>
      <c r="G949" s="516" t="n"/>
      <c r="H949" s="516" t="n"/>
      <c r="I949" s="516" t="n"/>
      <c r="J949" s="516" t="n"/>
      <c r="K949" s="516" t="n"/>
    </row>
    <row r="950">
      <c r="A950" s="516" t="n"/>
      <c r="B950" s="516" t="n"/>
      <c r="C950" s="516" t="n"/>
      <c r="D950" s="516" t="n"/>
      <c r="E950" s="516" t="n"/>
      <c r="F950" s="516" t="n"/>
      <c r="G950" s="516" t="n"/>
      <c r="H950" s="516" t="n"/>
      <c r="I950" s="516" t="n"/>
      <c r="J950" s="516" t="n"/>
      <c r="K950" s="516" t="n"/>
    </row>
    <row r="951">
      <c r="A951" s="516" t="n"/>
      <c r="B951" s="516" t="n"/>
      <c r="C951" s="516" t="n"/>
      <c r="D951" s="516" t="n"/>
      <c r="E951" s="516" t="n"/>
      <c r="F951" s="516" t="n"/>
      <c r="G951" s="516" t="n"/>
      <c r="H951" s="516" t="n"/>
      <c r="I951" s="516" t="n"/>
      <c r="J951" s="516" t="n"/>
      <c r="K951" s="516" t="n"/>
    </row>
    <row r="952">
      <c r="A952" s="516" t="n"/>
      <c r="B952" s="516" t="n"/>
      <c r="C952" s="516" t="n"/>
      <c r="D952" s="516" t="n"/>
      <c r="E952" s="516" t="n"/>
      <c r="F952" s="516" t="n"/>
      <c r="G952" s="516" t="n"/>
      <c r="H952" s="516" t="n"/>
      <c r="I952" s="516" t="n"/>
      <c r="J952" s="516" t="n"/>
      <c r="K952" s="516" t="n"/>
    </row>
    <row r="953">
      <c r="A953" s="516" t="n"/>
      <c r="B953" s="516" t="n"/>
      <c r="C953" s="516" t="n"/>
      <c r="D953" s="516" t="n"/>
      <c r="E953" s="516" t="n"/>
      <c r="F953" s="516" t="n"/>
      <c r="G953" s="516" t="n"/>
      <c r="H953" s="516" t="n"/>
      <c r="I953" s="516" t="n"/>
      <c r="J953" s="516" t="n"/>
      <c r="K953" s="516" t="n"/>
    </row>
    <row r="954">
      <c r="A954" s="516" t="n"/>
      <c r="B954" s="516" t="n"/>
      <c r="C954" s="516" t="n"/>
      <c r="D954" s="516" t="n"/>
      <c r="E954" s="516" t="n"/>
      <c r="F954" s="516" t="n"/>
      <c r="G954" s="516" t="n"/>
      <c r="H954" s="516" t="n"/>
      <c r="I954" s="516" t="n"/>
      <c r="J954" s="516" t="n"/>
      <c r="K954" s="516" t="n"/>
    </row>
    <row r="955">
      <c r="A955" s="516" t="n"/>
      <c r="B955" s="516" t="n"/>
      <c r="C955" s="516" t="n"/>
      <c r="D955" s="516" t="n"/>
      <c r="E955" s="516" t="n"/>
      <c r="F955" s="516" t="n"/>
      <c r="G955" s="516" t="n"/>
      <c r="H955" s="516" t="n"/>
      <c r="I955" s="516" t="n"/>
      <c r="J955" s="516" t="n"/>
      <c r="K955" s="516" t="n"/>
    </row>
    <row r="956">
      <c r="A956" s="516" t="n"/>
      <c r="B956" s="516" t="n"/>
      <c r="C956" s="516" t="n"/>
      <c r="D956" s="516" t="n"/>
      <c r="E956" s="516" t="n"/>
      <c r="F956" s="516" t="n"/>
      <c r="G956" s="516" t="n"/>
      <c r="H956" s="516" t="n"/>
      <c r="I956" s="516" t="n"/>
      <c r="J956" s="516" t="n"/>
      <c r="K956" s="516" t="n"/>
    </row>
    <row r="957">
      <c r="A957" s="516" t="n"/>
      <c r="B957" s="516" t="n"/>
      <c r="C957" s="516" t="n"/>
      <c r="D957" s="516" t="n"/>
      <c r="E957" s="516" t="n"/>
      <c r="F957" s="516" t="n"/>
      <c r="G957" s="516" t="n"/>
      <c r="H957" s="516" t="n"/>
      <c r="I957" s="516" t="n"/>
      <c r="J957" s="516" t="n"/>
      <c r="K957" s="516" t="n"/>
    </row>
    <row r="958">
      <c r="A958" s="516" t="n"/>
      <c r="B958" s="516" t="n"/>
      <c r="C958" s="516" t="n"/>
      <c r="D958" s="516" t="n"/>
      <c r="E958" s="516" t="n"/>
      <c r="F958" s="516" t="n"/>
      <c r="G958" s="516" t="n"/>
      <c r="H958" s="516" t="n"/>
      <c r="I958" s="516" t="n"/>
      <c r="J958" s="516" t="n"/>
      <c r="K958" s="516" t="n"/>
    </row>
    <row r="959">
      <c r="A959" s="516" t="n"/>
      <c r="B959" s="516" t="n"/>
      <c r="C959" s="516" t="n"/>
      <c r="D959" s="516" t="n"/>
      <c r="E959" s="516" t="n"/>
      <c r="F959" s="516" t="n"/>
      <c r="G959" s="516" t="n"/>
      <c r="H959" s="516" t="n"/>
      <c r="I959" s="516" t="n"/>
      <c r="J959" s="516" t="n"/>
      <c r="K959" s="516" t="n"/>
    </row>
    <row r="960">
      <c r="A960" s="516" t="n"/>
      <c r="B960" s="516" t="n"/>
      <c r="C960" s="516" t="n"/>
      <c r="D960" s="516" t="n"/>
      <c r="E960" s="516" t="n"/>
      <c r="F960" s="516" t="n"/>
      <c r="G960" s="516" t="n"/>
      <c r="H960" s="516" t="n"/>
      <c r="I960" s="516" t="n"/>
      <c r="J960" s="516" t="n"/>
      <c r="K960" s="516" t="n"/>
    </row>
    <row r="961">
      <c r="A961" s="516" t="n"/>
      <c r="B961" s="516" t="n"/>
      <c r="C961" s="516" t="n"/>
      <c r="D961" s="516" t="n"/>
      <c r="E961" s="516" t="n"/>
      <c r="F961" s="516" t="n"/>
      <c r="G961" s="516" t="n"/>
      <c r="H961" s="516" t="n"/>
      <c r="I961" s="516" t="n"/>
      <c r="J961" s="516" t="n"/>
      <c r="K961" s="516" t="n"/>
    </row>
    <row r="962">
      <c r="A962" s="516" t="n"/>
      <c r="B962" s="516" t="n"/>
      <c r="C962" s="516" t="n"/>
      <c r="D962" s="516" t="n"/>
      <c r="E962" s="516" t="n"/>
      <c r="F962" s="516" t="n"/>
      <c r="G962" s="516" t="n"/>
      <c r="H962" s="516" t="n"/>
      <c r="I962" s="516" t="n"/>
      <c r="J962" s="516" t="n"/>
      <c r="K962" s="516" t="n"/>
    </row>
    <row r="963">
      <c r="A963" s="516" t="n"/>
      <c r="B963" s="516" t="n"/>
      <c r="C963" s="516" t="n"/>
      <c r="D963" s="516" t="n"/>
      <c r="E963" s="516" t="n"/>
      <c r="F963" s="516" t="n"/>
      <c r="G963" s="516" t="n"/>
      <c r="H963" s="516" t="n"/>
      <c r="I963" s="516" t="n"/>
      <c r="J963" s="516" t="n"/>
      <c r="K963" s="516" t="n"/>
    </row>
    <row r="964">
      <c r="A964" s="516" t="n"/>
      <c r="B964" s="516" t="n"/>
      <c r="C964" s="516" t="n"/>
      <c r="D964" s="516" t="n"/>
      <c r="E964" s="516" t="n"/>
      <c r="F964" s="516" t="n"/>
      <c r="G964" s="516" t="n"/>
      <c r="H964" s="516" t="n"/>
      <c r="I964" s="516" t="n"/>
      <c r="J964" s="516" t="n"/>
      <c r="K964" s="516" t="n"/>
    </row>
    <row r="965">
      <c r="A965" s="516" t="n"/>
      <c r="B965" s="516" t="n"/>
      <c r="C965" s="516" t="n"/>
      <c r="D965" s="516" t="n"/>
      <c r="E965" s="516" t="n"/>
      <c r="F965" s="516" t="n"/>
      <c r="G965" s="516" t="n"/>
      <c r="H965" s="516" t="n"/>
      <c r="I965" s="516" t="n"/>
      <c r="J965" s="516" t="n"/>
      <c r="K965" s="516" t="n"/>
    </row>
    <row r="966">
      <c r="A966" s="516" t="n"/>
      <c r="B966" s="516" t="n"/>
      <c r="C966" s="516" t="n"/>
      <c r="D966" s="516" t="n"/>
      <c r="E966" s="516" t="n"/>
      <c r="F966" s="516" t="n"/>
      <c r="G966" s="516" t="n"/>
      <c r="H966" s="516" t="n"/>
      <c r="I966" s="516" t="n"/>
      <c r="J966" s="516" t="n"/>
      <c r="K966" s="516" t="n"/>
    </row>
    <row r="967">
      <c r="A967" s="516" t="n"/>
      <c r="B967" s="516" t="n"/>
      <c r="C967" s="516" t="n"/>
      <c r="D967" s="516" t="n"/>
      <c r="E967" s="516" t="n"/>
      <c r="F967" s="516" t="n"/>
      <c r="G967" s="516" t="n"/>
      <c r="H967" s="516" t="n"/>
      <c r="I967" s="516" t="n"/>
      <c r="J967" s="516" t="n"/>
      <c r="K967" s="516" t="n"/>
    </row>
    <row r="968">
      <c r="A968" s="516" t="n"/>
      <c r="B968" s="516" t="n"/>
      <c r="C968" s="516" t="n"/>
      <c r="D968" s="516" t="n"/>
      <c r="E968" s="516" t="n"/>
      <c r="F968" s="516" t="n"/>
      <c r="G968" s="516" t="n"/>
      <c r="H968" s="516" t="n"/>
      <c r="I968" s="516" t="n"/>
      <c r="J968" s="516" t="n"/>
      <c r="K968" s="516" t="n"/>
    </row>
    <row r="969">
      <c r="A969" s="516" t="n"/>
      <c r="B969" s="516" t="n"/>
      <c r="C969" s="516" t="n"/>
      <c r="D969" s="516" t="n"/>
      <c r="E969" s="516" t="n"/>
      <c r="F969" s="516" t="n"/>
      <c r="G969" s="516" t="n"/>
      <c r="H969" s="516" t="n"/>
      <c r="I969" s="516" t="n"/>
      <c r="J969" s="516" t="n"/>
      <c r="K969" s="516" t="n"/>
    </row>
    <row r="970">
      <c r="A970" s="516" t="n"/>
      <c r="B970" s="516" t="n"/>
      <c r="C970" s="516" t="n"/>
      <c r="D970" s="516" t="n"/>
      <c r="E970" s="516" t="n"/>
      <c r="F970" s="516" t="n"/>
      <c r="G970" s="516" t="n"/>
      <c r="H970" s="516" t="n"/>
      <c r="I970" s="516" t="n"/>
      <c r="J970" s="516" t="n"/>
      <c r="K970" s="516" t="n"/>
    </row>
    <row r="971">
      <c r="A971" s="516" t="n"/>
      <c r="B971" s="516" t="n"/>
      <c r="C971" s="516" t="n"/>
      <c r="D971" s="516" t="n"/>
      <c r="E971" s="516" t="n"/>
      <c r="F971" s="516" t="n"/>
      <c r="G971" s="516" t="n"/>
      <c r="H971" s="516" t="n"/>
      <c r="I971" s="516" t="n"/>
      <c r="J971" s="516" t="n"/>
      <c r="K971" s="516" t="n"/>
    </row>
    <row r="972">
      <c r="A972" s="516" t="n"/>
      <c r="B972" s="516" t="n"/>
      <c r="C972" s="516" t="n"/>
      <c r="D972" s="516" t="n"/>
      <c r="E972" s="516" t="n"/>
      <c r="F972" s="516" t="n"/>
      <c r="G972" s="516" t="n"/>
      <c r="H972" s="516" t="n"/>
      <c r="I972" s="516" t="n"/>
      <c r="J972" s="516" t="n"/>
      <c r="K972" s="516" t="n"/>
    </row>
    <row r="973">
      <c r="A973" s="516" t="n"/>
      <c r="B973" s="516" t="n"/>
      <c r="C973" s="516" t="n"/>
      <c r="D973" s="516" t="n"/>
      <c r="E973" s="516" t="n"/>
      <c r="F973" s="516" t="n"/>
      <c r="G973" s="516" t="n"/>
      <c r="H973" s="516" t="n"/>
      <c r="I973" s="516" t="n"/>
      <c r="J973" s="516" t="n"/>
      <c r="K973" s="516" t="n"/>
    </row>
    <row r="974">
      <c r="A974" s="516" t="n"/>
      <c r="B974" s="516" t="n"/>
      <c r="C974" s="516" t="n"/>
      <c r="D974" s="516" t="n"/>
      <c r="E974" s="516" t="n"/>
      <c r="F974" s="516" t="n"/>
      <c r="G974" s="516" t="n"/>
      <c r="H974" s="516" t="n"/>
      <c r="I974" s="516" t="n"/>
      <c r="J974" s="516" t="n"/>
      <c r="K974" s="516" t="n"/>
    </row>
    <row r="975">
      <c r="A975" s="516" t="n"/>
      <c r="B975" s="516" t="n"/>
      <c r="C975" s="516" t="n"/>
      <c r="D975" s="516" t="n"/>
      <c r="E975" s="516" t="n"/>
      <c r="F975" s="516" t="n"/>
      <c r="G975" s="516" t="n"/>
      <c r="H975" s="516" t="n"/>
      <c r="I975" s="516" t="n"/>
      <c r="J975" s="516" t="n"/>
      <c r="K975" s="516" t="n"/>
    </row>
    <row r="976">
      <c r="A976" s="516" t="n"/>
      <c r="B976" s="516" t="n"/>
      <c r="C976" s="516" t="n"/>
      <c r="D976" s="516" t="n"/>
      <c r="E976" s="516" t="n"/>
      <c r="F976" s="516" t="n"/>
      <c r="G976" s="516" t="n"/>
      <c r="H976" s="516" t="n"/>
      <c r="I976" s="516" t="n"/>
      <c r="J976" s="516" t="n"/>
      <c r="K976" s="516" t="n"/>
    </row>
    <row r="977">
      <c r="A977" s="516" t="n"/>
      <c r="B977" s="516" t="n"/>
      <c r="C977" s="516" t="n"/>
      <c r="D977" s="516" t="n"/>
      <c r="E977" s="516" t="n"/>
      <c r="F977" s="516" t="n"/>
      <c r="G977" s="516" t="n"/>
      <c r="H977" s="516" t="n"/>
      <c r="I977" s="516" t="n"/>
      <c r="J977" s="516" t="n"/>
      <c r="K977" s="516" t="n"/>
    </row>
    <row r="978">
      <c r="A978" s="516" t="n"/>
      <c r="B978" s="516" t="n"/>
      <c r="C978" s="516" t="n"/>
      <c r="D978" s="516" t="n"/>
      <c r="E978" s="516" t="n"/>
      <c r="F978" s="516" t="n"/>
      <c r="G978" s="516" t="n"/>
      <c r="H978" s="516" t="n"/>
      <c r="I978" s="516" t="n"/>
      <c r="J978" s="516" t="n"/>
      <c r="K978" s="516" t="n"/>
    </row>
    <row r="979">
      <c r="A979" s="516" t="n"/>
      <c r="B979" s="516" t="n"/>
      <c r="C979" s="516" t="n"/>
      <c r="D979" s="516" t="n"/>
      <c r="E979" s="516" t="n"/>
      <c r="F979" s="516" t="n"/>
      <c r="G979" s="516" t="n"/>
      <c r="H979" s="516" t="n"/>
      <c r="I979" s="516" t="n"/>
      <c r="J979" s="516" t="n"/>
      <c r="K979" s="516" t="n"/>
    </row>
    <row r="980">
      <c r="A980" s="516" t="n"/>
      <c r="B980" s="516" t="n"/>
      <c r="C980" s="516" t="n"/>
      <c r="D980" s="516" t="n"/>
      <c r="E980" s="516" t="n"/>
      <c r="F980" s="516" t="n"/>
      <c r="G980" s="516" t="n"/>
      <c r="H980" s="516" t="n"/>
      <c r="I980" s="516" t="n"/>
      <c r="J980" s="516" t="n"/>
      <c r="K980" s="516" t="n"/>
    </row>
    <row r="981">
      <c r="A981" s="516" t="n"/>
      <c r="B981" s="516" t="n"/>
      <c r="C981" s="516" t="n"/>
      <c r="D981" s="516" t="n"/>
      <c r="E981" s="516" t="n"/>
      <c r="F981" s="516" t="n"/>
      <c r="G981" s="516" t="n"/>
      <c r="H981" s="516" t="n"/>
      <c r="I981" s="516" t="n"/>
      <c r="J981" s="516" t="n"/>
      <c r="K981" s="516" t="n"/>
    </row>
    <row r="982">
      <c r="A982" s="516" t="n"/>
      <c r="B982" s="516" t="n"/>
      <c r="C982" s="516" t="n"/>
      <c r="D982" s="516" t="n"/>
      <c r="E982" s="516" t="n"/>
      <c r="F982" s="516" t="n"/>
      <c r="G982" s="516" t="n"/>
      <c r="H982" s="516" t="n"/>
      <c r="I982" s="516" t="n"/>
      <c r="J982" s="516" t="n"/>
      <c r="K982" s="516" t="n"/>
    </row>
    <row r="983">
      <c r="A983" s="516" t="n"/>
      <c r="B983" s="516" t="n"/>
      <c r="C983" s="516" t="n"/>
      <c r="D983" s="516" t="n"/>
      <c r="E983" s="516" t="n"/>
      <c r="F983" s="516" t="n"/>
      <c r="G983" s="516" t="n"/>
      <c r="H983" s="516" t="n"/>
      <c r="I983" s="516" t="n"/>
      <c r="J983" s="516" t="n"/>
      <c r="K983" s="516" t="n"/>
    </row>
    <row r="984">
      <c r="A984" s="516" t="n"/>
      <c r="B984" s="516" t="n"/>
      <c r="C984" s="516" t="n"/>
      <c r="D984" s="516" t="n"/>
      <c r="E984" s="516" t="n"/>
      <c r="F984" s="516" t="n"/>
      <c r="G984" s="516" t="n"/>
      <c r="H984" s="516" t="n"/>
      <c r="I984" s="516" t="n"/>
      <c r="J984" s="516" t="n"/>
      <c r="K984" s="516" t="n"/>
    </row>
    <row r="985">
      <c r="A985" s="516" t="n"/>
      <c r="B985" s="516" t="n"/>
      <c r="C985" s="516" t="n"/>
      <c r="D985" s="516" t="n"/>
      <c r="E985" s="516" t="n"/>
      <c r="F985" s="516" t="n"/>
      <c r="G985" s="516" t="n"/>
      <c r="H985" s="516" t="n"/>
      <c r="I985" s="516" t="n"/>
      <c r="J985" s="516" t="n"/>
      <c r="K985" s="516" t="n"/>
    </row>
    <row r="986">
      <c r="A986" s="516" t="n"/>
      <c r="B986" s="516" t="n"/>
      <c r="C986" s="516" t="n"/>
      <c r="D986" s="516" t="n"/>
      <c r="E986" s="516" t="n"/>
      <c r="F986" s="516" t="n"/>
      <c r="G986" s="516" t="n"/>
      <c r="H986" s="516" t="n"/>
      <c r="I986" s="516" t="n"/>
      <c r="J986" s="516" t="n"/>
      <c r="K986" s="516" t="n"/>
    </row>
    <row r="987">
      <c r="A987" s="516" t="n"/>
      <c r="B987" s="516" t="n"/>
      <c r="C987" s="516" t="n"/>
      <c r="D987" s="516" t="n"/>
      <c r="E987" s="516" t="n"/>
      <c r="F987" s="516" t="n"/>
      <c r="G987" s="516" t="n"/>
      <c r="H987" s="516" t="n"/>
      <c r="I987" s="516" t="n"/>
      <c r="J987" s="516" t="n"/>
      <c r="K987" s="516" t="n"/>
    </row>
    <row r="988">
      <c r="A988" s="516" t="n"/>
      <c r="B988" s="516" t="n"/>
      <c r="C988" s="516" t="n"/>
      <c r="D988" s="516" t="n"/>
      <c r="E988" s="516" t="n"/>
      <c r="F988" s="516" t="n"/>
      <c r="G988" s="516" t="n"/>
      <c r="H988" s="516" t="n"/>
      <c r="I988" s="516" t="n"/>
      <c r="J988" s="516" t="n"/>
      <c r="K988" s="516" t="n"/>
    </row>
    <row r="989">
      <c r="A989" s="516" t="n"/>
      <c r="B989" s="516" t="n"/>
      <c r="C989" s="516" t="n"/>
      <c r="D989" s="516" t="n"/>
      <c r="E989" s="516" t="n"/>
      <c r="F989" s="516" t="n"/>
      <c r="G989" s="516" t="n"/>
      <c r="H989" s="516" t="n"/>
      <c r="I989" s="516" t="n"/>
      <c r="J989" s="516" t="n"/>
      <c r="K989" s="516" t="n"/>
    </row>
    <row r="990">
      <c r="A990" s="516" t="n"/>
      <c r="B990" s="516" t="n"/>
      <c r="C990" s="516" t="n"/>
      <c r="D990" s="516" t="n"/>
      <c r="E990" s="516" t="n"/>
      <c r="F990" s="516" t="n"/>
      <c r="G990" s="516" t="n"/>
      <c r="H990" s="516" t="n"/>
      <c r="I990" s="516" t="n"/>
      <c r="J990" s="516" t="n"/>
      <c r="K990" s="516" t="n"/>
    </row>
    <row r="991">
      <c r="A991" s="516" t="n"/>
      <c r="B991" s="516" t="n"/>
      <c r="C991" s="516" t="n"/>
      <c r="D991" s="516" t="n"/>
      <c r="E991" s="516" t="n"/>
      <c r="F991" s="516" t="n"/>
      <c r="G991" s="516" t="n"/>
      <c r="H991" s="516" t="n"/>
      <c r="I991" s="516" t="n"/>
      <c r="J991" s="516" t="n"/>
      <c r="K991" s="516" t="n"/>
    </row>
    <row r="992">
      <c r="A992" s="516" t="n"/>
      <c r="B992" s="516" t="n"/>
      <c r="C992" s="516" t="n"/>
      <c r="D992" s="516" t="n"/>
      <c r="E992" s="516" t="n"/>
      <c r="F992" s="516" t="n"/>
      <c r="G992" s="516" t="n"/>
      <c r="H992" s="516" t="n"/>
      <c r="I992" s="516" t="n"/>
      <c r="J992" s="516" t="n"/>
      <c r="K992" s="516" t="n"/>
    </row>
    <row r="993">
      <c r="A993" s="516" t="n"/>
      <c r="B993" s="516" t="n"/>
      <c r="C993" s="516" t="n"/>
      <c r="D993" s="516" t="n"/>
      <c r="E993" s="516" t="n"/>
      <c r="F993" s="516" t="n"/>
      <c r="G993" s="516" t="n"/>
      <c r="H993" s="516" t="n"/>
      <c r="I993" s="516" t="n"/>
      <c r="J993" s="516" t="n"/>
      <c r="K993" s="516" t="n"/>
    </row>
    <row r="994">
      <c r="A994" s="516" t="n"/>
      <c r="B994" s="516" t="n"/>
      <c r="C994" s="516" t="n"/>
      <c r="D994" s="516" t="n"/>
      <c r="E994" s="516" t="n"/>
      <c r="F994" s="516" t="n"/>
      <c r="G994" s="516" t="n"/>
      <c r="H994" s="516" t="n"/>
      <c r="I994" s="516" t="n"/>
      <c r="J994" s="516" t="n"/>
      <c r="K994" s="516" t="n"/>
    </row>
    <row r="995">
      <c r="A995" s="516" t="n"/>
      <c r="B995" s="516" t="n"/>
      <c r="C995" s="516" t="n"/>
      <c r="D995" s="516" t="n"/>
      <c r="E995" s="516" t="n"/>
      <c r="F995" s="516" t="n"/>
      <c r="G995" s="516" t="n"/>
      <c r="H995" s="516" t="n"/>
      <c r="I995" s="516" t="n"/>
      <c r="J995" s="516" t="n"/>
      <c r="K995" s="516" t="n"/>
    </row>
    <row r="996">
      <c r="A996" s="516" t="n"/>
      <c r="B996" s="516" t="n"/>
      <c r="C996" s="516" t="n"/>
      <c r="D996" s="516" t="n"/>
      <c r="E996" s="516" t="n"/>
      <c r="F996" s="516" t="n"/>
      <c r="G996" s="516" t="n"/>
      <c r="H996" s="516" t="n"/>
      <c r="I996" s="516" t="n"/>
      <c r="J996" s="516" t="n"/>
      <c r="K996" s="516" t="n"/>
    </row>
    <row r="997">
      <c r="A997" s="516" t="n"/>
      <c r="B997" s="516" t="n"/>
      <c r="C997" s="516" t="n"/>
      <c r="D997" s="516" t="n"/>
      <c r="E997" s="516" t="n"/>
      <c r="F997" s="516" t="n"/>
      <c r="G997" s="516" t="n"/>
      <c r="H997" s="516" t="n"/>
      <c r="I997" s="516" t="n"/>
      <c r="J997" s="516" t="n"/>
      <c r="K997" s="516" t="n"/>
    </row>
    <row r="998">
      <c r="A998" s="516" t="n"/>
      <c r="B998" s="516" t="n"/>
      <c r="C998" s="516" t="n"/>
      <c r="D998" s="516" t="n"/>
      <c r="E998" s="516" t="n"/>
      <c r="F998" s="516" t="n"/>
      <c r="G998" s="516" t="n"/>
      <c r="H998" s="516" t="n"/>
      <c r="I998" s="516" t="n"/>
      <c r="J998" s="516" t="n"/>
      <c r="K998" s="516" t="n"/>
    </row>
    <row r="999">
      <c r="A999" s="516" t="n"/>
      <c r="B999" s="516" t="n"/>
      <c r="C999" s="516" t="n"/>
      <c r="D999" s="516" t="n"/>
      <c r="E999" s="516" t="n"/>
      <c r="F999" s="516" t="n"/>
      <c r="G999" s="516" t="n"/>
      <c r="H999" s="516" t="n"/>
      <c r="I999" s="516" t="n"/>
      <c r="J999" s="516" t="n"/>
      <c r="K999" s="516" t="n"/>
    </row>
    <row r="1000">
      <c r="A1000" s="516" t="n"/>
      <c r="B1000" s="516" t="n"/>
      <c r="C1000" s="516" t="n"/>
      <c r="D1000" s="516" t="n"/>
      <c r="E1000" s="516" t="n"/>
      <c r="F1000" s="516" t="n"/>
      <c r="G1000" s="516" t="n"/>
      <c r="H1000" s="516" t="n"/>
      <c r="I1000" s="516" t="n"/>
      <c r="J1000" s="516" t="n"/>
      <c r="K1000" s="516" t="n"/>
    </row>
    <row r="1001">
      <c r="A1001" s="516" t="n"/>
      <c r="B1001" s="516" t="n"/>
      <c r="C1001" s="516" t="n"/>
      <c r="D1001" s="516" t="n"/>
      <c r="E1001" s="516" t="n"/>
      <c r="F1001" s="516" t="n"/>
      <c r="G1001" s="516" t="n"/>
      <c r="H1001" s="516" t="n"/>
      <c r="I1001" s="516" t="n"/>
      <c r="J1001" s="516" t="n"/>
      <c r="K1001" s="516" t="n"/>
    </row>
    <row r="1002">
      <c r="A1002" s="516" t="n"/>
      <c r="B1002" s="516" t="n"/>
      <c r="C1002" s="516" t="n"/>
      <c r="D1002" s="516" t="n"/>
      <c r="E1002" s="516" t="n"/>
      <c r="F1002" s="516" t="n"/>
      <c r="G1002" s="516" t="n"/>
      <c r="H1002" s="516" t="n"/>
      <c r="I1002" s="516" t="n"/>
      <c r="J1002" s="516" t="n"/>
      <c r="K1002" s="516" t="n"/>
    </row>
    <row r="1003">
      <c r="A1003" s="516" t="n"/>
      <c r="B1003" s="516" t="n"/>
      <c r="C1003" s="516" t="n"/>
      <c r="D1003" s="516" t="n"/>
      <c r="E1003" s="516" t="n"/>
      <c r="F1003" s="516" t="n"/>
      <c r="G1003" s="516" t="n"/>
      <c r="H1003" s="516" t="n"/>
      <c r="I1003" s="516" t="n"/>
      <c r="J1003" s="516" t="n"/>
      <c r="K1003" s="516" t="n"/>
    </row>
    <row r="1004">
      <c r="A1004" s="516" t="n"/>
      <c r="B1004" s="516" t="n"/>
      <c r="C1004" s="516" t="n"/>
      <c r="D1004" s="516" t="n"/>
      <c r="E1004" s="516" t="n"/>
      <c r="F1004" s="516" t="n"/>
      <c r="G1004" s="516" t="n"/>
      <c r="H1004" s="516" t="n"/>
      <c r="I1004" s="516" t="n"/>
      <c r="J1004" s="516" t="n"/>
      <c r="K1004" s="516" t="n"/>
    </row>
    <row r="1005">
      <c r="A1005" s="516" t="n"/>
      <c r="B1005" s="516" t="n"/>
      <c r="C1005" s="516" t="n"/>
      <c r="D1005" s="516" t="n"/>
      <c r="E1005" s="516" t="n"/>
      <c r="F1005" s="516" t="n"/>
      <c r="G1005" s="516" t="n"/>
      <c r="H1005" s="516" t="n"/>
      <c r="I1005" s="516" t="n"/>
      <c r="J1005" s="516" t="n"/>
      <c r="K1005" s="516" t="n"/>
    </row>
    <row r="1006">
      <c r="A1006" s="516" t="n"/>
      <c r="B1006" s="516" t="n"/>
      <c r="C1006" s="516" t="n"/>
      <c r="D1006" s="516" t="n"/>
      <c r="E1006" s="516" t="n"/>
      <c r="F1006" s="516" t="n"/>
      <c r="G1006" s="516" t="n"/>
      <c r="H1006" s="516" t="n"/>
      <c r="I1006" s="516" t="n"/>
      <c r="J1006" s="516" t="n"/>
      <c r="K1006" s="516" t="n"/>
    </row>
    <row r="1007">
      <c r="A1007" s="516" t="n"/>
      <c r="B1007" s="516" t="n"/>
      <c r="C1007" s="516" t="n"/>
      <c r="D1007" s="516" t="n"/>
      <c r="E1007" s="516" t="n"/>
      <c r="F1007" s="516" t="n"/>
      <c r="G1007" s="516" t="n"/>
      <c r="H1007" s="516" t="n"/>
      <c r="I1007" s="516" t="n"/>
      <c r="J1007" s="516" t="n"/>
      <c r="K1007" s="516" t="n"/>
    </row>
    <row r="1008">
      <c r="A1008" s="516" t="n"/>
      <c r="B1008" s="516" t="n"/>
      <c r="C1008" s="516" t="n"/>
      <c r="D1008" s="516" t="n"/>
      <c r="E1008" s="516" t="n"/>
      <c r="F1008" s="516" t="n"/>
      <c r="G1008" s="516" t="n"/>
      <c r="H1008" s="516" t="n"/>
      <c r="I1008" s="516" t="n"/>
      <c r="J1008" s="516" t="n"/>
      <c r="K1008" s="516" t="n"/>
    </row>
    <row r="1009">
      <c r="A1009" s="516" t="n"/>
      <c r="B1009" s="516" t="n"/>
      <c r="C1009" s="516" t="n"/>
      <c r="D1009" s="516" t="n"/>
      <c r="E1009" s="516" t="n"/>
      <c r="F1009" s="516" t="n"/>
      <c r="G1009" s="516" t="n"/>
      <c r="H1009" s="516" t="n"/>
      <c r="I1009" s="516" t="n"/>
      <c r="J1009" s="516" t="n"/>
      <c r="K1009" s="516" t="n"/>
    </row>
    <row r="1010">
      <c r="A1010" s="516" t="n"/>
      <c r="B1010" s="516" t="n"/>
      <c r="C1010" s="516" t="n"/>
      <c r="D1010" s="516" t="n"/>
      <c r="E1010" s="516" t="n"/>
      <c r="F1010" s="516" t="n"/>
      <c r="G1010" s="516" t="n"/>
      <c r="H1010" s="516" t="n"/>
      <c r="I1010" s="516" t="n"/>
      <c r="J1010" s="516" t="n"/>
      <c r="K1010" s="516" t="n"/>
    </row>
    <row r="1011">
      <c r="A1011" s="516" t="n"/>
      <c r="B1011" s="516" t="n"/>
      <c r="C1011" s="516" t="n"/>
      <c r="D1011" s="516" t="n"/>
      <c r="E1011" s="516" t="n"/>
      <c r="F1011" s="516" t="n"/>
      <c r="G1011" s="516" t="n"/>
      <c r="H1011" s="516" t="n"/>
      <c r="I1011" s="516" t="n"/>
      <c r="J1011" s="516" t="n"/>
      <c r="K1011" s="516" t="n"/>
    </row>
    <row r="1012">
      <c r="A1012" s="516" t="n"/>
      <c r="B1012" s="516" t="n"/>
      <c r="C1012" s="516" t="n"/>
      <c r="D1012" s="516" t="n"/>
      <c r="E1012" s="516" t="n"/>
      <c r="F1012" s="516" t="n"/>
      <c r="G1012" s="516" t="n"/>
      <c r="H1012" s="516" t="n"/>
      <c r="I1012" s="516" t="n"/>
      <c r="J1012" s="516" t="n"/>
      <c r="K1012" s="516" t="n"/>
    </row>
    <row r="1013">
      <c r="A1013" s="516" t="n"/>
      <c r="B1013" s="516" t="n"/>
      <c r="C1013" s="516" t="n"/>
      <c r="D1013" s="516" t="n"/>
      <c r="E1013" s="516" t="n"/>
      <c r="F1013" s="516" t="n"/>
      <c r="G1013" s="516" t="n"/>
      <c r="H1013" s="516" t="n"/>
      <c r="I1013" s="516" t="n"/>
      <c r="J1013" s="516" t="n"/>
      <c r="K1013" s="516" t="n"/>
    </row>
    <row r="1014">
      <c r="A1014" s="516" t="n"/>
      <c r="B1014" s="516" t="n"/>
      <c r="C1014" s="516" t="n"/>
      <c r="D1014" s="516" t="n"/>
      <c r="E1014" s="516" t="n"/>
      <c r="F1014" s="516" t="n"/>
      <c r="G1014" s="516" t="n"/>
      <c r="H1014" s="516" t="n"/>
      <c r="I1014" s="516" t="n"/>
      <c r="J1014" s="516" t="n"/>
      <c r="K1014" s="516" t="n"/>
    </row>
    <row r="1015">
      <c r="A1015" s="516" t="n"/>
      <c r="B1015" s="516" t="n"/>
      <c r="C1015" s="516" t="n"/>
      <c r="D1015" s="516" t="n"/>
      <c r="E1015" s="516" t="n"/>
      <c r="F1015" s="516" t="n"/>
      <c r="G1015" s="516" t="n"/>
      <c r="H1015" s="516" t="n"/>
      <c r="I1015" s="516" t="n"/>
      <c r="J1015" s="516" t="n"/>
      <c r="K1015" s="516" t="n"/>
    </row>
    <row r="1016">
      <c r="A1016" s="516" t="n"/>
      <c r="B1016" s="516" t="n"/>
      <c r="C1016" s="516" t="n"/>
      <c r="D1016" s="516" t="n"/>
      <c r="E1016" s="516" t="n"/>
      <c r="F1016" s="516" t="n"/>
      <c r="G1016" s="516" t="n"/>
      <c r="H1016" s="516" t="n"/>
      <c r="I1016" s="516" t="n"/>
      <c r="J1016" s="516" t="n"/>
      <c r="K1016" s="516" t="n"/>
    </row>
    <row r="1017">
      <c r="A1017" s="516" t="n"/>
      <c r="B1017" s="516" t="n"/>
      <c r="C1017" s="516" t="n"/>
      <c r="D1017" s="516" t="n"/>
      <c r="E1017" s="516" t="n"/>
      <c r="F1017" s="516" t="n"/>
      <c r="G1017" s="516" t="n"/>
      <c r="H1017" s="516" t="n"/>
      <c r="I1017" s="516" t="n"/>
      <c r="J1017" s="516" t="n"/>
      <c r="K1017" s="516" t="n"/>
    </row>
    <row r="1018">
      <c r="A1018" s="516" t="n"/>
      <c r="B1018" s="516" t="n"/>
      <c r="C1018" s="516" t="n"/>
      <c r="D1018" s="516" t="n"/>
      <c r="E1018" s="516" t="n"/>
      <c r="F1018" s="516" t="n"/>
      <c r="G1018" s="516" t="n"/>
      <c r="H1018" s="516" t="n"/>
      <c r="I1018" s="516" t="n"/>
      <c r="J1018" s="516" t="n"/>
      <c r="K1018" s="516" t="n"/>
    </row>
    <row r="1019">
      <c r="A1019" s="516" t="n"/>
      <c r="B1019" s="516" t="n"/>
      <c r="C1019" s="516" t="n"/>
      <c r="D1019" s="516" t="n"/>
      <c r="E1019" s="516" t="n"/>
      <c r="F1019" s="516" t="n"/>
      <c r="G1019" s="516" t="n"/>
      <c r="H1019" s="516" t="n"/>
      <c r="I1019" s="516" t="n"/>
      <c r="J1019" s="516" t="n"/>
      <c r="K1019" s="516" t="n"/>
    </row>
    <row r="1020">
      <c r="A1020" s="516" t="n"/>
      <c r="B1020" s="516" t="n"/>
      <c r="C1020" s="516" t="n"/>
      <c r="D1020" s="516" t="n"/>
      <c r="E1020" s="516" t="n"/>
      <c r="F1020" s="516" t="n"/>
      <c r="G1020" s="516" t="n"/>
      <c r="H1020" s="516" t="n"/>
      <c r="I1020" s="516" t="n"/>
      <c r="J1020" s="516" t="n"/>
      <c r="K1020" s="516" t="n"/>
    </row>
    <row r="1021">
      <c r="A1021" s="516" t="n"/>
      <c r="B1021" s="516" t="n"/>
      <c r="C1021" s="516" t="n"/>
      <c r="D1021" s="516" t="n"/>
      <c r="E1021" s="516" t="n"/>
      <c r="F1021" s="516" t="n"/>
      <c r="G1021" s="516" t="n"/>
      <c r="H1021" s="516" t="n"/>
      <c r="I1021" s="516" t="n"/>
      <c r="J1021" s="516" t="n"/>
      <c r="K1021" s="516" t="n"/>
    </row>
    <row r="1022">
      <c r="A1022" s="516" t="n"/>
      <c r="B1022" s="516" t="n"/>
      <c r="C1022" s="516" t="n"/>
      <c r="D1022" s="516" t="n"/>
      <c r="E1022" s="516" t="n"/>
      <c r="F1022" s="516" t="n"/>
      <c r="G1022" s="516" t="n"/>
      <c r="H1022" s="516" t="n"/>
      <c r="I1022" s="516" t="n"/>
      <c r="J1022" s="516" t="n"/>
      <c r="K1022" s="516" t="n"/>
    </row>
    <row r="1023">
      <c r="A1023" s="516" t="n"/>
      <c r="B1023" s="516" t="n"/>
      <c r="C1023" s="516" t="n"/>
      <c r="D1023" s="516" t="n"/>
      <c r="E1023" s="516" t="n"/>
      <c r="F1023" s="516" t="n"/>
      <c r="G1023" s="516" t="n"/>
      <c r="H1023" s="516" t="n"/>
      <c r="I1023" s="516" t="n"/>
      <c r="J1023" s="516" t="n"/>
      <c r="K1023" s="516" t="n"/>
    </row>
    <row r="1024">
      <c r="A1024" s="516" t="n"/>
      <c r="B1024" s="516" t="n"/>
      <c r="C1024" s="516" t="n"/>
      <c r="D1024" s="516" t="n"/>
      <c r="E1024" s="516" t="n"/>
      <c r="F1024" s="516" t="n"/>
      <c r="G1024" s="516" t="n"/>
      <c r="H1024" s="516" t="n"/>
      <c r="I1024" s="516" t="n"/>
      <c r="J1024" s="516" t="n"/>
      <c r="K1024" s="516" t="n"/>
    </row>
    <row r="1025">
      <c r="A1025" s="516" t="n"/>
      <c r="B1025" s="516" t="n"/>
      <c r="C1025" s="516" t="n"/>
      <c r="D1025" s="516" t="n"/>
      <c r="E1025" s="516" t="n"/>
      <c r="F1025" s="516" t="n"/>
      <c r="G1025" s="516" t="n"/>
      <c r="H1025" s="516" t="n"/>
      <c r="I1025" s="516" t="n"/>
      <c r="J1025" s="516" t="n"/>
      <c r="K1025" s="516" t="n"/>
    </row>
    <row r="1026">
      <c r="A1026" s="516" t="n"/>
      <c r="B1026" s="516" t="n"/>
      <c r="C1026" s="516" t="n"/>
      <c r="D1026" s="516" t="n"/>
      <c r="E1026" s="516" t="n"/>
      <c r="F1026" s="516" t="n"/>
      <c r="G1026" s="516" t="n"/>
      <c r="H1026" s="516" t="n"/>
      <c r="I1026" s="516" t="n"/>
      <c r="J1026" s="516" t="n"/>
      <c r="K1026" s="516" t="n"/>
    </row>
    <row r="1027">
      <c r="A1027" s="516" t="n"/>
      <c r="B1027" s="516" t="n"/>
      <c r="C1027" s="516" t="n"/>
      <c r="D1027" s="516" t="n"/>
      <c r="E1027" s="516" t="n"/>
      <c r="F1027" s="516" t="n"/>
      <c r="G1027" s="516" t="n"/>
      <c r="H1027" s="516" t="n"/>
      <c r="I1027" s="516" t="n"/>
      <c r="J1027" s="516" t="n"/>
      <c r="K1027" s="516" t="n"/>
    </row>
    <row r="1028">
      <c r="A1028" s="516" t="n"/>
      <c r="B1028" s="516" t="n"/>
      <c r="C1028" s="516" t="n"/>
      <c r="D1028" s="516" t="n"/>
      <c r="E1028" s="516" t="n"/>
      <c r="F1028" s="516" t="n"/>
      <c r="G1028" s="516" t="n"/>
      <c r="H1028" s="516" t="n"/>
      <c r="I1028" s="516" t="n"/>
      <c r="J1028" s="516" t="n"/>
      <c r="K1028" s="516" t="n"/>
    </row>
    <row r="1029">
      <c r="A1029" s="516" t="n"/>
      <c r="B1029" s="516" t="n"/>
      <c r="C1029" s="516" t="n"/>
      <c r="D1029" s="516" t="n"/>
      <c r="E1029" s="516" t="n"/>
      <c r="F1029" s="516" t="n"/>
      <c r="G1029" s="516" t="n"/>
      <c r="H1029" s="516" t="n"/>
      <c r="I1029" s="516" t="n"/>
      <c r="J1029" s="516" t="n"/>
      <c r="K1029" s="516" t="n"/>
    </row>
    <row r="1030">
      <c r="A1030" s="516" t="n"/>
      <c r="B1030" s="516" t="n"/>
      <c r="C1030" s="516" t="n"/>
      <c r="D1030" s="516" t="n"/>
      <c r="E1030" s="516" t="n"/>
      <c r="F1030" s="516" t="n"/>
      <c r="G1030" s="516" t="n"/>
      <c r="H1030" s="516" t="n"/>
      <c r="I1030" s="516" t="n"/>
      <c r="J1030" s="516" t="n"/>
      <c r="K1030" s="516" t="n"/>
    </row>
    <row r="1031">
      <c r="A1031" s="516" t="n"/>
      <c r="B1031" s="516" t="n"/>
      <c r="C1031" s="516" t="n"/>
      <c r="D1031" s="516" t="n"/>
      <c r="E1031" s="516" t="n"/>
      <c r="F1031" s="516" t="n"/>
      <c r="G1031" s="516" t="n"/>
      <c r="H1031" s="516" t="n"/>
      <c r="I1031" s="516" t="n"/>
      <c r="J1031" s="516" t="n"/>
      <c r="K1031" s="516" t="n"/>
    </row>
    <row r="1032">
      <c r="A1032" s="516" t="n"/>
      <c r="B1032" s="516" t="n"/>
      <c r="C1032" s="516" t="n"/>
      <c r="D1032" s="516" t="n"/>
      <c r="E1032" s="516" t="n"/>
      <c r="F1032" s="516" t="n"/>
      <c r="G1032" s="516" t="n"/>
      <c r="H1032" s="516" t="n"/>
      <c r="I1032" s="516" t="n"/>
      <c r="J1032" s="516" t="n"/>
      <c r="K1032" s="516" t="n"/>
    </row>
    <row r="1033">
      <c r="A1033" s="516" t="n"/>
      <c r="B1033" s="516" t="n"/>
      <c r="C1033" s="516" t="n"/>
      <c r="D1033" s="516" t="n"/>
      <c r="E1033" s="516" t="n"/>
      <c r="F1033" s="516" t="n"/>
      <c r="G1033" s="516" t="n"/>
      <c r="H1033" s="516" t="n"/>
      <c r="I1033" s="516" t="n"/>
      <c r="J1033" s="516" t="n"/>
      <c r="K1033" s="516" t="n"/>
    </row>
    <row r="1034">
      <c r="A1034" s="516" t="n"/>
      <c r="B1034" s="516" t="n"/>
      <c r="C1034" s="516" t="n"/>
      <c r="D1034" s="516" t="n"/>
      <c r="E1034" s="516" t="n"/>
      <c r="F1034" s="516" t="n"/>
      <c r="G1034" s="516" t="n"/>
      <c r="H1034" s="516" t="n"/>
      <c r="I1034" s="516" t="n"/>
      <c r="J1034" s="516" t="n"/>
      <c r="K1034" s="516" t="n"/>
    </row>
    <row r="1035">
      <c r="A1035" s="516" t="n"/>
      <c r="B1035" s="516" t="n"/>
      <c r="C1035" s="516" t="n"/>
      <c r="D1035" s="516" t="n"/>
      <c r="E1035" s="516" t="n"/>
      <c r="F1035" s="516" t="n"/>
      <c r="G1035" s="516" t="n"/>
      <c r="H1035" s="516" t="n"/>
      <c r="I1035" s="516" t="n"/>
      <c r="J1035" s="516" t="n"/>
      <c r="K1035" s="516" t="n"/>
    </row>
    <row r="1036">
      <c r="A1036" s="516" t="n"/>
      <c r="B1036" s="516" t="n"/>
      <c r="C1036" s="516" t="n"/>
      <c r="D1036" s="516" t="n"/>
      <c r="E1036" s="516" t="n"/>
      <c r="F1036" s="516" t="n"/>
      <c r="G1036" s="516" t="n"/>
      <c r="H1036" s="516" t="n"/>
      <c r="I1036" s="516" t="n"/>
      <c r="J1036" s="516" t="n"/>
      <c r="K1036" s="516" t="n"/>
    </row>
    <row r="1037">
      <c r="A1037" s="516" t="n"/>
      <c r="B1037" s="516" t="n"/>
      <c r="C1037" s="516" t="n"/>
      <c r="D1037" s="516" t="n"/>
      <c r="E1037" s="516" t="n"/>
      <c r="F1037" s="516" t="n"/>
      <c r="G1037" s="516" t="n"/>
      <c r="H1037" s="516" t="n"/>
      <c r="I1037" s="516" t="n"/>
      <c r="J1037" s="516" t="n"/>
      <c r="K1037" s="516" t="n"/>
    </row>
    <row r="1038">
      <c r="A1038" s="516" t="n"/>
      <c r="B1038" s="516" t="n"/>
      <c r="C1038" s="516" t="n"/>
      <c r="D1038" s="516" t="n"/>
      <c r="E1038" s="516" t="n"/>
      <c r="F1038" s="516" t="n"/>
      <c r="G1038" s="516" t="n"/>
      <c r="H1038" s="516" t="n"/>
      <c r="I1038" s="516" t="n"/>
      <c r="J1038" s="516" t="n"/>
      <c r="K1038" s="516" t="n"/>
    </row>
    <row r="1039">
      <c r="A1039" s="516" t="n"/>
      <c r="B1039" s="516" t="n"/>
      <c r="C1039" s="516" t="n"/>
      <c r="D1039" s="516" t="n"/>
      <c r="E1039" s="516" t="n"/>
      <c r="F1039" s="516" t="n"/>
      <c r="G1039" s="516" t="n"/>
      <c r="H1039" s="516" t="n"/>
      <c r="I1039" s="516" t="n"/>
      <c r="J1039" s="516" t="n"/>
      <c r="K1039" s="516" t="n"/>
    </row>
    <row r="1040">
      <c r="A1040" s="516" t="n"/>
      <c r="B1040" s="516" t="n"/>
      <c r="C1040" s="516" t="n"/>
      <c r="D1040" s="516" t="n"/>
      <c r="E1040" s="516" t="n"/>
      <c r="F1040" s="516" t="n"/>
      <c r="G1040" s="516" t="n"/>
      <c r="H1040" s="516" t="n"/>
      <c r="I1040" s="516" t="n"/>
      <c r="J1040" s="516" t="n"/>
      <c r="K1040" s="516" t="n"/>
    </row>
    <row r="1041">
      <c r="A1041" s="516" t="n"/>
      <c r="B1041" s="516" t="n"/>
      <c r="C1041" s="516" t="n"/>
      <c r="D1041" s="516" t="n"/>
      <c r="E1041" s="516" t="n"/>
      <c r="F1041" s="516" t="n"/>
      <c r="G1041" s="516" t="n"/>
      <c r="H1041" s="516" t="n"/>
      <c r="I1041" s="516" t="n"/>
      <c r="J1041" s="516" t="n"/>
      <c r="K1041" s="516" t="n"/>
    </row>
    <row r="1042">
      <c r="A1042" s="516" t="n"/>
      <c r="B1042" s="516" t="n"/>
      <c r="C1042" s="516" t="n"/>
      <c r="D1042" s="516" t="n"/>
      <c r="E1042" s="516" t="n"/>
      <c r="F1042" s="516" t="n"/>
      <c r="G1042" s="516" t="n"/>
      <c r="H1042" s="516" t="n"/>
      <c r="I1042" s="516" t="n"/>
      <c r="J1042" s="516" t="n"/>
      <c r="K1042" s="516" t="n"/>
    </row>
    <row r="1043">
      <c r="A1043" s="516" t="n"/>
      <c r="B1043" s="516" t="n"/>
      <c r="C1043" s="516" t="n"/>
      <c r="D1043" s="516" t="n"/>
      <c r="E1043" s="516" t="n"/>
      <c r="F1043" s="516" t="n"/>
      <c r="G1043" s="516" t="n"/>
      <c r="H1043" s="516" t="n"/>
      <c r="I1043" s="516" t="n"/>
      <c r="J1043" s="516" t="n"/>
      <c r="K1043" s="516" t="n"/>
    </row>
    <row r="1044">
      <c r="A1044" s="516" t="n"/>
      <c r="B1044" s="516" t="n"/>
      <c r="C1044" s="516" t="n"/>
      <c r="D1044" s="516" t="n"/>
      <c r="E1044" s="516" t="n"/>
      <c r="F1044" s="516" t="n"/>
      <c r="G1044" s="516" t="n"/>
      <c r="H1044" s="516" t="n"/>
      <c r="I1044" s="516" t="n"/>
      <c r="J1044" s="516" t="n"/>
      <c r="K1044" s="516" t="n"/>
    </row>
    <row r="1045">
      <c r="A1045" s="516" t="n"/>
      <c r="B1045" s="516" t="n"/>
      <c r="C1045" s="516" t="n"/>
      <c r="D1045" s="516" t="n"/>
      <c r="E1045" s="516" t="n"/>
      <c r="F1045" s="516" t="n"/>
      <c r="G1045" s="516" t="n"/>
      <c r="H1045" s="516" t="n"/>
      <c r="I1045" s="516" t="n"/>
      <c r="J1045" s="516" t="n"/>
      <c r="K1045" s="516" t="n"/>
    </row>
    <row r="1046">
      <c r="A1046" s="516" t="n"/>
      <c r="B1046" s="516" t="n"/>
      <c r="C1046" s="516" t="n"/>
      <c r="D1046" s="516" t="n"/>
      <c r="E1046" s="516" t="n"/>
      <c r="F1046" s="516" t="n"/>
      <c r="G1046" s="516" t="n"/>
      <c r="H1046" s="516" t="n"/>
      <c r="I1046" s="516" t="n"/>
      <c r="J1046" s="516" t="n"/>
      <c r="K1046" s="516" t="n"/>
    </row>
    <row r="1047">
      <c r="A1047" s="516" t="n"/>
      <c r="B1047" s="516" t="n"/>
      <c r="C1047" s="516" t="n"/>
      <c r="D1047" s="516" t="n"/>
      <c r="E1047" s="516" t="n"/>
      <c r="F1047" s="516" t="n"/>
      <c r="G1047" s="516" t="n"/>
      <c r="H1047" s="516" t="n"/>
      <c r="I1047" s="516" t="n"/>
      <c r="J1047" s="516" t="n"/>
      <c r="K1047" s="516" t="n"/>
    </row>
    <row r="1048">
      <c r="A1048" s="516" t="n"/>
      <c r="B1048" s="516" t="n"/>
      <c r="C1048" s="516" t="n"/>
      <c r="D1048" s="516" t="n"/>
      <c r="E1048" s="516" t="n"/>
      <c r="F1048" s="516" t="n"/>
      <c r="G1048" s="516" t="n"/>
      <c r="H1048" s="516" t="n"/>
      <c r="I1048" s="516" t="n"/>
      <c r="J1048" s="516" t="n"/>
      <c r="K1048" s="516" t="n"/>
    </row>
    <row r="1049">
      <c r="A1049" s="516" t="n"/>
      <c r="B1049" s="516" t="n"/>
      <c r="C1049" s="516" t="n"/>
      <c r="D1049" s="516" t="n"/>
      <c r="E1049" s="516" t="n"/>
      <c r="F1049" s="516" t="n"/>
      <c r="G1049" s="516" t="n"/>
      <c r="H1049" s="516" t="n"/>
      <c r="I1049" s="516" t="n"/>
      <c r="J1049" s="516" t="n"/>
      <c r="K1049" s="516" t="n"/>
    </row>
    <row r="1050">
      <c r="A1050" s="516" t="n"/>
      <c r="B1050" s="516" t="n"/>
      <c r="C1050" s="516" t="n"/>
      <c r="D1050" s="516" t="n"/>
      <c r="E1050" s="516" t="n"/>
      <c r="F1050" s="516" t="n"/>
      <c r="G1050" s="516" t="n"/>
      <c r="H1050" s="516" t="n"/>
      <c r="I1050" s="516" t="n"/>
      <c r="J1050" s="516" t="n"/>
      <c r="K1050" s="516" t="n"/>
    </row>
    <row r="1051">
      <c r="A1051" s="516" t="n"/>
      <c r="B1051" s="516" t="n"/>
      <c r="C1051" s="516" t="n"/>
      <c r="D1051" s="516" t="n"/>
      <c r="E1051" s="516" t="n"/>
      <c r="F1051" s="516" t="n"/>
      <c r="G1051" s="516" t="n"/>
      <c r="H1051" s="516" t="n"/>
      <c r="I1051" s="516" t="n"/>
      <c r="J1051" s="516" t="n"/>
      <c r="K1051" s="516" t="n"/>
    </row>
    <row r="1052">
      <c r="A1052" s="516" t="n"/>
      <c r="B1052" s="516" t="n"/>
      <c r="C1052" s="516" t="n"/>
      <c r="D1052" s="516" t="n"/>
      <c r="E1052" s="516" t="n"/>
      <c r="F1052" s="516" t="n"/>
      <c r="G1052" s="516" t="n"/>
      <c r="H1052" s="516" t="n"/>
      <c r="I1052" s="516" t="n"/>
      <c r="J1052" s="516" t="n"/>
      <c r="K1052" s="516" t="n"/>
    </row>
    <row r="1053">
      <c r="A1053" s="516" t="n"/>
      <c r="B1053" s="516" t="n"/>
      <c r="C1053" s="516" t="n"/>
      <c r="D1053" s="516" t="n"/>
      <c r="E1053" s="516" t="n"/>
      <c r="F1053" s="516" t="n"/>
      <c r="G1053" s="516" t="n"/>
      <c r="H1053" s="516" t="n"/>
      <c r="I1053" s="516" t="n"/>
      <c r="J1053" s="516" t="n"/>
      <c r="K1053" s="516" t="n"/>
    </row>
    <row r="1054">
      <c r="A1054" s="516" t="n"/>
      <c r="B1054" s="516" t="n"/>
      <c r="C1054" s="516" t="n"/>
      <c r="D1054" s="516" t="n"/>
      <c r="E1054" s="516" t="n"/>
      <c r="F1054" s="516" t="n"/>
      <c r="G1054" s="516" t="n"/>
      <c r="H1054" s="516" t="n"/>
      <c r="I1054" s="516" t="n"/>
      <c r="J1054" s="516" t="n"/>
      <c r="K1054" s="516" t="n"/>
    </row>
    <row r="1055">
      <c r="A1055" s="516" t="n"/>
      <c r="B1055" s="516" t="n"/>
      <c r="C1055" s="516" t="n"/>
      <c r="D1055" s="516" t="n"/>
      <c r="E1055" s="516" t="n"/>
      <c r="F1055" s="516" t="n"/>
      <c r="G1055" s="516" t="n"/>
      <c r="H1055" s="516" t="n"/>
      <c r="I1055" s="516" t="n"/>
      <c r="J1055" s="516" t="n"/>
      <c r="K1055" s="516" t="n"/>
    </row>
    <row r="1056">
      <c r="A1056" s="516" t="n"/>
      <c r="B1056" s="516" t="n"/>
      <c r="C1056" s="516" t="n"/>
      <c r="D1056" s="516" t="n"/>
      <c r="E1056" s="516" t="n"/>
      <c r="F1056" s="516" t="n"/>
      <c r="G1056" s="516" t="n"/>
      <c r="H1056" s="516" t="n"/>
      <c r="I1056" s="516" t="n"/>
      <c r="J1056" s="516" t="n"/>
      <c r="K1056" s="516" t="n"/>
    </row>
    <row r="1057">
      <c r="A1057" s="516" t="n"/>
      <c r="B1057" s="516" t="n"/>
      <c r="C1057" s="516" t="n"/>
      <c r="D1057" s="516" t="n"/>
      <c r="E1057" s="516" t="n"/>
      <c r="F1057" s="516" t="n"/>
      <c r="G1057" s="516" t="n"/>
      <c r="H1057" s="516" t="n"/>
      <c r="I1057" s="516" t="n"/>
      <c r="J1057" s="516" t="n"/>
      <c r="K1057" s="516" t="n"/>
    </row>
    <row r="1058">
      <c r="A1058" s="516" t="n"/>
      <c r="B1058" s="516" t="n"/>
      <c r="C1058" s="516" t="n"/>
      <c r="D1058" s="516" t="n"/>
      <c r="E1058" s="516" t="n"/>
      <c r="F1058" s="516" t="n"/>
      <c r="G1058" s="516" t="n"/>
      <c r="H1058" s="516" t="n"/>
      <c r="I1058" s="516" t="n"/>
      <c r="J1058" s="516" t="n"/>
      <c r="K1058" s="516" t="n"/>
    </row>
    <row r="1059">
      <c r="A1059" s="516" t="n"/>
      <c r="B1059" s="516" t="n"/>
      <c r="C1059" s="516" t="n"/>
      <c r="D1059" s="516" t="n"/>
      <c r="E1059" s="516" t="n"/>
      <c r="F1059" s="516" t="n"/>
      <c r="G1059" s="516" t="n"/>
      <c r="H1059" s="516" t="n"/>
      <c r="I1059" s="516" t="n"/>
      <c r="J1059" s="516" t="n"/>
      <c r="K1059" s="516" t="n"/>
    </row>
    <row r="1060">
      <c r="A1060" s="516" t="n"/>
      <c r="B1060" s="516" t="n"/>
      <c r="C1060" s="516" t="n"/>
      <c r="D1060" s="516" t="n"/>
      <c r="E1060" s="516" t="n"/>
      <c r="F1060" s="516" t="n"/>
      <c r="G1060" s="516" t="n"/>
      <c r="H1060" s="516" t="n"/>
      <c r="I1060" s="516" t="n"/>
      <c r="J1060" s="516" t="n"/>
      <c r="K1060" s="516" t="n"/>
    </row>
    <row r="1061">
      <c r="A1061" s="516" t="n"/>
      <c r="B1061" s="516" t="n"/>
      <c r="C1061" s="516" t="n"/>
      <c r="D1061" s="516" t="n"/>
      <c r="E1061" s="516" t="n"/>
      <c r="F1061" s="516" t="n"/>
      <c r="G1061" s="516" t="n"/>
      <c r="H1061" s="516" t="n"/>
      <c r="I1061" s="516" t="n"/>
      <c r="J1061" s="516" t="n"/>
      <c r="K1061" s="516" t="n"/>
    </row>
    <row r="1062">
      <c r="A1062" s="516" t="n"/>
      <c r="B1062" s="516" t="n"/>
      <c r="C1062" s="516" t="n"/>
      <c r="D1062" s="516" t="n"/>
      <c r="E1062" s="516" t="n"/>
      <c r="F1062" s="516" t="n"/>
      <c r="G1062" s="516" t="n"/>
      <c r="H1062" s="516" t="n"/>
      <c r="I1062" s="516" t="n"/>
      <c r="J1062" s="516" t="n"/>
      <c r="K1062" s="516" t="n"/>
    </row>
    <row r="1063">
      <c r="A1063" s="516" t="n"/>
      <c r="B1063" s="516" t="n"/>
      <c r="C1063" s="516" t="n"/>
      <c r="D1063" s="516" t="n"/>
      <c r="E1063" s="516" t="n"/>
      <c r="F1063" s="516" t="n"/>
      <c r="G1063" s="516" t="n"/>
      <c r="H1063" s="516" t="n"/>
      <c r="I1063" s="516" t="n"/>
      <c r="J1063" s="516" t="n"/>
      <c r="K1063" s="516" t="n"/>
    </row>
    <row r="1064">
      <c r="A1064" s="516" t="n"/>
      <c r="B1064" s="516" t="n"/>
      <c r="C1064" s="516" t="n"/>
      <c r="D1064" s="516" t="n"/>
      <c r="E1064" s="516" t="n"/>
      <c r="F1064" s="516" t="n"/>
      <c r="G1064" s="516" t="n"/>
      <c r="H1064" s="516" t="n"/>
      <c r="I1064" s="516" t="n"/>
      <c r="J1064" s="516" t="n"/>
      <c r="K1064" s="516" t="n"/>
    </row>
    <row r="1065">
      <c r="A1065" s="516" t="n"/>
      <c r="B1065" s="516" t="n"/>
      <c r="C1065" s="516" t="n"/>
      <c r="D1065" s="516" t="n"/>
      <c r="E1065" s="516" t="n"/>
      <c r="F1065" s="516" t="n"/>
      <c r="G1065" s="516" t="n"/>
      <c r="H1065" s="516" t="n"/>
      <c r="I1065" s="516" t="n"/>
      <c r="J1065" s="516" t="n"/>
      <c r="K1065" s="516" t="n"/>
    </row>
    <row r="1066">
      <c r="A1066" s="516" t="n"/>
      <c r="B1066" s="516" t="n"/>
      <c r="C1066" s="516" t="n"/>
      <c r="D1066" s="516" t="n"/>
      <c r="E1066" s="516" t="n"/>
      <c r="F1066" s="516" t="n"/>
      <c r="G1066" s="516" t="n"/>
      <c r="H1066" s="516" t="n"/>
      <c r="I1066" s="516" t="n"/>
      <c r="J1066" s="516" t="n"/>
      <c r="K1066" s="516" t="n"/>
    </row>
    <row r="1067">
      <c r="A1067" s="516" t="n"/>
      <c r="B1067" s="516" t="n"/>
      <c r="C1067" s="516" t="n"/>
      <c r="D1067" s="516" t="n"/>
      <c r="E1067" s="516" t="n"/>
      <c r="F1067" s="516" t="n"/>
      <c r="G1067" s="516" t="n"/>
      <c r="H1067" s="516" t="n"/>
      <c r="I1067" s="516" t="n"/>
      <c r="J1067" s="516" t="n"/>
      <c r="K1067" s="516" t="n"/>
    </row>
    <row r="1068">
      <c r="A1068" s="516" t="n"/>
      <c r="B1068" s="516" t="n"/>
      <c r="C1068" s="516" t="n"/>
      <c r="D1068" s="516" t="n"/>
      <c r="E1068" s="516" t="n"/>
      <c r="F1068" s="516" t="n"/>
      <c r="G1068" s="516" t="n"/>
      <c r="H1068" s="516" t="n"/>
      <c r="I1068" s="516" t="n"/>
      <c r="J1068" s="516" t="n"/>
      <c r="K1068" s="516" t="n"/>
    </row>
    <row r="1069">
      <c r="A1069" s="516" t="n"/>
      <c r="B1069" s="516" t="n"/>
      <c r="C1069" s="516" t="n"/>
      <c r="D1069" s="516" t="n"/>
      <c r="E1069" s="516" t="n"/>
      <c r="F1069" s="516" t="n"/>
      <c r="G1069" s="516" t="n"/>
      <c r="H1069" s="516" t="n"/>
      <c r="I1069" s="516" t="n"/>
      <c r="J1069" s="516" t="n"/>
      <c r="K1069" s="516" t="n"/>
    </row>
    <row r="1070">
      <c r="A1070" s="516" t="n"/>
      <c r="B1070" s="516" t="n"/>
      <c r="C1070" s="516" t="n"/>
      <c r="D1070" s="516" t="n"/>
      <c r="E1070" s="516" t="n"/>
      <c r="F1070" s="516" t="n"/>
      <c r="G1070" s="516" t="n"/>
      <c r="H1070" s="516" t="n"/>
      <c r="I1070" s="516" t="n"/>
      <c r="J1070" s="516" t="n"/>
      <c r="K1070" s="516" t="n"/>
    </row>
    <row r="1071">
      <c r="A1071" s="516" t="n"/>
      <c r="B1071" s="516" t="n"/>
      <c r="C1071" s="516" t="n"/>
      <c r="D1071" s="516" t="n"/>
      <c r="E1071" s="516" t="n"/>
      <c r="F1071" s="516" t="n"/>
      <c r="G1071" s="516" t="n"/>
      <c r="H1071" s="516" t="n"/>
      <c r="I1071" s="516" t="n"/>
      <c r="J1071" s="516" t="n"/>
      <c r="K1071" s="516" t="n"/>
    </row>
    <row r="1072">
      <c r="A1072" s="516" t="n"/>
      <c r="B1072" s="516" t="n"/>
      <c r="C1072" s="516" t="n"/>
      <c r="D1072" s="516" t="n"/>
      <c r="E1072" s="516" t="n"/>
      <c r="F1072" s="516" t="n"/>
      <c r="G1072" s="516" t="n"/>
      <c r="H1072" s="516" t="n"/>
      <c r="I1072" s="516" t="n"/>
      <c r="J1072" s="516" t="n"/>
      <c r="K1072" s="516" t="n"/>
    </row>
    <row r="1073">
      <c r="A1073" s="516" t="n"/>
      <c r="B1073" s="516" t="n"/>
      <c r="C1073" s="516" t="n"/>
      <c r="D1073" s="516" t="n"/>
      <c r="E1073" s="516" t="n"/>
      <c r="F1073" s="516" t="n"/>
      <c r="G1073" s="516" t="n"/>
      <c r="H1073" s="516" t="n"/>
      <c r="I1073" s="516" t="n"/>
      <c r="J1073" s="516" t="n"/>
      <c r="K1073" s="516" t="n"/>
    </row>
    <row r="1074">
      <c r="A1074" s="516" t="n"/>
      <c r="B1074" s="516" t="n"/>
      <c r="C1074" s="516" t="n"/>
      <c r="D1074" s="516" t="n"/>
      <c r="E1074" s="516" t="n"/>
      <c r="F1074" s="516" t="n"/>
      <c r="G1074" s="516" t="n"/>
      <c r="H1074" s="516" t="n"/>
      <c r="I1074" s="516" t="n"/>
      <c r="J1074" s="516" t="n"/>
      <c r="K1074" s="516" t="n"/>
    </row>
    <row r="1075">
      <c r="A1075" s="516" t="n"/>
      <c r="B1075" s="516" t="n"/>
      <c r="C1075" s="516" t="n"/>
      <c r="D1075" s="516" t="n"/>
      <c r="E1075" s="516" t="n"/>
      <c r="F1075" s="516" t="n"/>
      <c r="G1075" s="516" t="n"/>
      <c r="H1075" s="516" t="n"/>
      <c r="I1075" s="516" t="n"/>
      <c r="J1075" s="516" t="n"/>
      <c r="K1075" s="516" t="n"/>
    </row>
    <row r="1076">
      <c r="A1076" s="516" t="n"/>
      <c r="B1076" s="516" t="n"/>
      <c r="C1076" s="516" t="n"/>
      <c r="D1076" s="516" t="n"/>
      <c r="E1076" s="516" t="n"/>
      <c r="F1076" s="516" t="n"/>
      <c r="G1076" s="516" t="n"/>
      <c r="H1076" s="516" t="n"/>
      <c r="I1076" s="516" t="n"/>
      <c r="J1076" s="516" t="n"/>
      <c r="K1076" s="516" t="n"/>
    </row>
    <row r="1077">
      <c r="A1077" s="516" t="n"/>
      <c r="B1077" s="516" t="n"/>
      <c r="C1077" s="516" t="n"/>
      <c r="D1077" s="516" t="n"/>
      <c r="E1077" s="516" t="n"/>
      <c r="F1077" s="516" t="n"/>
      <c r="G1077" s="516" t="n"/>
      <c r="H1077" s="516" t="n"/>
      <c r="I1077" s="516" t="n"/>
      <c r="J1077" s="516" t="n"/>
      <c r="K1077" s="516" t="n"/>
    </row>
    <row r="1078">
      <c r="A1078" s="516" t="n"/>
      <c r="B1078" s="516" t="n"/>
      <c r="C1078" s="516" t="n"/>
      <c r="D1078" s="516" t="n"/>
      <c r="E1078" s="516" t="n"/>
      <c r="F1078" s="516" t="n"/>
      <c r="G1078" s="516" t="n"/>
      <c r="H1078" s="516" t="n"/>
      <c r="I1078" s="516" t="n"/>
      <c r="J1078" s="516" t="n"/>
      <c r="K1078" s="516" t="n"/>
    </row>
    <row r="1079">
      <c r="A1079" s="516" t="n"/>
      <c r="B1079" s="516" t="n"/>
      <c r="C1079" s="516" t="n"/>
      <c r="D1079" s="516" t="n"/>
      <c r="E1079" s="516" t="n"/>
      <c r="F1079" s="516" t="n"/>
      <c r="G1079" s="516" t="n"/>
      <c r="H1079" s="516" t="n"/>
      <c r="I1079" s="516" t="n"/>
      <c r="J1079" s="516" t="n"/>
      <c r="K1079" s="516" t="n"/>
    </row>
    <row r="1080">
      <c r="A1080" s="516" t="n"/>
      <c r="B1080" s="516" t="n"/>
      <c r="C1080" s="516" t="n"/>
      <c r="D1080" s="516" t="n"/>
      <c r="E1080" s="516" t="n"/>
      <c r="F1080" s="516" t="n"/>
      <c r="G1080" s="516" t="n"/>
      <c r="H1080" s="516" t="n"/>
      <c r="I1080" s="516" t="n"/>
      <c r="J1080" s="516" t="n"/>
      <c r="K1080" s="516" t="n"/>
    </row>
    <row r="1081">
      <c r="A1081" s="516" t="n"/>
      <c r="B1081" s="516" t="n"/>
      <c r="C1081" s="516" t="n"/>
      <c r="D1081" s="516" t="n"/>
      <c r="E1081" s="516" t="n"/>
      <c r="F1081" s="516" t="n"/>
      <c r="G1081" s="516" t="n"/>
      <c r="H1081" s="516" t="n"/>
      <c r="I1081" s="516" t="n"/>
      <c r="J1081" s="516" t="n"/>
      <c r="K1081" s="516" t="n"/>
    </row>
    <row r="1082">
      <c r="A1082" s="516" t="n"/>
      <c r="B1082" s="516" t="n"/>
      <c r="C1082" s="516" t="n"/>
      <c r="D1082" s="516" t="n"/>
      <c r="E1082" s="516" t="n"/>
      <c r="F1082" s="516" t="n"/>
      <c r="G1082" s="516" t="n"/>
      <c r="H1082" s="516" t="n"/>
      <c r="I1082" s="516" t="n"/>
      <c r="J1082" s="516" t="n"/>
      <c r="K1082" s="516" t="n"/>
    </row>
    <row r="1083">
      <c r="A1083" s="516" t="n"/>
      <c r="B1083" s="516" t="n"/>
      <c r="C1083" s="516" t="n"/>
      <c r="D1083" s="516" t="n"/>
      <c r="E1083" s="516" t="n"/>
      <c r="F1083" s="516" t="n"/>
      <c r="G1083" s="516" t="n"/>
      <c r="H1083" s="516" t="n"/>
      <c r="I1083" s="516" t="n"/>
      <c r="J1083" s="516" t="n"/>
      <c r="K1083" s="516" t="n"/>
    </row>
    <row r="1084">
      <c r="A1084" s="516" t="n"/>
      <c r="B1084" s="516" t="n"/>
      <c r="C1084" s="516" t="n"/>
      <c r="D1084" s="516" t="n"/>
      <c r="E1084" s="516" t="n"/>
      <c r="F1084" s="516" t="n"/>
      <c r="G1084" s="516" t="n"/>
      <c r="H1084" s="516" t="n"/>
      <c r="I1084" s="516" t="n"/>
      <c r="J1084" s="516" t="n"/>
      <c r="K1084" s="516" t="n"/>
    </row>
    <row r="1085">
      <c r="A1085" s="516" t="n"/>
      <c r="B1085" s="516" t="n"/>
      <c r="C1085" s="516" t="n"/>
      <c r="D1085" s="516" t="n"/>
      <c r="E1085" s="516" t="n"/>
      <c r="F1085" s="516" t="n"/>
      <c r="G1085" s="516" t="n"/>
      <c r="H1085" s="516" t="n"/>
      <c r="I1085" s="516" t="n"/>
      <c r="J1085" s="516" t="n"/>
      <c r="K1085" s="516" t="n"/>
    </row>
    <row r="1086">
      <c r="A1086" s="516" t="n"/>
      <c r="B1086" s="516" t="n"/>
      <c r="C1086" s="516" t="n"/>
      <c r="D1086" s="516" t="n"/>
      <c r="E1086" s="516" t="n"/>
      <c r="F1086" s="516" t="n"/>
      <c r="G1086" s="516" t="n"/>
      <c r="H1086" s="516" t="n"/>
      <c r="I1086" s="516" t="n"/>
      <c r="J1086" s="516" t="n"/>
      <c r="K1086" s="516" t="n"/>
    </row>
    <row r="1087">
      <c r="A1087" s="516" t="n"/>
      <c r="B1087" s="516" t="n"/>
      <c r="C1087" s="516" t="n"/>
      <c r="D1087" s="516" t="n"/>
      <c r="E1087" s="516" t="n"/>
      <c r="F1087" s="516" t="n"/>
      <c r="G1087" s="516" t="n"/>
      <c r="H1087" s="516" t="n"/>
      <c r="I1087" s="516" t="n"/>
      <c r="J1087" s="516" t="n"/>
      <c r="K1087" s="516" t="n"/>
    </row>
    <row r="1088">
      <c r="A1088" s="516" t="n"/>
      <c r="B1088" s="516" t="n"/>
      <c r="C1088" s="516" t="n"/>
      <c r="D1088" s="516" t="n"/>
      <c r="E1088" s="516" t="n"/>
      <c r="F1088" s="516" t="n"/>
      <c r="G1088" s="516" t="n"/>
      <c r="H1088" s="516" t="n"/>
      <c r="I1088" s="516" t="n"/>
      <c r="J1088" s="516" t="n"/>
      <c r="K1088" s="516" t="n"/>
    </row>
    <row r="1089">
      <c r="A1089" s="516" t="n"/>
      <c r="B1089" s="516" t="n"/>
      <c r="C1089" s="516" t="n"/>
      <c r="D1089" s="516" t="n"/>
      <c r="E1089" s="516" t="n"/>
      <c r="F1089" s="516" t="n"/>
      <c r="G1089" s="516" t="n"/>
      <c r="H1089" s="516" t="n"/>
      <c r="I1089" s="516" t="n"/>
      <c r="J1089" s="516" t="n"/>
      <c r="K1089" s="516" t="n"/>
    </row>
    <row r="1090">
      <c r="A1090" s="516" t="n"/>
      <c r="B1090" s="516" t="n"/>
      <c r="C1090" s="516" t="n"/>
      <c r="D1090" s="516" t="n"/>
      <c r="E1090" s="516" t="n"/>
      <c r="F1090" s="516" t="n"/>
      <c r="G1090" s="516" t="n"/>
      <c r="H1090" s="516" t="n"/>
      <c r="I1090" s="516" t="n"/>
      <c r="J1090" s="516" t="n"/>
      <c r="K1090" s="516" t="n"/>
    </row>
    <row r="1091">
      <c r="A1091" s="516" t="n"/>
      <c r="B1091" s="516" t="n"/>
      <c r="C1091" s="516" t="n"/>
      <c r="D1091" s="516" t="n"/>
      <c r="E1091" s="516" t="n"/>
      <c r="F1091" s="516" t="n"/>
      <c r="G1091" s="516" t="n"/>
      <c r="H1091" s="516" t="n"/>
      <c r="I1091" s="516" t="n"/>
      <c r="J1091" s="516" t="n"/>
      <c r="K1091" s="516" t="n"/>
    </row>
    <row r="1092">
      <c r="A1092" s="516" t="n"/>
      <c r="B1092" s="516" t="n"/>
      <c r="C1092" s="516" t="n"/>
      <c r="D1092" s="516" t="n"/>
      <c r="E1092" s="516" t="n"/>
      <c r="F1092" s="516" t="n"/>
      <c r="G1092" s="516" t="n"/>
      <c r="H1092" s="516" t="n"/>
      <c r="I1092" s="516" t="n"/>
      <c r="J1092" s="516" t="n"/>
      <c r="K1092" s="516" t="n"/>
    </row>
    <row r="1093">
      <c r="A1093" s="516" t="n"/>
      <c r="B1093" s="516" t="n"/>
      <c r="C1093" s="516" t="n"/>
      <c r="D1093" s="516" t="n"/>
      <c r="E1093" s="516" t="n"/>
      <c r="F1093" s="516" t="n"/>
      <c r="G1093" s="516" t="n"/>
      <c r="H1093" s="516" t="n"/>
      <c r="I1093" s="516" t="n"/>
      <c r="J1093" s="516" t="n"/>
      <c r="K1093" s="516" t="n"/>
    </row>
    <row r="1094">
      <c r="A1094" s="516" t="n"/>
      <c r="B1094" s="516" t="n"/>
      <c r="C1094" s="516" t="n"/>
      <c r="D1094" s="516" t="n"/>
      <c r="E1094" s="516" t="n"/>
      <c r="F1094" s="516" t="n"/>
      <c r="G1094" s="516" t="n"/>
      <c r="H1094" s="516" t="n"/>
      <c r="I1094" s="516" t="n"/>
      <c r="J1094" s="516" t="n"/>
      <c r="K1094" s="516" t="n"/>
    </row>
    <row r="1095">
      <c r="A1095" s="516" t="n"/>
      <c r="B1095" s="516" t="n"/>
      <c r="C1095" s="516" t="n"/>
      <c r="D1095" s="516" t="n"/>
      <c r="E1095" s="516" t="n"/>
      <c r="F1095" s="516" t="n"/>
      <c r="G1095" s="516" t="n"/>
      <c r="H1095" s="516" t="n"/>
      <c r="I1095" s="516" t="n"/>
      <c r="J1095" s="516" t="n"/>
      <c r="K1095" s="516" t="n"/>
    </row>
    <row r="1096">
      <c r="A1096" s="516" t="n"/>
      <c r="B1096" s="516" t="n"/>
      <c r="C1096" s="516" t="n"/>
      <c r="D1096" s="516" t="n"/>
      <c r="E1096" s="516" t="n"/>
      <c r="F1096" s="516" t="n"/>
      <c r="G1096" s="516" t="n"/>
      <c r="H1096" s="516" t="n"/>
      <c r="I1096" s="516" t="n"/>
      <c r="J1096" s="516" t="n"/>
      <c r="K1096" s="516" t="n"/>
    </row>
    <row r="1097">
      <c r="A1097" s="516" t="n"/>
      <c r="B1097" s="516" t="n"/>
      <c r="C1097" s="516" t="n"/>
      <c r="D1097" s="516" t="n"/>
      <c r="E1097" s="516" t="n"/>
      <c r="F1097" s="516" t="n"/>
      <c r="G1097" s="516" t="n"/>
      <c r="H1097" s="516" t="n"/>
      <c r="I1097" s="516" t="n"/>
      <c r="J1097" s="516" t="n"/>
      <c r="K1097" s="516" t="n"/>
    </row>
    <row r="1098">
      <c r="A1098" s="516" t="n"/>
      <c r="B1098" s="516" t="n"/>
      <c r="C1098" s="516" t="n"/>
      <c r="D1098" s="516" t="n"/>
      <c r="E1098" s="516" t="n"/>
      <c r="F1098" s="516" t="n"/>
      <c r="G1098" s="516" t="n"/>
      <c r="H1098" s="516" t="n"/>
      <c r="I1098" s="516" t="n"/>
      <c r="J1098" s="516" t="n"/>
      <c r="K1098" s="516" t="n"/>
    </row>
    <row r="1099">
      <c r="A1099" s="516" t="n"/>
      <c r="B1099" s="516" t="n"/>
      <c r="C1099" s="516" t="n"/>
      <c r="D1099" s="516" t="n"/>
      <c r="E1099" s="516" t="n"/>
      <c r="F1099" s="516" t="n"/>
      <c r="G1099" s="516" t="n"/>
      <c r="H1099" s="516" t="n"/>
      <c r="I1099" s="516" t="n"/>
      <c r="J1099" s="516" t="n"/>
      <c r="K1099" s="516" t="n"/>
    </row>
    <row r="1100">
      <c r="A1100" s="516" t="n"/>
      <c r="B1100" s="516" t="n"/>
      <c r="C1100" s="516" t="n"/>
      <c r="D1100" s="516" t="n"/>
      <c r="E1100" s="516" t="n"/>
      <c r="F1100" s="516" t="n"/>
      <c r="G1100" s="516" t="n"/>
      <c r="H1100" s="516" t="n"/>
      <c r="I1100" s="516" t="n"/>
      <c r="J1100" s="516" t="n"/>
      <c r="K1100" s="516" t="n"/>
    </row>
    <row r="1101">
      <c r="A1101" s="516" t="n"/>
      <c r="B1101" s="516" t="n"/>
      <c r="C1101" s="516" t="n"/>
      <c r="D1101" s="516" t="n"/>
      <c r="E1101" s="516" t="n"/>
      <c r="F1101" s="516" t="n"/>
      <c r="G1101" s="516" t="n"/>
      <c r="H1101" s="516" t="n"/>
      <c r="I1101" s="516" t="n"/>
      <c r="J1101" s="516" t="n"/>
      <c r="K1101" s="516" t="n"/>
    </row>
    <row r="1102">
      <c r="A1102" s="516" t="n"/>
      <c r="B1102" s="516" t="n"/>
      <c r="C1102" s="516" t="n"/>
      <c r="D1102" s="516" t="n"/>
      <c r="E1102" s="516" t="n"/>
      <c r="F1102" s="516" t="n"/>
      <c r="G1102" s="516" t="n"/>
      <c r="H1102" s="516" t="n"/>
      <c r="I1102" s="516" t="n"/>
      <c r="J1102" s="516" t="n"/>
      <c r="K1102" s="516" t="n"/>
    </row>
    <row r="1103">
      <c r="A1103" s="516" t="n"/>
      <c r="B1103" s="516" t="n"/>
      <c r="C1103" s="516" t="n"/>
      <c r="D1103" s="516" t="n"/>
      <c r="E1103" s="516" t="n"/>
      <c r="F1103" s="516" t="n"/>
      <c r="G1103" s="516" t="n"/>
      <c r="H1103" s="516" t="n"/>
      <c r="I1103" s="516" t="n"/>
      <c r="J1103" s="516" t="n"/>
      <c r="K1103" s="516" t="n"/>
    </row>
    <row r="1104">
      <c r="A1104" s="516" t="n"/>
      <c r="B1104" s="516" t="n"/>
      <c r="C1104" s="516" t="n"/>
      <c r="D1104" s="516" t="n"/>
      <c r="E1104" s="516" t="n"/>
      <c r="F1104" s="516" t="n"/>
      <c r="G1104" s="516" t="n"/>
      <c r="H1104" s="516" t="n"/>
      <c r="I1104" s="516" t="n"/>
      <c r="J1104" s="516" t="n"/>
      <c r="K1104" s="516" t="n"/>
    </row>
    <row r="1105">
      <c r="A1105" s="516" t="n"/>
      <c r="B1105" s="516" t="n"/>
      <c r="C1105" s="516" t="n"/>
      <c r="D1105" s="516" t="n"/>
      <c r="E1105" s="516" t="n"/>
      <c r="F1105" s="516" t="n"/>
      <c r="G1105" s="516" t="n"/>
      <c r="H1105" s="516" t="n"/>
      <c r="I1105" s="516" t="n"/>
      <c r="J1105" s="516" t="n"/>
      <c r="K1105" s="516" t="n"/>
    </row>
    <row r="1106">
      <c r="A1106" s="516" t="n"/>
      <c r="B1106" s="516" t="n"/>
      <c r="C1106" s="516" t="n"/>
      <c r="D1106" s="516" t="n"/>
      <c r="E1106" s="516" t="n"/>
      <c r="F1106" s="516" t="n"/>
      <c r="G1106" s="516" t="n"/>
      <c r="H1106" s="516" t="n"/>
      <c r="I1106" s="516" t="n"/>
      <c r="J1106" s="516" t="n"/>
      <c r="K1106" s="516" t="n"/>
    </row>
    <row r="1107">
      <c r="A1107" s="516" t="n"/>
      <c r="B1107" s="516" t="n"/>
      <c r="C1107" s="516" t="n"/>
      <c r="D1107" s="516" t="n"/>
      <c r="E1107" s="516" t="n"/>
      <c r="F1107" s="516" t="n"/>
      <c r="G1107" s="516" t="n"/>
      <c r="H1107" s="516" t="n"/>
      <c r="I1107" s="516" t="n"/>
      <c r="J1107" s="516" t="n"/>
      <c r="K1107" s="516" t="n"/>
    </row>
    <row r="1108">
      <c r="A1108" s="516" t="n"/>
      <c r="B1108" s="516" t="n"/>
      <c r="C1108" s="516" t="n"/>
      <c r="D1108" s="516" t="n"/>
      <c r="E1108" s="516" t="n"/>
      <c r="F1108" s="516" t="n"/>
      <c r="G1108" s="516" t="n"/>
      <c r="H1108" s="516" t="n"/>
      <c r="I1108" s="516" t="n"/>
      <c r="J1108" s="516" t="n"/>
      <c r="K1108" s="516" t="n"/>
    </row>
    <row r="1109">
      <c r="A1109" s="516" t="n"/>
      <c r="B1109" s="516" t="n"/>
      <c r="C1109" s="516" t="n"/>
      <c r="D1109" s="516" t="n"/>
      <c r="E1109" s="516" t="n"/>
      <c r="F1109" s="516" t="n"/>
      <c r="G1109" s="516" t="n"/>
      <c r="H1109" s="516" t="n"/>
      <c r="I1109" s="516" t="n"/>
      <c r="J1109" s="516" t="n"/>
      <c r="K1109" s="516" t="n"/>
    </row>
    <row r="1110">
      <c r="A1110" s="516" t="n"/>
      <c r="B1110" s="516" t="n"/>
      <c r="C1110" s="516" t="n"/>
      <c r="D1110" s="516" t="n"/>
      <c r="E1110" s="516" t="n"/>
      <c r="F1110" s="516" t="n"/>
      <c r="G1110" s="516" t="n"/>
      <c r="H1110" s="516" t="n"/>
      <c r="I1110" s="516" t="n"/>
      <c r="J1110" s="516" t="n"/>
      <c r="K1110" s="516" t="n"/>
    </row>
    <row r="1111">
      <c r="A1111" s="516" t="n"/>
      <c r="B1111" s="516" t="n"/>
      <c r="C1111" s="516" t="n"/>
      <c r="D1111" s="516" t="n"/>
      <c r="E1111" s="516" t="n"/>
      <c r="F1111" s="516" t="n"/>
      <c r="G1111" s="516" t="n"/>
      <c r="H1111" s="516" t="n"/>
      <c r="I1111" s="516" t="n"/>
      <c r="J1111" s="516" t="n"/>
      <c r="K1111" s="516" t="n"/>
    </row>
    <row r="1112">
      <c r="A1112" s="516" t="n"/>
      <c r="B1112" s="516" t="n"/>
      <c r="C1112" s="516" t="n"/>
      <c r="D1112" s="516" t="n"/>
      <c r="E1112" s="516" t="n"/>
      <c r="F1112" s="516" t="n"/>
      <c r="G1112" s="516" t="n"/>
      <c r="H1112" s="516" t="n"/>
      <c r="I1112" s="516" t="n"/>
      <c r="J1112" s="516" t="n"/>
      <c r="K1112" s="516" t="n"/>
    </row>
    <row r="1113">
      <c r="A1113" s="516" t="n"/>
      <c r="B1113" s="516" t="n"/>
      <c r="C1113" s="516" t="n"/>
      <c r="D1113" s="516" t="n"/>
      <c r="E1113" s="516" t="n"/>
      <c r="F1113" s="516" t="n"/>
      <c r="G1113" s="516" t="n"/>
      <c r="H1113" s="516" t="n"/>
      <c r="I1113" s="516" t="n"/>
      <c r="J1113" s="516" t="n"/>
      <c r="K1113" s="516" t="n"/>
    </row>
    <row r="1114">
      <c r="A1114" s="516" t="n"/>
      <c r="B1114" s="516" t="n"/>
      <c r="C1114" s="516" t="n"/>
      <c r="D1114" s="516" t="n"/>
      <c r="E1114" s="516" t="n"/>
      <c r="F1114" s="516" t="n"/>
      <c r="G1114" s="516" t="n"/>
      <c r="H1114" s="516" t="n"/>
      <c r="I1114" s="516" t="n"/>
      <c r="J1114" s="516" t="n"/>
      <c r="K1114" s="516" t="n"/>
    </row>
    <row r="1115">
      <c r="A1115" s="516" t="n"/>
      <c r="B1115" s="516" t="n"/>
      <c r="C1115" s="516" t="n"/>
      <c r="D1115" s="516" t="n"/>
      <c r="E1115" s="516" t="n"/>
      <c r="F1115" s="516" t="n"/>
      <c r="G1115" s="516" t="n"/>
      <c r="H1115" s="516" t="n"/>
      <c r="I1115" s="516" t="n"/>
      <c r="J1115" s="516" t="n"/>
      <c r="K1115" s="516" t="n"/>
    </row>
    <row r="1116">
      <c r="A1116" s="516" t="n"/>
      <c r="B1116" s="516" t="n"/>
      <c r="C1116" s="516" t="n"/>
      <c r="D1116" s="516" t="n"/>
      <c r="E1116" s="516" t="n"/>
      <c r="F1116" s="516" t="n"/>
      <c r="G1116" s="516" t="n"/>
      <c r="H1116" s="516" t="n"/>
      <c r="I1116" s="516" t="n"/>
      <c r="J1116" s="516" t="n"/>
      <c r="K1116" s="516" t="n"/>
    </row>
    <row r="1117">
      <c r="A1117" s="516" t="n"/>
      <c r="B1117" s="516" t="n"/>
      <c r="C1117" s="516" t="n"/>
      <c r="D1117" s="516" t="n"/>
      <c r="E1117" s="516" t="n"/>
      <c r="F1117" s="516" t="n"/>
      <c r="G1117" s="516" t="n"/>
      <c r="H1117" s="516" t="n"/>
      <c r="I1117" s="516" t="n"/>
      <c r="J1117" s="516" t="n"/>
      <c r="K1117" s="516" t="n"/>
    </row>
    <row r="1118">
      <c r="A1118" s="516" t="n"/>
      <c r="B1118" s="516" t="n"/>
      <c r="C1118" s="516" t="n"/>
      <c r="D1118" s="516" t="n"/>
      <c r="E1118" s="516" t="n"/>
      <c r="F1118" s="516" t="n"/>
      <c r="G1118" s="516" t="n"/>
      <c r="H1118" s="516" t="n"/>
      <c r="I1118" s="516" t="n"/>
      <c r="J1118" s="516" t="n"/>
      <c r="K1118" s="516" t="n"/>
    </row>
    <row r="1119">
      <c r="A1119" s="516" t="n"/>
      <c r="B1119" s="516" t="n"/>
      <c r="C1119" s="516" t="n"/>
      <c r="D1119" s="516" t="n"/>
      <c r="E1119" s="516" t="n"/>
      <c r="F1119" s="516" t="n"/>
      <c r="G1119" s="516" t="n"/>
      <c r="H1119" s="516" t="n"/>
      <c r="I1119" s="516" t="n"/>
      <c r="J1119" s="516" t="n"/>
      <c r="K1119" s="516" t="n"/>
    </row>
    <row r="1120">
      <c r="A1120" s="516" t="n"/>
      <c r="B1120" s="516" t="n"/>
      <c r="C1120" s="516" t="n"/>
      <c r="D1120" s="516" t="n"/>
      <c r="E1120" s="516" t="n"/>
      <c r="F1120" s="516" t="n"/>
      <c r="G1120" s="516" t="n"/>
      <c r="H1120" s="516" t="n"/>
      <c r="I1120" s="516" t="n"/>
      <c r="J1120" s="516" t="n"/>
      <c r="K1120" s="516" t="n"/>
    </row>
    <row r="1121">
      <c r="A1121" s="516" t="n"/>
      <c r="B1121" s="516" t="n"/>
      <c r="C1121" s="516" t="n"/>
      <c r="D1121" s="516" t="n"/>
      <c r="E1121" s="516" t="n"/>
      <c r="F1121" s="516" t="n"/>
      <c r="G1121" s="516" t="n"/>
      <c r="H1121" s="516" t="n"/>
      <c r="I1121" s="516" t="n"/>
      <c r="J1121" s="516" t="n"/>
      <c r="K1121" s="516" t="n"/>
    </row>
    <row r="1122">
      <c r="A1122" s="516" t="n"/>
      <c r="B1122" s="516" t="n"/>
      <c r="C1122" s="516" t="n"/>
      <c r="D1122" s="516" t="n"/>
      <c r="E1122" s="516" t="n"/>
      <c r="F1122" s="516" t="n"/>
      <c r="G1122" s="516" t="n"/>
      <c r="H1122" s="516" t="n"/>
      <c r="I1122" s="516" t="n"/>
      <c r="J1122" s="516" t="n"/>
      <c r="K1122" s="516" t="n"/>
    </row>
    <row r="1123">
      <c r="A1123" s="516" t="n"/>
      <c r="B1123" s="516" t="n"/>
      <c r="C1123" s="516" t="n"/>
      <c r="D1123" s="516" t="n"/>
      <c r="E1123" s="516" t="n"/>
      <c r="F1123" s="516" t="n"/>
      <c r="G1123" s="516" t="n"/>
      <c r="H1123" s="516" t="n"/>
      <c r="I1123" s="516" t="n"/>
      <c r="J1123" s="516" t="n"/>
      <c r="K1123" s="516" t="n"/>
    </row>
    <row r="1124">
      <c r="A1124" s="516" t="n"/>
      <c r="B1124" s="516" t="n"/>
      <c r="C1124" s="516" t="n"/>
      <c r="D1124" s="516" t="n"/>
      <c r="E1124" s="516" t="n"/>
      <c r="F1124" s="516" t="n"/>
      <c r="G1124" s="516" t="n"/>
      <c r="H1124" s="516" t="n"/>
      <c r="I1124" s="516" t="n"/>
      <c r="J1124" s="516" t="n"/>
      <c r="K1124" s="516" t="n"/>
    </row>
    <row r="1125">
      <c r="A1125" s="516" t="n"/>
      <c r="B1125" s="516" t="n"/>
      <c r="C1125" s="516" t="n"/>
      <c r="D1125" s="516" t="n"/>
      <c r="E1125" s="516" t="n"/>
      <c r="F1125" s="516" t="n"/>
      <c r="G1125" s="516" t="n"/>
      <c r="H1125" s="516" t="n"/>
      <c r="I1125" s="516" t="n"/>
      <c r="J1125" s="516" t="n"/>
      <c r="K1125" s="516" t="n"/>
    </row>
    <row r="1126">
      <c r="A1126" s="516" t="n"/>
      <c r="B1126" s="516" t="n"/>
      <c r="C1126" s="516" t="n"/>
      <c r="D1126" s="516" t="n"/>
      <c r="E1126" s="516" t="n"/>
      <c r="F1126" s="516" t="n"/>
      <c r="G1126" s="516" t="n"/>
      <c r="H1126" s="516" t="n"/>
      <c r="I1126" s="516" t="n"/>
      <c r="J1126" s="516" t="n"/>
      <c r="K1126" s="516" t="n"/>
    </row>
    <row r="1127">
      <c r="A1127" s="516" t="n"/>
      <c r="B1127" s="516" t="n"/>
      <c r="C1127" s="516" t="n"/>
      <c r="D1127" s="516" t="n"/>
      <c r="E1127" s="516" t="n"/>
      <c r="F1127" s="516" t="n"/>
      <c r="G1127" s="516" t="n"/>
      <c r="H1127" s="516" t="n"/>
      <c r="I1127" s="516" t="n"/>
      <c r="J1127" s="516" t="n"/>
      <c r="K1127" s="516" t="n"/>
    </row>
    <row r="1128">
      <c r="A1128" s="516" t="n"/>
      <c r="B1128" s="516" t="n"/>
      <c r="C1128" s="516" t="n"/>
      <c r="D1128" s="516" t="n"/>
      <c r="E1128" s="516" t="n"/>
      <c r="F1128" s="516" t="n"/>
      <c r="G1128" s="516" t="n"/>
      <c r="H1128" s="516" t="n"/>
      <c r="I1128" s="516" t="n"/>
      <c r="J1128" s="516" t="n"/>
      <c r="K1128" s="516" t="n"/>
    </row>
    <row r="1129">
      <c r="A1129" s="516" t="n"/>
      <c r="B1129" s="516" t="n"/>
      <c r="C1129" s="516" t="n"/>
      <c r="D1129" s="516" t="n"/>
      <c r="E1129" s="516" t="n"/>
      <c r="F1129" s="516" t="n"/>
      <c r="G1129" s="516" t="n"/>
      <c r="H1129" s="516" t="n"/>
      <c r="I1129" s="516" t="n"/>
      <c r="J1129" s="516" t="n"/>
      <c r="K1129" s="516" t="n"/>
    </row>
    <row r="1130">
      <c r="A1130" s="516" t="n"/>
      <c r="B1130" s="516" t="n"/>
      <c r="C1130" s="516" t="n"/>
      <c r="D1130" s="516" t="n"/>
      <c r="E1130" s="516" t="n"/>
      <c r="F1130" s="516" t="n"/>
      <c r="G1130" s="516" t="n"/>
      <c r="H1130" s="516" t="n"/>
      <c r="I1130" s="516" t="n"/>
      <c r="J1130" s="516" t="n"/>
      <c r="K1130" s="516" t="n"/>
    </row>
    <row r="1131">
      <c r="A1131" s="516" t="n"/>
      <c r="B1131" s="516" t="n"/>
      <c r="C1131" s="516" t="n"/>
      <c r="D1131" s="516" t="n"/>
      <c r="E1131" s="516" t="n"/>
      <c r="F1131" s="516" t="n"/>
      <c r="G1131" s="516" t="n"/>
      <c r="H1131" s="516" t="n"/>
      <c r="I1131" s="516" t="n"/>
      <c r="J1131" s="516" t="n"/>
      <c r="K1131" s="516" t="n"/>
    </row>
    <row r="1132">
      <c r="A1132" s="516" t="n"/>
      <c r="B1132" s="516" t="n"/>
      <c r="C1132" s="516" t="n"/>
      <c r="D1132" s="516" t="n"/>
      <c r="E1132" s="516" t="n"/>
      <c r="F1132" s="516" t="n"/>
      <c r="G1132" s="516" t="n"/>
      <c r="H1132" s="516" t="n"/>
      <c r="I1132" s="516" t="n"/>
      <c r="J1132" s="516" t="n"/>
      <c r="K1132" s="516" t="n"/>
    </row>
    <row r="1133">
      <c r="A1133" s="516" t="n"/>
      <c r="B1133" s="516" t="n"/>
      <c r="C1133" s="516" t="n"/>
      <c r="D1133" s="516" t="n"/>
      <c r="E1133" s="516" t="n"/>
      <c r="F1133" s="516" t="n"/>
      <c r="G1133" s="516" t="n"/>
      <c r="H1133" s="516" t="n"/>
      <c r="I1133" s="516" t="n"/>
      <c r="J1133" s="516" t="n"/>
      <c r="K1133" s="516" t="n"/>
    </row>
    <row r="1134">
      <c r="A1134" s="516" t="n"/>
      <c r="B1134" s="516" t="n"/>
      <c r="C1134" s="516" t="n"/>
      <c r="D1134" s="516" t="n"/>
      <c r="E1134" s="516" t="n"/>
      <c r="F1134" s="516" t="n"/>
      <c r="G1134" s="516" t="n"/>
      <c r="H1134" s="516" t="n"/>
      <c r="I1134" s="516" t="n"/>
      <c r="J1134" s="516" t="n"/>
      <c r="K1134" s="516" t="n"/>
    </row>
    <row r="1135">
      <c r="A1135" s="516" t="n"/>
      <c r="B1135" s="516" t="n"/>
      <c r="C1135" s="516" t="n"/>
      <c r="D1135" s="516" t="n"/>
      <c r="E1135" s="516" t="n"/>
      <c r="F1135" s="516" t="n"/>
      <c r="G1135" s="516" t="n"/>
      <c r="H1135" s="516" t="n"/>
      <c r="I1135" s="516" t="n"/>
      <c r="J1135" s="516" t="n"/>
      <c r="K1135" s="516" t="n"/>
    </row>
    <row r="1136">
      <c r="A1136" s="516" t="n"/>
      <c r="B1136" s="516" t="n"/>
      <c r="C1136" s="516" t="n"/>
      <c r="D1136" s="516" t="n"/>
      <c r="E1136" s="516" t="n"/>
      <c r="F1136" s="516" t="n"/>
      <c r="G1136" s="516" t="n"/>
      <c r="H1136" s="516" t="n"/>
      <c r="I1136" s="516" t="n"/>
      <c r="J1136" s="516" t="n"/>
      <c r="K1136" s="516" t="n"/>
    </row>
    <row r="1137">
      <c r="A1137" s="516" t="n"/>
      <c r="B1137" s="516" t="n"/>
      <c r="C1137" s="516" t="n"/>
      <c r="D1137" s="516" t="n"/>
      <c r="E1137" s="516" t="n"/>
      <c r="F1137" s="516" t="n"/>
      <c r="G1137" s="516" t="n"/>
      <c r="H1137" s="516" t="n"/>
      <c r="I1137" s="516" t="n"/>
      <c r="J1137" s="516" t="n"/>
      <c r="K1137" s="516" t="n"/>
    </row>
    <row r="1138">
      <c r="A1138" s="516" t="n"/>
      <c r="B1138" s="516" t="n"/>
      <c r="C1138" s="516" t="n"/>
      <c r="D1138" s="516" t="n"/>
      <c r="E1138" s="516" t="n"/>
      <c r="F1138" s="516" t="n"/>
      <c r="G1138" s="516" t="n"/>
      <c r="H1138" s="516" t="n"/>
      <c r="I1138" s="516" t="n"/>
      <c r="J1138" s="516" t="n"/>
      <c r="K1138" s="516" t="n"/>
    </row>
    <row r="1139">
      <c r="A1139" s="516" t="n"/>
      <c r="B1139" s="516" t="n"/>
      <c r="C1139" s="516" t="n"/>
      <c r="D1139" s="516" t="n"/>
      <c r="E1139" s="516" t="n"/>
      <c r="F1139" s="516" t="n"/>
      <c r="G1139" s="516" t="n"/>
      <c r="H1139" s="516" t="n"/>
      <c r="I1139" s="516" t="n"/>
      <c r="J1139" s="516" t="n"/>
      <c r="K1139" s="516" t="n"/>
    </row>
    <row r="1140">
      <c r="A1140" s="516" t="n"/>
      <c r="B1140" s="516" t="n"/>
      <c r="C1140" s="516" t="n"/>
      <c r="D1140" s="516" t="n"/>
      <c r="E1140" s="516" t="n"/>
      <c r="F1140" s="516" t="n"/>
      <c r="G1140" s="516" t="n"/>
      <c r="H1140" s="516" t="n"/>
      <c r="I1140" s="516" t="n"/>
      <c r="J1140" s="516" t="n"/>
      <c r="K1140" s="516" t="n"/>
    </row>
    <row r="1141">
      <c r="A1141" s="516" t="n"/>
      <c r="B1141" s="516" t="n"/>
      <c r="C1141" s="516" t="n"/>
      <c r="D1141" s="516" t="n"/>
      <c r="E1141" s="516" t="n"/>
      <c r="F1141" s="516" t="n"/>
      <c r="G1141" s="516" t="n"/>
      <c r="H1141" s="516" t="n"/>
      <c r="I1141" s="516" t="n"/>
      <c r="J1141" s="516" t="n"/>
      <c r="K1141" s="516" t="n"/>
    </row>
  </sheetData>
  <mergeCells count="231">
    <mergeCell ref="B295:B296"/>
    <mergeCell ref="B326:B327"/>
    <mergeCell ref="B273:B274"/>
    <mergeCell ref="B43:B44"/>
    <mergeCell ref="B454:B455"/>
    <mergeCell ref="B223:B224"/>
    <mergeCell ref="B432:B433"/>
    <mergeCell ref="B350:B351"/>
    <mergeCell ref="B86:B87"/>
    <mergeCell ref="B179:B180"/>
    <mergeCell ref="B263:B264"/>
    <mergeCell ref="B328:B329"/>
    <mergeCell ref="B450:B451"/>
    <mergeCell ref="B238:B239"/>
    <mergeCell ref="B101:B102"/>
    <mergeCell ref="A370:A393"/>
    <mergeCell ref="B117:B118"/>
    <mergeCell ref="B470:B471"/>
    <mergeCell ref="B157:B158"/>
    <mergeCell ref="B452:B453"/>
    <mergeCell ref="B13:B14"/>
    <mergeCell ref="B151:B152"/>
    <mergeCell ref="B240:B241"/>
    <mergeCell ref="B78:B79"/>
    <mergeCell ref="B249:B250"/>
    <mergeCell ref="B376:B377"/>
    <mergeCell ref="B436:B437"/>
    <mergeCell ref="B28:B29"/>
    <mergeCell ref="B119:B120"/>
    <mergeCell ref="B15:B16"/>
    <mergeCell ref="B211:B212"/>
    <mergeCell ref="A408:A419"/>
    <mergeCell ref="B364:B365"/>
    <mergeCell ref="B80:B81"/>
    <mergeCell ref="B255:B256"/>
    <mergeCell ref="B378:B379"/>
    <mergeCell ref="B103:B104"/>
    <mergeCell ref="B313:B314"/>
    <mergeCell ref="B426:B427"/>
    <mergeCell ref="B205:B206"/>
    <mergeCell ref="B456:B457"/>
    <mergeCell ref="B354:B355"/>
    <mergeCell ref="B183:B184"/>
    <mergeCell ref="B64:B65"/>
    <mergeCell ref="B275:B276"/>
    <mergeCell ref="B428:B429"/>
    <mergeCell ref="B406:B407"/>
    <mergeCell ref="B338:B339"/>
    <mergeCell ref="B418:B419"/>
    <mergeCell ref="B356:B357"/>
    <mergeCell ref="B185:B186"/>
    <mergeCell ref="B197:B198"/>
    <mergeCell ref="A420:A445"/>
    <mergeCell ref="B492:B493"/>
    <mergeCell ref="B277:B278"/>
    <mergeCell ref="B169:B170"/>
    <mergeCell ref="B340:B341"/>
    <mergeCell ref="B380:B381"/>
    <mergeCell ref="B56:B57"/>
    <mergeCell ref="B209:B210"/>
    <mergeCell ref="A446:A469"/>
    <mergeCell ref="B227:B228"/>
    <mergeCell ref="B261:B262"/>
    <mergeCell ref="B460:B461"/>
    <mergeCell ref="B159:B160"/>
    <mergeCell ref="B26:B27"/>
    <mergeCell ref="B153:B154"/>
    <mergeCell ref="B404:B405"/>
    <mergeCell ref="B155:B156"/>
    <mergeCell ref="B382:B383"/>
    <mergeCell ref="B90:B91"/>
    <mergeCell ref="B17:B18"/>
    <mergeCell ref="B366:B367"/>
    <mergeCell ref="B301:B302"/>
    <mergeCell ref="B11:B12"/>
    <mergeCell ref="B253:B254"/>
    <mergeCell ref="B468:B469"/>
    <mergeCell ref="B446:B447"/>
    <mergeCell ref="B145:B146"/>
    <mergeCell ref="B58:B59"/>
    <mergeCell ref="B440:B441"/>
    <mergeCell ref="B303:B304"/>
    <mergeCell ref="B430:B431"/>
    <mergeCell ref="B60:B61"/>
    <mergeCell ref="B287:B288"/>
    <mergeCell ref="B358:B359"/>
    <mergeCell ref="B187:B188"/>
    <mergeCell ref="B392:B393"/>
    <mergeCell ref="B352:B353"/>
    <mergeCell ref="B480:B481"/>
    <mergeCell ref="B342:B343"/>
    <mergeCell ref="B53:B54"/>
    <mergeCell ref="B408:B409"/>
    <mergeCell ref="B289:B290"/>
    <mergeCell ref="B360:B361"/>
    <mergeCell ref="B127:B128"/>
    <mergeCell ref="B344:B345"/>
    <mergeCell ref="B257:B258"/>
    <mergeCell ref="B472:B473"/>
    <mergeCell ref="B410:B411"/>
    <mergeCell ref="B384:B385"/>
    <mergeCell ref="B466:B467"/>
    <mergeCell ref="B444:B445"/>
    <mergeCell ref="B92:B93"/>
    <mergeCell ref="B30:B31"/>
    <mergeCell ref="B45:B46"/>
    <mergeCell ref="B281:B282"/>
    <mergeCell ref="B32:B33"/>
    <mergeCell ref="B434:B435"/>
    <mergeCell ref="B486:B487"/>
    <mergeCell ref="B315:B316"/>
    <mergeCell ref="B386:B387"/>
    <mergeCell ref="B330:B331"/>
    <mergeCell ref="B324:B325"/>
    <mergeCell ref="B442:B443"/>
    <mergeCell ref="B213:B214"/>
    <mergeCell ref="B474:B475"/>
    <mergeCell ref="B94:B95"/>
    <mergeCell ref="B7:B8"/>
    <mergeCell ref="B458:B459"/>
    <mergeCell ref="B305:B306"/>
    <mergeCell ref="B332:B333"/>
    <mergeCell ref="B233:B234"/>
    <mergeCell ref="B215:B216"/>
    <mergeCell ref="B242:B243"/>
    <mergeCell ref="B420:B421"/>
    <mergeCell ref="B131:B132"/>
    <mergeCell ref="B307:B308"/>
    <mergeCell ref="B297:B298"/>
    <mergeCell ref="B121:B122"/>
    <mergeCell ref="B235:B236"/>
    <mergeCell ref="B291:B292"/>
    <mergeCell ref="B362:B363"/>
    <mergeCell ref="B484:B485"/>
    <mergeCell ref="B195:B196"/>
    <mergeCell ref="B82:B83"/>
    <mergeCell ref="B167:B168"/>
    <mergeCell ref="B231:B232"/>
    <mergeCell ref="B105:B106"/>
    <mergeCell ref="B161:B162"/>
    <mergeCell ref="B259:B260"/>
    <mergeCell ref="B412:B413"/>
    <mergeCell ref="B293:B294"/>
    <mergeCell ref="B98:B99"/>
    <mergeCell ref="B225:B226"/>
    <mergeCell ref="B107:B108"/>
    <mergeCell ref="B283:B284"/>
    <mergeCell ref="B34:B35"/>
    <mergeCell ref="B476:B477"/>
    <mergeCell ref="A396:A407"/>
    <mergeCell ref="B68:B69"/>
    <mergeCell ref="B448:B449"/>
    <mergeCell ref="B279:B280"/>
    <mergeCell ref="B9:B10"/>
    <mergeCell ref="B49:B50"/>
    <mergeCell ref="B398:B399"/>
    <mergeCell ref="B171:B172"/>
    <mergeCell ref="B438:B439"/>
    <mergeCell ref="B207:B208"/>
    <mergeCell ref="B490:B491"/>
    <mergeCell ref="B334:B335"/>
    <mergeCell ref="B217:B218"/>
    <mergeCell ref="B269:B270"/>
    <mergeCell ref="B133:B134"/>
    <mergeCell ref="B422:B423"/>
    <mergeCell ref="B173:B174"/>
    <mergeCell ref="B462:B463"/>
    <mergeCell ref="B265:B266"/>
    <mergeCell ref="B163:B164"/>
    <mergeCell ref="B482:B483"/>
    <mergeCell ref="B22:B23"/>
    <mergeCell ref="B193:B194"/>
    <mergeCell ref="B424:B425"/>
    <mergeCell ref="B203:B204"/>
    <mergeCell ref="B414:B415"/>
    <mergeCell ref="B125:B126"/>
    <mergeCell ref="B72:B73"/>
    <mergeCell ref="B488:B489"/>
    <mergeCell ref="B370:B371"/>
    <mergeCell ref="B199:B200"/>
    <mergeCell ref="B109:B110"/>
    <mergeCell ref="B47:B48"/>
    <mergeCell ref="B62:B63"/>
    <mergeCell ref="B149:B150"/>
    <mergeCell ref="B96:B97"/>
    <mergeCell ref="B416:B417"/>
    <mergeCell ref="B70:B71"/>
    <mergeCell ref="B219:B220"/>
    <mergeCell ref="B400:B401"/>
    <mergeCell ref="B111:B112"/>
    <mergeCell ref="B322:B323"/>
    <mergeCell ref="B191:B192"/>
    <mergeCell ref="B396:B397"/>
    <mergeCell ref="B39:B40"/>
    <mergeCell ref="B464:B465"/>
    <mergeCell ref="B346:B347"/>
    <mergeCell ref="B402:B403"/>
    <mergeCell ref="B88:B89"/>
    <mergeCell ref="B175:B176"/>
    <mergeCell ref="B267:B268"/>
    <mergeCell ref="B299:B300"/>
    <mergeCell ref="B181:B182"/>
    <mergeCell ref="B24:B25"/>
    <mergeCell ref="B19:B20"/>
    <mergeCell ref="B348:B349"/>
    <mergeCell ref="B177:B178"/>
    <mergeCell ref="B388:B389"/>
    <mergeCell ref="B147:B148"/>
    <mergeCell ref="B74:B75"/>
    <mergeCell ref="B372:B373"/>
    <mergeCell ref="B201:B202"/>
    <mergeCell ref="B390:B391"/>
    <mergeCell ref="B285:B286"/>
    <mergeCell ref="A470:A493"/>
    <mergeCell ref="B129:B130"/>
    <mergeCell ref="B123:B124"/>
    <mergeCell ref="B251:B252"/>
    <mergeCell ref="B309:B310"/>
    <mergeCell ref="B76:B77"/>
    <mergeCell ref="B189:B190"/>
    <mergeCell ref="B221:B222"/>
    <mergeCell ref="B374:B375"/>
    <mergeCell ref="B478:B479"/>
    <mergeCell ref="B51:B52"/>
    <mergeCell ref="B113:B114"/>
    <mergeCell ref="B66:B67"/>
    <mergeCell ref="B271:B272"/>
    <mergeCell ref="B311:B312"/>
    <mergeCell ref="B336:B337"/>
    <mergeCell ref="B41:B42"/>
    <mergeCell ref="B115:B116"/>
  </mergeCells>
  <conditionalFormatting sqref="H394:H395 H470:H477 I370:J398 I400:K400 I402:K402 I404:K404 I406:K406 I408:K408 I410:K410 I412:K412 I414:K414 I416:K416 I418:K418 I420:K420 I422:K422 I424:K424 I426:K426 I428:K428 I430:K430 I432:K432 I434:K434 I436:K436 I438:K438 I440:K440 I442:K442 I444:K444 I446:K446 I448:K448 I450 I452 I454:K454 I456:K456 I458:K458 I460:K460 I462:K462 I464:K464 I466:K466 I468:K468 I470:J493 J450:K452 K1:N6 K21:K37 K55:K85 K100:K136 K166:K230 K237:K253 K255:K259 K261:K265 K267:L267 K269:L269 K271:L271 K273:K277 K279:K285 K287:T287 K289:K293 K295:K297 K299:K301 K303:K307 K309:K398 K470:K1141 L21:L22 L24 L36:L37 L55:L56 L58 L60 L62 L64 L66 L68 L70 L72 L74 L76 L78 L80 L82 L84:L85 L100:L101 L103 L105 L107 L109 L111 L113 L115 L117 L119 L121 L123 L125 L127 L129 L131 L133 L135:L136 L166:L167 L169 L171 L173 L175 L177 L179 L181 L183 L185 L187 L189 L191 L193 L195 L197 L199 L201 L203 L205 L207 L209 L211 L213 L215 L217 L219 L221 L223 L225 L227 L229:L230 L237:L238 L240 L242 L244:L249 L251 L253 L255 L257 L259 L261 L263 L265 L273 L275 L277 L279 L281 L283 L285 L289 L291 L293 L295 L297 L299 L301 L303 L305 L307 L309 L311 L313 L315 L317:L322 L324 L326 L328 L330 L332 L334 L336 L338 L340 L342 L344 L346 L348 L350 L352 L354 L356 L358 L360 L362:L1141 M8 M10:M37 M40 M42 M44:M85 M87 M89:P89 M91:P91 M93:P93 M95:P95 M97:P97 M99:P136 M138:M146 M159:M160 M165:M230 M237:M285 M289:N293 M295:N297 M299:N301 M303:N1141 N21:N37 N55:U85 N166:U230 N238:O253 N255:O257 N259:O259 N261:O265 N267:T267 N269:T269 N271:T271 N273:P277 N279:O285 O1:P37 O289:O1141 P238:T249 P251:T251 P253 P255:T255 P257:T257 P261:T261 P263:T263 P265:T265 P279:T279 P281:T281 P283:T283 P285:T285 P289:T289 P291:P1141 Q1:U6 Q21:U37 Q100:U136 Q259:T259 Q273:T273 Q275:T275 Q277:T277 Q291:T291 Q293:T293 Q295:T295 Q297:T297 Q299:T299 Q301:T301 Q303:T303 Q305:T305 Q307:T307 Q309:T309 Q311:T311 Q313:T313 Q315:T315 Q317:T1141 U238:U1141 V1:V1141">
    <cfRule type="cellIs" priority="1" operator="equal" dxfId="1">
      <formula>"NA"</formula>
    </cfRule>
  </conditionalFormatting>
  <hyperlinks>
    <hyperlink xmlns:r="http://schemas.openxmlformats.org/officeDocument/2006/relationships" ref="X7" location="gid=51516459" r:id="rId1"/>
    <hyperlink xmlns:r="http://schemas.openxmlformats.org/officeDocument/2006/relationships" ref="X38" location="gid=1393562191" r:id="rId2"/>
    <hyperlink xmlns:r="http://schemas.openxmlformats.org/officeDocument/2006/relationships" ref="W137" location="gid=1510530692" r:id="rId3"/>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X31"/>
  <sheetViews>
    <sheetView workbookViewId="0">
      <selection activeCell="A1" sqref="A1"/>
    </sheetView>
  </sheetViews>
  <sheetFormatPr baseColWidth="8" defaultColWidth="12.63" defaultRowHeight="15.75" customHeight="1"/>
  <cols>
    <col width="16.5" customWidth="1" style="695" min="23" max="23"/>
  </cols>
  <sheetData>
    <row r="1" ht="50.25" customHeight="1" s="695">
      <c r="A1" s="1" t="inlineStr">
        <is>
          <t>Metric</t>
        </is>
      </c>
      <c r="B1" s="553" t="inlineStr">
        <is>
          <t>Noms anciens</t>
        </is>
      </c>
      <c r="C1" s="553" t="inlineStr">
        <is>
          <t>Numérotation des paires LFF / LFF Pair numbering</t>
        </is>
      </c>
      <c r="D1" s="553" t="inlineStr">
        <is>
          <t># d'ecole/ School identification #</t>
        </is>
      </c>
      <c r="E1" s="553" t="inlineStr">
        <is>
          <t>Ecole/ School name</t>
        </is>
      </c>
      <c r="F1" s="553" t="inlineStr">
        <is>
          <t>Commune</t>
        </is>
      </c>
      <c r="G1" s="553" t="inlineStr">
        <is>
          <t>Contrôle ou intervention ?</t>
        </is>
      </c>
      <c r="H1" s="553" t="inlineStr">
        <is>
          <t xml:space="preserve"> Début de l'année scolaire des écoles Hilin Mu et écoles contrôles</t>
        </is>
      </c>
      <c r="I1" s="553" t="inlineStr">
        <is>
          <t>Année évaluée / (il doit y avoir une école témoin également évaluée cette année)</t>
        </is>
      </c>
      <c r="J1" s="553" t="inlineStr">
        <is>
          <t xml:space="preserve">Nombre d'années du programme Hilin Mu à l'école (CM1 et/ou CM2) </t>
        </is>
      </c>
      <c r="K1" s="553" t="inlineStr">
        <is>
          <t>Nombre de groupes Hilin Mu (espaces surs) de CM2 dans l'année précédant l'évaluation</t>
        </is>
      </c>
      <c r="L1" s="553" t="inlineStr">
        <is>
          <t>Nombre d'élèves de CM2 (Interv./Controle)(pendant le CM2) au cours de l'année précédante l'évaluation (y compris les abandons ultérieurs)</t>
        </is>
      </c>
      <c r="M1" s="553" t="inlineStr">
        <is>
          <t>Avoir 1 ou 2 années complètes de participation au groupe Hilin Mu à la fin du CM2 ?</t>
        </is>
      </c>
      <c r="N1" s="553" t="inlineStr">
        <is>
          <t>[ignore]</t>
        </is>
      </c>
      <c r="O1" s="553" t="inlineStr">
        <is>
          <t>TAUX D'ABANDON Pourcentage de filles ayant abandonné l'école primaire pendant ou après la 5e année/CM2 (taux d'abandon)</t>
        </is>
      </c>
      <c r="P1" s="553" t="inlineStr">
        <is>
          <t>TAUX DE REUSSITE Pourcentage de filles réussissant l'examen secondaire (note de 5 ou plus)</t>
        </is>
      </c>
      <c r="Q1" s="553" t="inlineStr">
        <is>
          <t>TAUX D'INSCRIPTION Pourcentage de filles inscrites au secondaire + présence en classe l'année d'évaluation</t>
        </is>
      </c>
      <c r="R1" s="553" t="inlineStr">
        <is>
          <t>math_score_baseline</t>
        </is>
      </c>
      <c r="S1" s="553" t="inlineStr">
        <is>
          <t>math_score_endline</t>
        </is>
      </c>
      <c r="T1" s="553" t="inlineStr">
        <is>
          <t>french_score_baseline</t>
        </is>
      </c>
      <c r="U1" s="553" t="inlineStr">
        <is>
          <t>french_score_endline</t>
        </is>
      </c>
      <c r="V1" s="553" t="inlineStr">
        <is>
          <t>Presence de programme Hasken Mata (No. d'ans)</t>
        </is>
      </c>
      <c r="W1" s="554" t="inlineStr">
        <is>
          <t>Année de réference</t>
        </is>
      </c>
      <c r="X1" s="2" t="inlineStr">
        <is>
          <t>2nd year in CM2?</t>
        </is>
      </c>
    </row>
    <row r="2">
      <c r="A2" s="554" t="inlineStr">
        <is>
          <t>Definition</t>
        </is>
      </c>
      <c r="B2" s="516" t="inlineStr">
        <is>
          <t>Schools may have changed names throughout the years of Hilin Mu. This will list their previous name, if applicable</t>
        </is>
      </c>
      <c r="C2" s="516" t="inlineStr">
        <is>
          <t>This is for internal use. Pairing of one intervention school and one control school that are comparable and within the same commune</t>
        </is>
      </c>
      <c r="D2" s="516" t="inlineStr">
        <is>
          <t>For internal use, the school identificaiton number which should remain the same throughout all the years (?)</t>
        </is>
      </c>
      <c r="E2" s="516" t="inlineStr">
        <is>
          <t>The official school name</t>
        </is>
      </c>
      <c r="F2" s="516" t="inlineStr">
        <is>
          <t>There are 5 communes / communities where the Hilin Mu program takes place. They are Tchadoua, Djirataoua, Tibiri, Safo, and Sae Saboua</t>
        </is>
      </c>
      <c r="G2" s="516" t="inlineStr">
        <is>
          <t>This will list which school is a control school, meaning they do not receive the Hilin Mu program, versus which one is an intervention school and has the Safe Spaces program. Some schools have switched between control and intervention throughout the years</t>
        </is>
      </c>
      <c r="H2" s="516" t="inlineStr">
        <is>
          <t xml:space="preserve">The year that Hilin Mu began to have Safe Spaces at that school. </t>
        </is>
      </c>
      <c r="I2" s="516" t="inlineStr">
        <is>
          <t>The year that the intervention school was being analyzed for results</t>
        </is>
      </c>
      <c r="J2" s="516" t="inlineStr">
        <is>
          <t>The number of years that the Hilin Mu safe spaces program has taken place at the school</t>
        </is>
      </c>
      <c r="K2" s="516" t="inlineStr">
        <is>
          <t>The number of safe spaces groups being held at the intervention school in that year</t>
        </is>
      </c>
      <c r="L2" s="516" t="inlineStr">
        <is>
          <t>The number of girls who are in CM2 (and who are in a safe spaces group, if in the intervention group)</t>
        </is>
      </c>
      <c r="M2" s="516" t="inlineStr">
        <is>
          <t>If the CM2 girls have had one or two years of Safe Space programming. Before cohort 4 the CM2 would have only received 1 year of program while cohort 4 and onwards would have received 2 years of Safe Spaces</t>
        </is>
      </c>
      <c r="N2" s="516" t="n"/>
      <c r="O2" s="516" t="inlineStr">
        <is>
          <t xml:space="preserve">The percent of girls who have abandoned (dropped out of) school. This comes from the results at the end of the year to see which girls have completed all three government exams. This is based on government sources (exam records received from government educational authorities) as well as Hilin Mu program records and observation. </t>
        </is>
      </c>
      <c r="P2" s="516" t="inlineStr">
        <is>
          <t>The percent of girls who have successfully passed their exams and can enter into 6eme/secondary school. Comes from the results of the government exams</t>
        </is>
      </c>
      <c r="Q2" s="516" t="inlineStr">
        <is>
          <t xml:space="preserve">The percent of girls who enrolled in 6eme (secondary school) from those who passed their exams. Comes from LFF going to these secondary schools at the start of the new year to visit classrooms to see which girls who qualified for secondary school are actually in the classroom and attending. </t>
        </is>
      </c>
      <c r="R2" s="516" t="inlineStr">
        <is>
          <t>Math portion of the pre-test that is taken prior to safe spaces programming being administered. The 2-3 questions come from government exams and are administered at the beginning and end of year by LFF.</t>
        </is>
      </c>
      <c r="S2" s="516" t="inlineStr">
        <is>
          <t>Math portion of the post-test that is taken after Safe Spaces have completed for the year. They are the same questions as on the pre-test which come from ??</t>
        </is>
      </c>
      <c r="T2" s="516" t="inlineStr">
        <is>
          <t>French portion of the pre-test that is taken prior to safe spaces programming being administered. The questions come from ???</t>
        </is>
      </c>
      <c r="U2" s="516" t="inlineStr">
        <is>
          <t>French portion of the post-test that is taken after Safe Spaces have completed for the year. They are the same questions as on the pre-test which come from ??</t>
        </is>
      </c>
      <c r="V2" s="516" t="inlineStr">
        <is>
          <t>Noting if Hasken Mata is also present in the commune and if so, how many years they have been there. If there is both Hasken Mata and Hilin Mu then that shows that theres increased engagement with the community leaders</t>
        </is>
      </c>
      <c r="X2" s="516" t="inlineStr">
        <is>
          <t>The number of girls from the previous cohort who were marked as having to retake the grade. Assumptions are that the girl did enroll the next year, she did not change schools, and that there are not any new students in the class</t>
        </is>
      </c>
    </row>
    <row r="10">
      <c r="A10" s="520" t="inlineStr">
        <is>
          <t>Repeating (Redoubling)</t>
        </is>
      </c>
    </row>
    <row r="11">
      <c r="A11" s="516" t="inlineStr">
        <is>
          <t>Although Hilin Mu is a 2 year program, because girls can repeat years, it is technically possinble for girls to spend a toal of 4 years in the program if they repeat both CM1 and CM2</t>
        </is>
      </c>
    </row>
    <row r="12" ht="32.25" customHeight="1" s="695">
      <c r="A12" s="516" t="inlineStr">
        <is>
          <t xml:space="preserve">In terms of repeating school years, for cohort 5, for girls in CM2 at the end of the year:  X % of intervention girls will repeat CM2; X% of control girls will repeat CM2. X% of intervention girls repeated CM1 and X% of control girls repeated CM1. </t>
        </is>
      </c>
    </row>
    <row r="14">
      <c r="A14" s="554" t="inlineStr">
        <is>
          <t>Notes:</t>
        </is>
      </c>
    </row>
    <row r="15">
      <c r="A15" s="520" t="inlineStr">
        <is>
          <t>Not possible to get historical data from Drijiatou due to termites eating the paper, and Tibiri since the computer was stolen. Marked as NA / Not Available</t>
        </is>
      </c>
    </row>
    <row r="16">
      <c r="A16" s="520" t="inlineStr">
        <is>
          <t>NR / No Result - Results that we should have gotten or be able to get but are unable to access them</t>
        </is>
      </c>
    </row>
    <row r="17">
      <c r="A17" s="520" t="inlineStr">
        <is>
          <t>Intervention girls are always administered the pretest before the control girls</t>
        </is>
      </c>
    </row>
    <row r="19">
      <c r="A19" s="554" t="inlineStr">
        <is>
          <t>Background:</t>
        </is>
      </c>
    </row>
    <row r="20">
      <c r="A20" s="520" t="inlineStr">
        <is>
          <t>The program started in school year 2018 and 2019</t>
        </is>
      </c>
    </row>
    <row r="21">
      <c r="A21" s="520" t="inlineStr">
        <is>
          <t>Cohort 1 - 3 focused on girls in CM2 and 6eme</t>
        </is>
      </c>
    </row>
    <row r="22">
      <c r="A22" s="520" t="inlineStr">
        <is>
          <t>Cohort 4 had girls in CM1, CM2, and 6eme</t>
        </is>
      </c>
    </row>
    <row r="23">
      <c r="A23" s="520" t="inlineStr">
        <is>
          <t>Cohort 5 and onwards was when girls had two full years of the program before taking the entrance exam for 6eme</t>
        </is>
      </c>
    </row>
    <row r="24">
      <c r="A24" s="520" t="inlineStr">
        <is>
          <t>cohort 6 had no control group for any grade levels, but they were still able to get data for the 'control' schools regarding the exam success rate and abandon rate, but no academic results (pre/post test) https://drive.google.com/drive/folders/1j6x_aERvYTPsd3Xt1POnV6A10tSXFxTe</t>
        </is>
      </c>
    </row>
    <row r="25">
      <c r="A25" s="554" t="n"/>
    </row>
    <row r="26">
      <c r="A26" s="554" t="inlineStr">
        <is>
          <t>School Selection:</t>
        </is>
      </c>
    </row>
    <row r="27">
      <c r="A27" s="520" t="inlineStr">
        <is>
          <t>program only operates when there are females teachers at the school to be the program mentors</t>
        </is>
      </c>
    </row>
    <row r="28">
      <c r="A28" s="520" t="inlineStr">
        <is>
          <t>There needs to be a minimum of 12-18 girls in the school for the program to take place</t>
        </is>
      </c>
    </row>
    <row r="29">
      <c r="A29" s="520" t="inlineStr">
        <is>
          <t xml:space="preserve">The program needs to get approval from the inspections </t>
        </is>
      </c>
    </row>
    <row r="30">
      <c r="A30" s="520" t="inlineStr">
        <is>
          <t>They try to stay in schools that have both CM1 and CM2 but if there are not enough girls in one grade they will continue with the other grade</t>
        </is>
      </c>
    </row>
    <row r="31">
      <c r="A31" s="519" t="inlineStr">
        <is>
          <t>Research project school selection criteria</t>
        </is>
      </c>
    </row>
  </sheetData>
  <mergeCells count="2">
    <mergeCell ref="A12:J12"/>
    <mergeCell ref="A11:J11"/>
  </mergeCells>
  <conditionalFormatting sqref="L1:O1 P1:Q1 R1:V1 W1">
    <cfRule type="cellIs" priority="1" operator="equal" dxfId="1">
      <formula>"NA"</formula>
    </cfRule>
  </conditionalFormatting>
  <conditionalFormatting sqref="A1:A1001 B1 B3:B1001">
    <cfRule type="notContainsBlanks" priority="2" dxfId="2">
      <formula>LEN(TRIM(A1))&gt;0</formula>
    </cfRule>
  </conditionalFormatting>
  <hyperlinks>
    <hyperlink xmlns:r="http://schemas.openxmlformats.org/officeDocument/2006/relationships" ref="A31"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2"/>
  <sheetViews>
    <sheetView workbookViewId="0">
      <selection activeCell="A1" sqref="A1"/>
    </sheetView>
  </sheetViews>
  <sheetFormatPr baseColWidth="8" defaultColWidth="12.63" defaultRowHeight="15.75" customHeight="1"/>
  <sheetData>
    <row r="1">
      <c r="A1" s="520">
        <f>SUM(3+3+1+3+3+1+0+3+4+1+1+2+7+2+0+0+3+6+0+1+1+1+0+3+0+1+5+2+4+3+3,5+4+5,5+8.5+2+0)/36</f>
        <v/>
      </c>
    </row>
    <row r="2">
      <c r="A2" s="520">
        <f>sum(7+5+3.5+7+9+2.5+6+7+7+8+8.5+5+4+6+3.5+2.5+6+7.5+3+2+3+3+4+3+3+8.5+8+7.5+8.5+5.5+5+8+9+3+4)/36</f>
        <v/>
      </c>
    </row>
    <row r="3">
      <c r="A3" s="520">
        <f>sum(7+3+6+7+8+5+4+8+0+6+5+3+3+3+0.5+8.5+8+7+6+8+6+9+6+4+2+8+8+1+4+2+4+6+8.5+4+8+5+3+1,5)/37</f>
        <v/>
      </c>
    </row>
    <row r="4">
      <c r="A4" s="520">
        <f>sum(5+0+5+1+4.5+3+4+3+0+8+6+3+2+2+4+5,5+10+1+2+7+0+6+0+2+6+5+5+1+1+1.5+0+3+5.5+5+7+3+5+0)/37</f>
        <v/>
      </c>
    </row>
    <row r="5">
      <c r="A5" s="521">
        <f>sum(3.5+3+7.5+1+1.5+2+3.5+3+3+3+2+4.5+5+6.5+0+0+0+3+4+0+5+6+6+2+5+0+2.5+1+7+4+7+7+2+5+2+0)/37</f>
        <v/>
      </c>
    </row>
    <row r="6">
      <c r="A6" s="521">
        <f>sum(5.5+3.5+5+5+3+5+5+7+6+6.5+5.5+6.5+5.5+5+5+7+6+5.5+8.5+4+7.5+8+7.5+8.5+8.5+6+7+8.5+9+8.5+8.5+8+8+7,5+3+5,5)/37</f>
        <v/>
      </c>
    </row>
    <row r="7">
      <c r="A7" s="522">
        <f>sum(2.5+7+3.5+2+1.5+2+2.5+8+9+1+1.5+6+1+1.5+6.5+2+5+5+7.5+0+3.5+1.5+4.5+2+3+0.5)/26</f>
        <v/>
      </c>
    </row>
    <row r="8">
      <c r="A8" s="522">
        <f>sum(6+7+9+8.5+8+8.5+3.5+9+9+7.5+8.5+8+2+9.5+3.5+7+5.5+7.5+3.5+2.5+8.5+8.5+7.5+6+5.5+8.5)/26</f>
        <v/>
      </c>
    </row>
    <row r="9">
      <c r="A9" s="521">
        <f>sum(8+8+7+6+6+8.5+9.5+8.5+9+5.5+0+3+5+0+0+8+3+0+9.25+6.25+5.5+7.5+7.5+9+9+8.5+3+9.5+5+6.5+7.5+8+8.5+6.25+3.5+3+7)/37</f>
        <v/>
      </c>
    </row>
    <row r="10">
      <c r="A10" s="520">
        <f>sum(6,75+7+3.5+5.75+8.5+7+8.5+7+8+7+3.25+2.25+9.25+3.75+2.5+6.75+3.5+5.5+8.5+9.5+2.5+7.5+7+9.5+10+7+0+10+7+6+7+7.5+6.25+4.5+5.75+6.75)/37</f>
        <v/>
      </c>
    </row>
    <row r="11">
      <c r="A11" s="520">
        <f>sum(1+0+0+1+1+0.5+0+0+0+2.5+1+1.5+0+1+1+0+0.5+8.25+1.5+5.25+0.5+0+0.5+3+0+0+3+2+0.5+0+0+0+1+4+1.5+1.5+0+0+0+0+0+2)/42</f>
        <v/>
      </c>
    </row>
    <row r="12">
      <c r="A12" s="520">
        <f>sum(4++5+1+4+2+3.5+2.5+0+2+5.5+3+3.5+1.5+2+2+3+3+7.5+4.25+5+5+5+0.75+5+2.5+4+4+4+3+5+5+2.5+2.5+5+6+4.5+4.5+3+1.75+2+4+3)/42</f>
        <v/>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G20"/>
  <sheetViews>
    <sheetView workbookViewId="0">
      <selection activeCell="A1" sqref="A1"/>
    </sheetView>
  </sheetViews>
  <sheetFormatPr baseColWidth="8" defaultColWidth="12.63" defaultRowHeight="15.75" customHeight="1"/>
  <cols>
    <col width="20.38" customWidth="1" style="695" min="4" max="4"/>
    <col width="22" customWidth="1" style="695" min="12" max="13"/>
    <col width="21.88" customWidth="1" style="695" min="15" max="16"/>
  </cols>
  <sheetData>
    <row r="1">
      <c r="A1" s="1" t="inlineStr">
        <is>
          <t>Noms anciens</t>
        </is>
      </c>
      <c r="B1" s="1" t="inlineStr">
        <is>
          <t>Commune</t>
        </is>
      </c>
      <c r="C1" s="1" t="inlineStr">
        <is>
          <t>Numérotation des paires LFF / LFF Pair numbering</t>
        </is>
      </c>
      <c r="D1" s="2" t="inlineStr">
        <is>
          <t># d'ecole/ School identification #</t>
        </is>
      </c>
      <c r="E1" s="1" t="inlineStr">
        <is>
          <t>Ecole/ School name</t>
        </is>
      </c>
      <c r="F1" s="1" t="inlineStr">
        <is>
          <t>Contrôle ou intervention ?</t>
        </is>
      </c>
      <c r="G1" s="523" t="inlineStr">
        <is>
          <t>Année de début de l'école Hilin Mu (entrez « NA » pour les écoles de contrôle)</t>
        </is>
      </c>
      <c r="H1" s="2" t="inlineStr">
        <is>
          <t>Nombre d'années du programme Hilin Mu à l'école (CM1 et/ou CM2) / commes ecoles controles</t>
        </is>
      </c>
      <c r="I1" s="1" t="inlineStr">
        <is>
          <t>TAUX D'ABANDON Pourcentage de filles ayant abandonné l'école primaire pendant ou après la 5e année/CM2 (taux d'abandon)</t>
        </is>
      </c>
      <c r="J1" s="1" t="inlineStr">
        <is>
          <t>TAUX DE REUSSITE Pourcentage de filles réussissant l'examen secondaire (note de 5 ou plus)</t>
        </is>
      </c>
      <c r="K1" s="1" t="inlineStr">
        <is>
          <t>TAUX D'INSCRIPTION Pourcentage de filles inscrites au secondaire + présence en classe l'année d'évaluation</t>
        </is>
      </c>
      <c r="L1" s="1" t="inlineStr">
        <is>
          <t>math_score_baseline</t>
        </is>
      </c>
      <c r="M1" s="1" t="inlineStr">
        <is>
          <t>math_score_endline</t>
        </is>
      </c>
      <c r="N1" s="1" t="inlineStr">
        <is>
          <t>Dif. Pré-Post-Test Maths Amélioration des mathématiques (différence entre pré-test et post-test LFF pour le CM2)</t>
        </is>
      </c>
      <c r="O1" s="1" t="inlineStr">
        <is>
          <t>french_score_baseline</t>
        </is>
      </c>
      <c r="P1" s="1" t="inlineStr">
        <is>
          <t>french_score_endline</t>
        </is>
      </c>
      <c r="Q1" s="1" t="inlineStr">
        <is>
          <t>Dif. Pré-Post-Test Francais Amélioration du français (différence entre le pré-test LFF CM2 et le post-test CM2)</t>
        </is>
      </c>
      <c r="R1" s="1" t="inlineStr">
        <is>
          <t>Moyen (différence entre le pré-test et le post-test LFF pour le CM2)</t>
        </is>
      </c>
      <c r="S1" s="1" t="inlineStr">
        <is>
          <t>Presence de programme Hasken Mata (No. d'ans)</t>
        </is>
      </c>
    </row>
    <row r="2">
      <c r="A2" s="338" t="n"/>
      <c r="B2" s="338" t="n"/>
      <c r="C2" s="6" t="n"/>
      <c r="D2" s="7" t="n"/>
      <c r="E2" s="7" t="n"/>
      <c r="F2" s="338" t="n"/>
      <c r="G2" s="8" t="n"/>
      <c r="H2" s="381" t="n"/>
      <c r="I2" s="13" t="n"/>
      <c r="J2" s="13" t="n"/>
      <c r="K2" s="13" t="n"/>
      <c r="L2" s="14" t="n"/>
      <c r="M2" s="14" t="n"/>
      <c r="N2" s="14" t="n"/>
      <c r="O2" s="14" t="n"/>
      <c r="P2" s="14" t="n"/>
      <c r="Q2" s="14" t="n"/>
      <c r="R2" s="14" t="n"/>
    </row>
    <row r="3">
      <c r="A3" s="15" t="inlineStr">
        <is>
          <t>old names</t>
        </is>
      </c>
      <c r="B3" s="15" t="n"/>
      <c r="C3" s="15" t="inlineStr">
        <is>
          <t>Pair number</t>
        </is>
      </c>
      <c r="D3" s="15" t="n"/>
      <c r="E3" s="15" t="inlineStr">
        <is>
          <t>School number / identifier</t>
        </is>
      </c>
      <c r="F3" s="15" t="inlineStr">
        <is>
          <t>Control or intervention?</t>
        </is>
      </c>
      <c r="G3" s="15" t="inlineStr">
        <is>
          <t>Year school started Hilin Mu (enter "NA" for control schools)</t>
        </is>
      </c>
      <c r="H3" s="15" t="n"/>
      <c r="I3" s="15" t="inlineStr">
        <is>
          <t>Percent of girls who dropped out of primary school (dropout rate)</t>
        </is>
      </c>
      <c r="J3" s="15" t="inlineStr">
        <is>
          <t>Percent of girls passing secondary exam</t>
        </is>
      </c>
      <c r="K3" s="15" t="inlineStr">
        <is>
          <t>Percent of girls in enrolled in secondary school + presence in class</t>
        </is>
      </c>
      <c r="L3" s="17" t="n"/>
      <c r="M3" s="17" t="n"/>
      <c r="N3" s="17" t="n"/>
      <c r="O3" s="17" t="n"/>
      <c r="P3" s="17" t="n"/>
      <c r="Q3" s="17" t="n"/>
      <c r="R3" s="17" t="n"/>
      <c r="U3" s="18" t="n"/>
      <c r="V3" s="18" t="n"/>
      <c r="W3" s="18" t="n"/>
      <c r="X3" s="18" t="n"/>
      <c r="Y3" s="18" t="n"/>
      <c r="Z3" s="18" t="n"/>
      <c r="AA3" s="18" t="n"/>
      <c r="AB3" s="18" t="n"/>
      <c r="AC3" s="18" t="n"/>
      <c r="AD3" s="18" t="n"/>
      <c r="AE3" s="18" t="n"/>
      <c r="AF3" s="18" t="n"/>
      <c r="AG3" s="18" t="n"/>
    </row>
    <row r="4">
      <c r="A4" s="204" t="inlineStr">
        <is>
          <t>COHORTE 1 CM2  2018-2019</t>
        </is>
      </c>
      <c r="B4" s="516" t="n"/>
      <c r="D4" s="489" t="n"/>
      <c r="E4" s="516" t="n"/>
      <c r="F4" s="516" t="n"/>
      <c r="G4" s="516" t="n"/>
      <c r="H4" s="516" t="n"/>
    </row>
    <row r="5">
      <c r="A5" s="39" t="n"/>
      <c r="B5" s="39" t="inlineStr">
        <is>
          <t>Tibiri</t>
        </is>
      </c>
      <c r="C5" s="40" t="n">
        <v>1</v>
      </c>
      <c r="D5" s="41" t="n">
        <v>1</v>
      </c>
      <c r="E5" s="49" t="inlineStr">
        <is>
          <t>Katare Guidan Ousmane 1</t>
        </is>
      </c>
      <c r="F5" s="39" t="inlineStr">
        <is>
          <t>Intervention</t>
        </is>
      </c>
      <c r="G5" s="43" t="n">
        <v>2018</v>
      </c>
      <c r="H5" s="49" t="n">
        <v>0</v>
      </c>
      <c r="I5" s="532" t="n">
        <v>0.05</v>
      </c>
      <c r="J5" s="532" t="n">
        <v>0.5</v>
      </c>
      <c r="K5" s="532" t="n">
        <v>0.5</v>
      </c>
      <c r="L5" s="525" t="inlineStr">
        <is>
          <t>average of baseline of all controls in that commune in 2019</t>
        </is>
      </c>
      <c r="M5" s="525" t="inlineStr">
        <is>
          <t>average of endline of all controls in that commune in 2019</t>
        </is>
      </c>
      <c r="N5" s="527" t="n"/>
      <c r="O5" s="525" t="inlineStr">
        <is>
          <t>average of baseline of all controls in that commune in 2019</t>
        </is>
      </c>
      <c r="P5" s="525" t="inlineStr">
        <is>
          <t>average of endline of all controls in that commune in 2019</t>
        </is>
      </c>
      <c r="Q5" s="527" t="n"/>
      <c r="R5" s="527" t="n"/>
      <c r="S5" s="49" t="inlineStr">
        <is>
          <t>N/A</t>
        </is>
      </c>
      <c r="T5" s="49" t="n"/>
      <c r="U5" s="49" t="n"/>
      <c r="V5" s="49" t="n"/>
      <c r="W5" s="49" t="n"/>
      <c r="X5" s="49" t="n"/>
      <c r="Y5" s="49" t="n"/>
      <c r="Z5" s="49" t="n"/>
      <c r="AA5" s="49" t="n"/>
      <c r="AB5" s="49" t="n"/>
      <c r="AC5" s="49" t="n"/>
      <c r="AD5" s="49" t="n"/>
      <c r="AE5" s="49" t="n"/>
      <c r="AF5" s="35" t="n"/>
      <c r="AG5" s="35" t="n"/>
    </row>
    <row r="6">
      <c r="A6" s="92" t="n"/>
      <c r="B6" s="92" t="inlineStr">
        <is>
          <t>Tibiri</t>
        </is>
      </c>
      <c r="C6" s="528" t="n">
        <v>1</v>
      </c>
      <c r="D6" s="445" t="n">
        <v>2</v>
      </c>
      <c r="E6" s="529" t="inlineStr">
        <is>
          <t xml:space="preserve">Soura 3 </t>
        </is>
      </c>
      <c r="F6" s="530" t="inlineStr">
        <is>
          <t>Control/intervention</t>
        </is>
      </c>
      <c r="G6" s="43" t="n">
        <v>2018</v>
      </c>
      <c r="H6" s="62" t="n">
        <v>0</v>
      </c>
      <c r="I6" s="562" t="n">
        <v>0.05</v>
      </c>
      <c r="J6" s="562" t="n">
        <v>0.5</v>
      </c>
      <c r="K6" s="562" t="n">
        <v>0.5</v>
      </c>
      <c r="L6" s="525" t="inlineStr">
        <is>
          <t>average of baseline of all controls in that commune in 2019</t>
        </is>
      </c>
      <c r="M6" s="525" t="inlineStr">
        <is>
          <t>average of endline of all controls in that commune in 2019</t>
        </is>
      </c>
      <c r="N6" s="62" t="n"/>
      <c r="O6" s="525" t="inlineStr">
        <is>
          <t>average of baseline of all controls in that commune in 2019</t>
        </is>
      </c>
      <c r="P6" s="525" t="inlineStr">
        <is>
          <t>average of endline of all controls in that commune in 2019</t>
        </is>
      </c>
      <c r="Q6" s="62" t="n"/>
      <c r="R6" s="62" t="n"/>
      <c r="S6" s="49" t="inlineStr">
        <is>
          <t>N/A</t>
        </is>
      </c>
      <c r="T6" s="62" t="n"/>
      <c r="U6" s="62" t="n"/>
      <c r="V6" s="62" t="n"/>
      <c r="W6" s="62" t="n"/>
      <c r="X6" s="62" t="n"/>
      <c r="Y6" s="62" t="n"/>
      <c r="Z6" s="62" t="n"/>
      <c r="AA6" s="62" t="n"/>
      <c r="AB6" s="62" t="n"/>
      <c r="AC6" s="62" t="n"/>
      <c r="AD6" s="62" t="n"/>
      <c r="AE6" s="62" t="n"/>
      <c r="AF6" s="35" t="n"/>
      <c r="AG6" s="35" t="n"/>
    </row>
    <row r="7">
      <c r="A7" s="67" t="n"/>
      <c r="B7" s="67" t="inlineStr">
        <is>
          <t>Tibiri</t>
        </is>
      </c>
      <c r="C7" s="64" t="n">
        <v>2</v>
      </c>
      <c r="D7" s="65" t="n">
        <v>3</v>
      </c>
      <c r="E7" s="72" t="inlineStr">
        <is>
          <t xml:space="preserve">Katare Guidan Ousmane 2 </t>
        </is>
      </c>
      <c r="F7" s="67" t="inlineStr">
        <is>
          <t>Intervention</t>
        </is>
      </c>
      <c r="G7" s="68" t="n">
        <v>2018</v>
      </c>
      <c r="H7" s="72" t="n">
        <v>0</v>
      </c>
      <c r="I7" s="561" t="n">
        <v>0.05</v>
      </c>
      <c r="J7" s="561" t="n">
        <v>0.5</v>
      </c>
      <c r="K7" s="561" t="n">
        <v>0.5</v>
      </c>
      <c r="L7" s="525" t="inlineStr">
        <is>
          <t>average of baseline of all controls in that commune in 2019</t>
        </is>
      </c>
      <c r="M7" s="525" t="inlineStr">
        <is>
          <t>average of endline of all controls in that commune in 2019</t>
        </is>
      </c>
      <c r="N7" s="72" t="n"/>
      <c r="O7" s="525" t="inlineStr">
        <is>
          <t>average of baseline of all controls in that commune in 2019</t>
        </is>
      </c>
      <c r="P7" s="525" t="inlineStr">
        <is>
          <t>average of endline of all controls in that commune in 2019</t>
        </is>
      </c>
      <c r="Q7" s="72" t="n"/>
      <c r="R7" s="72" t="n"/>
      <c r="S7" s="49" t="inlineStr">
        <is>
          <t>N/A</t>
        </is>
      </c>
      <c r="T7" s="72" t="n"/>
      <c r="U7" s="72" t="n"/>
      <c r="V7" s="72" t="n"/>
      <c r="W7" s="72" t="n"/>
      <c r="X7" s="72" t="n"/>
      <c r="Y7" s="72" t="n"/>
      <c r="Z7" s="72" t="n"/>
      <c r="AA7" s="72" t="n"/>
      <c r="AB7" s="72" t="n"/>
      <c r="AC7" s="72" t="n"/>
      <c r="AD7" s="72" t="n"/>
      <c r="AE7" s="72" t="n"/>
      <c r="AF7" s="547" t="n"/>
      <c r="AG7" s="547" t="n"/>
    </row>
    <row r="8">
      <c r="A8" s="76" t="n"/>
      <c r="B8" s="76" t="inlineStr">
        <is>
          <t>Tibiri</t>
        </is>
      </c>
      <c r="C8" s="531" t="n">
        <v>2</v>
      </c>
      <c r="D8" s="74" t="n">
        <v>4</v>
      </c>
      <c r="E8" s="81" t="inlineStr">
        <is>
          <t xml:space="preserve">Kara Kara 3 </t>
        </is>
      </c>
      <c r="F8" s="76" t="inlineStr">
        <is>
          <t>Control</t>
        </is>
      </c>
      <c r="G8" s="68" t="n">
        <v>2018</v>
      </c>
      <c r="H8" s="81" t="n">
        <v>0</v>
      </c>
      <c r="I8" s="538" t="n">
        <v>0.05</v>
      </c>
      <c r="J8" s="538" t="n">
        <v>0.5</v>
      </c>
      <c r="K8" s="538" t="n">
        <v>0.5</v>
      </c>
      <c r="L8" s="525" t="inlineStr">
        <is>
          <t>average of baseline of all controls in that commune in 2019</t>
        </is>
      </c>
      <c r="M8" s="525" t="inlineStr">
        <is>
          <t>average of endline of all controls in that commune in 2019</t>
        </is>
      </c>
      <c r="N8" s="81" t="n"/>
      <c r="O8" s="525" t="inlineStr">
        <is>
          <t>average of baseline of all controls in that commune in 2019</t>
        </is>
      </c>
      <c r="P8" s="525" t="inlineStr">
        <is>
          <t>average of endline of all controls in that commune in 2019</t>
        </is>
      </c>
      <c r="Q8" s="81" t="n"/>
      <c r="R8" s="81" t="n"/>
      <c r="S8" s="49" t="inlineStr">
        <is>
          <t>N/A</t>
        </is>
      </c>
      <c r="T8" s="81" t="n"/>
      <c r="U8" s="81" t="n"/>
      <c r="V8" s="81" t="n"/>
      <c r="W8" s="81" t="n"/>
      <c r="X8" s="81" t="n"/>
      <c r="Y8" s="81" t="n"/>
      <c r="Z8" s="81" t="n"/>
      <c r="AA8" s="81" t="n"/>
      <c r="AB8" s="81" t="n"/>
      <c r="AC8" s="81" t="n"/>
      <c r="AD8" s="81" t="n"/>
      <c r="AE8" s="81" t="n"/>
      <c r="AF8" s="547" t="n"/>
      <c r="AG8" s="547" t="n"/>
    </row>
    <row r="9">
      <c r="A9" s="39" t="n"/>
      <c r="B9" s="39" t="inlineStr">
        <is>
          <t>Tibiri</t>
        </is>
      </c>
      <c r="C9" s="40" t="n">
        <v>1</v>
      </c>
      <c r="D9" s="41" t="n">
        <v>1</v>
      </c>
      <c r="E9" s="49" t="inlineStr">
        <is>
          <t>Katare Guidan Ousmane 1</t>
        </is>
      </c>
      <c r="F9" s="39" t="inlineStr">
        <is>
          <t>Intervention</t>
        </is>
      </c>
      <c r="G9" s="43" t="n">
        <v>2019</v>
      </c>
      <c r="H9" s="49" t="n">
        <v>1</v>
      </c>
      <c r="I9" s="532">
        <f>1/21</f>
        <v/>
      </c>
      <c r="J9" s="532" t="n">
        <v>0.5</v>
      </c>
      <c r="K9" s="532" t="n">
        <v>0.52</v>
      </c>
      <c r="L9" s="533" t="n">
        <v>4</v>
      </c>
      <c r="M9" s="533" t="n">
        <v>5</v>
      </c>
      <c r="N9" s="534" t="n">
        <v>1</v>
      </c>
      <c r="O9" s="533" t="n">
        <v>4</v>
      </c>
      <c r="P9" s="533" t="n">
        <v>5</v>
      </c>
      <c r="Q9" s="534" t="n">
        <v>1</v>
      </c>
      <c r="R9" s="527" t="n"/>
      <c r="S9" s="49" t="inlineStr">
        <is>
          <t>N/A</t>
        </is>
      </c>
      <c r="T9" s="49" t="n"/>
      <c r="U9" s="49" t="n"/>
      <c r="V9" s="49" t="n"/>
      <c r="W9" s="49" t="n"/>
      <c r="X9" s="49" t="n"/>
      <c r="Y9" s="49" t="n"/>
      <c r="Z9" s="49" t="n"/>
      <c r="AA9" s="49" t="n"/>
      <c r="AB9" s="49" t="n"/>
      <c r="AC9" s="49" t="n"/>
      <c r="AD9" s="49" t="n"/>
      <c r="AE9" s="49" t="n"/>
      <c r="AF9" s="35" t="n"/>
      <c r="AG9" s="35" t="n"/>
    </row>
    <row r="10">
      <c r="A10" s="92" t="n"/>
      <c r="B10" s="92" t="inlineStr">
        <is>
          <t>Tibiri</t>
        </is>
      </c>
      <c r="C10" s="528" t="n">
        <v>1</v>
      </c>
      <c r="D10" s="445" t="n">
        <v>2</v>
      </c>
      <c r="E10" s="529" t="inlineStr">
        <is>
          <t xml:space="preserve">Soura 3 </t>
        </is>
      </c>
      <c r="F10" s="530" t="inlineStr">
        <is>
          <t>Control/intervention</t>
        </is>
      </c>
      <c r="G10" s="55" t="n">
        <v>2019</v>
      </c>
      <c r="H10" s="62" t="n">
        <v>1</v>
      </c>
      <c r="I10" s="562">
        <f>5/21</f>
        <v/>
      </c>
      <c r="J10" s="562" t="n">
        <v>0.57</v>
      </c>
      <c r="K10" s="562" t="n">
        <v>0.57</v>
      </c>
      <c r="L10" s="535" t="n">
        <v>4</v>
      </c>
      <c r="M10" s="535">
        <f>L10+N10</f>
        <v/>
      </c>
      <c r="N10" s="62" t="n">
        <v>1.57</v>
      </c>
      <c r="O10" s="535" t="n">
        <v>4</v>
      </c>
      <c r="P10" s="535">
        <f>O10+Q10</f>
        <v/>
      </c>
      <c r="Q10" s="62" t="n">
        <v>1.59</v>
      </c>
      <c r="R10" s="62" t="n">
        <v>1.58</v>
      </c>
      <c r="S10" s="49" t="inlineStr">
        <is>
          <t>N/A</t>
        </is>
      </c>
      <c r="T10" s="62" t="n"/>
      <c r="U10" s="62" t="n"/>
      <c r="V10" s="62" t="n"/>
      <c r="W10" s="62" t="n"/>
      <c r="X10" s="62" t="n"/>
      <c r="Y10" s="62" t="n"/>
      <c r="Z10" s="62" t="n"/>
      <c r="AA10" s="62" t="n"/>
      <c r="AB10" s="62" t="n"/>
      <c r="AC10" s="62" t="n"/>
      <c r="AD10" s="62" t="n"/>
      <c r="AE10" s="62" t="n"/>
      <c r="AF10" s="35" t="n"/>
      <c r="AG10" s="35" t="n"/>
    </row>
    <row r="11">
      <c r="A11" s="67" t="n"/>
      <c r="B11" s="67" t="inlineStr">
        <is>
          <t>Tibiri</t>
        </is>
      </c>
      <c r="C11" s="64" t="n">
        <v>2</v>
      </c>
      <c r="D11" s="65" t="n">
        <v>3</v>
      </c>
      <c r="E11" s="72" t="inlineStr">
        <is>
          <t xml:space="preserve">Katare Guidan Ousmane 2 </t>
        </is>
      </c>
      <c r="F11" s="67" t="inlineStr">
        <is>
          <t>Intervention</t>
        </is>
      </c>
      <c r="G11" s="68" t="n">
        <v>2019</v>
      </c>
      <c r="H11" s="72" t="n">
        <v>1</v>
      </c>
      <c r="I11" s="561">
        <f>2/24</f>
        <v/>
      </c>
      <c r="J11" s="561" t="n">
        <v>0.41</v>
      </c>
      <c r="K11" s="561" t="n">
        <v>0.5</v>
      </c>
      <c r="L11" s="536" t="n">
        <v>4</v>
      </c>
      <c r="M11" s="536" t="n">
        <v>5</v>
      </c>
      <c r="N11" s="537" t="n">
        <v>1</v>
      </c>
      <c r="O11" s="536" t="n">
        <v>4</v>
      </c>
      <c r="P11" s="536" t="n">
        <v>5</v>
      </c>
      <c r="Q11" s="537" t="n">
        <v>1</v>
      </c>
      <c r="R11" s="72" t="n"/>
      <c r="S11" s="49" t="inlineStr">
        <is>
          <t>N/A</t>
        </is>
      </c>
      <c r="T11" s="72" t="n"/>
      <c r="U11" s="72" t="n"/>
      <c r="V11" s="72" t="n"/>
      <c r="W11" s="72" t="n"/>
      <c r="X11" s="72" t="n"/>
      <c r="Y11" s="72" t="n"/>
      <c r="Z11" s="72" t="n"/>
      <c r="AA11" s="72" t="n"/>
      <c r="AB11" s="72" t="n"/>
      <c r="AC11" s="72" t="n"/>
      <c r="AD11" s="72" t="n"/>
      <c r="AE11" s="72" t="n"/>
      <c r="AF11" s="547" t="n"/>
      <c r="AG11" s="547" t="n"/>
    </row>
    <row r="12">
      <c r="A12" s="76" t="n"/>
      <c r="B12" s="76" t="inlineStr">
        <is>
          <t>Tibiri</t>
        </is>
      </c>
      <c r="C12" s="531" t="n">
        <v>2</v>
      </c>
      <c r="D12" s="74" t="n">
        <v>4</v>
      </c>
      <c r="E12" s="81" t="inlineStr">
        <is>
          <t xml:space="preserve">Kara Kara 3 </t>
        </is>
      </c>
      <c r="F12" s="76" t="inlineStr">
        <is>
          <t>Control</t>
        </is>
      </c>
      <c r="G12" s="68" t="n">
        <v>2019</v>
      </c>
      <c r="H12" s="81" t="n">
        <v>1</v>
      </c>
      <c r="I12" s="538">
        <f>2/32</f>
        <v/>
      </c>
      <c r="J12" s="538" t="n">
        <v>0.52</v>
      </c>
      <c r="K12" s="538" t="n">
        <v>0.5</v>
      </c>
      <c r="L12" s="535" t="n">
        <v>4</v>
      </c>
      <c r="M12" s="535">
        <f>L12+N12</f>
        <v/>
      </c>
      <c r="N12" s="81" t="n">
        <v>-1.15</v>
      </c>
      <c r="O12" s="535" t="n">
        <v>4</v>
      </c>
      <c r="P12" s="535">
        <f>O12+Q12</f>
        <v/>
      </c>
      <c r="Q12" s="81" t="n">
        <v>1.24</v>
      </c>
      <c r="R12" s="81" t="n">
        <v>0.05</v>
      </c>
      <c r="S12" s="49" t="inlineStr">
        <is>
          <t>N/A</t>
        </is>
      </c>
      <c r="T12" s="81" t="n"/>
      <c r="U12" s="81" t="n"/>
      <c r="V12" s="81" t="n"/>
      <c r="W12" s="81" t="n"/>
      <c r="X12" s="81" t="n"/>
      <c r="Y12" s="81" t="n"/>
      <c r="Z12" s="81" t="n"/>
      <c r="AA12" s="81" t="n"/>
      <c r="AB12" s="81" t="n"/>
      <c r="AC12" s="81" t="n"/>
      <c r="AD12" s="81" t="n"/>
      <c r="AE12" s="81" t="n"/>
      <c r="AF12" s="547" t="n"/>
      <c r="AG12" s="547" t="n"/>
    </row>
    <row r="13">
      <c r="A13" s="641" t="n"/>
      <c r="B13" s="641" t="inlineStr">
        <is>
          <t>Tibiri</t>
        </is>
      </c>
      <c r="C13" s="40" t="n">
        <v>1</v>
      </c>
      <c r="D13" s="439" t="n">
        <v>1</v>
      </c>
      <c r="E13" s="49" t="inlineStr">
        <is>
          <t>Katare Guidan Ousmane 1</t>
        </is>
      </c>
      <c r="F13" s="641" t="inlineStr">
        <is>
          <t>Intervention</t>
        </is>
      </c>
      <c r="G13" s="641" t="n">
        <v>2020</v>
      </c>
      <c r="H13" s="35" t="n">
        <v>2</v>
      </c>
      <c r="I13" s="540" t="n">
        <v>0</v>
      </c>
      <c r="J13" s="540" t="n">
        <v>0.72</v>
      </c>
      <c r="K13" s="157" t="n"/>
      <c r="L13" s="541" t="n">
        <v>4</v>
      </c>
      <c r="M13" s="542">
        <f>L13+N13</f>
        <v/>
      </c>
      <c r="N13" s="129" t="n">
        <v>4.24</v>
      </c>
      <c r="O13" s="541" t="n">
        <v>4</v>
      </c>
      <c r="P13" s="542">
        <f>O13+Q13</f>
        <v/>
      </c>
      <c r="Q13" s="129" t="n">
        <v>4.87</v>
      </c>
      <c r="R13" s="129" t="n">
        <v>4.56</v>
      </c>
      <c r="S13" s="35" t="inlineStr">
        <is>
          <t>N/A</t>
        </is>
      </c>
      <c r="U13" s="35" t="n"/>
      <c r="V13" s="35" t="n"/>
      <c r="W13" s="35" t="n"/>
      <c r="X13" s="35" t="n"/>
      <c r="Y13" s="35" t="n"/>
      <c r="Z13" s="35" t="n"/>
      <c r="AA13" s="35" t="n"/>
      <c r="AB13" s="35" t="n"/>
      <c r="AC13" s="35" t="n"/>
    </row>
    <row r="14">
      <c r="A14" s="649" t="n"/>
      <c r="B14" s="649" t="inlineStr">
        <is>
          <t>Tibiri</t>
        </is>
      </c>
      <c r="C14" s="528" t="n">
        <v>1</v>
      </c>
      <c r="D14" s="399" t="n">
        <v>2</v>
      </c>
      <c r="E14" s="62" t="inlineStr">
        <is>
          <t xml:space="preserve">Soura 3 </t>
        </is>
      </c>
      <c r="F14" s="649" t="inlineStr">
        <is>
          <t>Control</t>
        </is>
      </c>
      <c r="G14" s="641" t="n">
        <v>2020</v>
      </c>
      <c r="H14" s="544" t="n">
        <v>2</v>
      </c>
      <c r="I14" s="564" t="n">
        <v>0.05</v>
      </c>
      <c r="J14" s="564" t="n">
        <v>0.5</v>
      </c>
      <c r="K14" s="141" t="n"/>
      <c r="L14" s="541" t="n">
        <v>4</v>
      </c>
      <c r="M14" s="542">
        <f>L14+N14</f>
        <v/>
      </c>
      <c r="N14" s="142" t="n">
        <v>2.36</v>
      </c>
      <c r="O14" s="541" t="n">
        <v>4</v>
      </c>
      <c r="P14" s="542">
        <f>O14+Q14</f>
        <v/>
      </c>
      <c r="Q14" s="142" t="n">
        <v>3.24</v>
      </c>
      <c r="R14" s="142" t="n">
        <v>2.62</v>
      </c>
      <c r="S14" s="35" t="inlineStr">
        <is>
          <t>N/A</t>
        </is>
      </c>
      <c r="U14" s="544" t="n"/>
      <c r="V14" s="544" t="n"/>
      <c r="W14" s="544" t="n"/>
      <c r="X14" s="544" t="n"/>
      <c r="Y14" s="544" t="n"/>
      <c r="Z14" s="544" t="n"/>
      <c r="AA14" s="544" t="n"/>
      <c r="AB14" s="544" t="n"/>
      <c r="AC14" s="544" t="n"/>
    </row>
    <row r="15">
      <c r="A15" s="546" t="n"/>
      <c r="B15" s="546" t="inlineStr">
        <is>
          <t>Tibiri</t>
        </is>
      </c>
      <c r="C15" s="64" t="n">
        <v>2</v>
      </c>
      <c r="D15" s="420" t="n">
        <v>3</v>
      </c>
      <c r="E15" s="72" t="inlineStr">
        <is>
          <t>Katare Guidan Ousmane 2</t>
        </is>
      </c>
      <c r="F15" s="546" t="inlineStr">
        <is>
          <t>Intervention</t>
        </is>
      </c>
      <c r="G15" s="546" t="n">
        <v>2020</v>
      </c>
      <c r="H15" s="547" t="n">
        <v>2</v>
      </c>
      <c r="I15" s="569" t="n">
        <v>0</v>
      </c>
      <c r="J15" s="569" t="n">
        <v>0.72</v>
      </c>
      <c r="K15" s="157" t="n"/>
      <c r="L15" s="541" t="n">
        <v>4</v>
      </c>
      <c r="M15" s="542">
        <f>L15+N15</f>
        <v/>
      </c>
      <c r="N15" s="150" t="n">
        <v>1.8</v>
      </c>
      <c r="O15" s="541" t="n">
        <v>4</v>
      </c>
      <c r="P15" s="542">
        <f>O15+Q15</f>
        <v/>
      </c>
      <c r="Q15" s="150" t="n">
        <v>3.2</v>
      </c>
      <c r="R15" s="150" t="n">
        <v>2.5</v>
      </c>
      <c r="S15" s="35" t="inlineStr">
        <is>
          <t>N/A</t>
        </is>
      </c>
      <c r="U15" s="547" t="n"/>
      <c r="V15" s="547" t="n"/>
      <c r="W15" s="547" t="n"/>
      <c r="X15" s="547" t="n"/>
      <c r="Y15" s="547" t="n"/>
      <c r="Z15" s="547" t="n"/>
      <c r="AA15" s="547" t="n"/>
      <c r="AB15" s="547" t="n"/>
      <c r="AC15" s="547" t="n"/>
    </row>
    <row r="16">
      <c r="A16" s="549" t="n"/>
      <c r="B16" s="549" t="inlineStr">
        <is>
          <t>Tibiri</t>
        </is>
      </c>
      <c r="C16" s="531" t="n">
        <v>2</v>
      </c>
      <c r="D16" s="420" t="n">
        <v>4</v>
      </c>
      <c r="E16" s="81" t="inlineStr">
        <is>
          <t>Kara Kara 3</t>
        </is>
      </c>
      <c r="F16" s="549" t="inlineStr">
        <is>
          <t>Control</t>
        </is>
      </c>
      <c r="G16" s="546" t="n">
        <v>2020</v>
      </c>
      <c r="H16" s="550" t="n">
        <v>2</v>
      </c>
      <c r="I16" s="567" t="n">
        <v>0.03</v>
      </c>
      <c r="J16" s="567" t="n">
        <v>0.51</v>
      </c>
      <c r="K16" s="141" t="n"/>
      <c r="L16" s="541" t="n">
        <v>4</v>
      </c>
      <c r="M16" s="542">
        <f>L16+N16</f>
        <v/>
      </c>
      <c r="N16" s="153" t="n">
        <v>4.67</v>
      </c>
      <c r="O16" s="541" t="n">
        <v>4</v>
      </c>
      <c r="P16" s="542">
        <f>O16+Q16</f>
        <v/>
      </c>
      <c r="Q16" s="153" t="n">
        <v>3.03</v>
      </c>
      <c r="R16" s="153" t="n">
        <v>3.54</v>
      </c>
      <c r="S16" s="35" t="inlineStr">
        <is>
          <t>N/A</t>
        </is>
      </c>
      <c r="U16" s="550" t="n"/>
      <c r="V16" s="550" t="n"/>
      <c r="W16" s="550" t="n"/>
      <c r="X16" s="550" t="n"/>
      <c r="Y16" s="550" t="n"/>
      <c r="Z16" s="550" t="n"/>
      <c r="AA16" s="550" t="n"/>
      <c r="AB16" s="550" t="n"/>
      <c r="AC16" s="550" t="n"/>
    </row>
    <row r="17">
      <c r="J17" s="520" t="inlineStr">
        <is>
          <t>%</t>
        </is>
      </c>
    </row>
    <row r="18">
      <c r="D18" s="520" t="inlineStr">
        <is>
          <t>compare 2019 to 2018</t>
        </is>
      </c>
      <c r="E18" s="520" t="inlineStr">
        <is>
          <t>year 1 impact of LFF on graduation in school 1 (compared to school 2)</t>
        </is>
      </c>
      <c r="J18" s="520">
        <f>(50-50)-(57-50)</f>
        <v/>
      </c>
      <c r="K18" s="552" t="n"/>
      <c r="N18" s="520" t="inlineStr">
        <is>
          <t>NA</t>
        </is>
      </c>
      <c r="Q18" s="520" t="inlineStr">
        <is>
          <t>NA</t>
        </is>
      </c>
    </row>
    <row r="19">
      <c r="D19" s="520" t="inlineStr">
        <is>
          <t>compare 2020 to 2018</t>
        </is>
      </c>
      <c r="E19" s="520" t="inlineStr">
        <is>
          <t>year 2 impact of LFF on graduation in school 1 (compared to school 2)</t>
        </is>
      </c>
      <c r="J19" s="520">
        <f>(72-50)-(50-50)</f>
        <v/>
      </c>
      <c r="K19" s="552" t="n"/>
    </row>
    <row r="20">
      <c r="D20" s="520" t="inlineStr">
        <is>
          <t>compare 2021 to 2018</t>
        </is>
      </c>
      <c r="E20" s="520" t="inlineStr">
        <is>
          <t>year 3 impact of LFF on graduation in school 1 (compared to school 2)</t>
        </is>
      </c>
    </row>
  </sheetData>
  <conditionalFormatting sqref="I1:T16 U13:V16">
    <cfRule type="cellIs" priority="1" operator="equal" dxfId="1">
      <formula>"NA"</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A1003"/>
  <sheetViews>
    <sheetView workbookViewId="0">
      <selection activeCell="A1" sqref="A1"/>
    </sheetView>
  </sheetViews>
  <sheetFormatPr baseColWidth="8" defaultColWidth="12.63" defaultRowHeight="15.75" customHeight="1"/>
  <cols>
    <col width="20.5" customWidth="1" style="695" min="1" max="1"/>
    <col width="15.13" customWidth="1" style="695" min="3" max="3"/>
  </cols>
  <sheetData>
    <row r="1">
      <c r="A1" s="553" t="n"/>
      <c r="B1" s="553" t="n"/>
      <c r="C1" s="553" t="n"/>
      <c r="D1" s="553" t="n"/>
      <c r="E1" s="553" t="n"/>
      <c r="F1" s="553" t="n"/>
      <c r="G1" s="553" t="n"/>
      <c r="H1" s="553" t="n"/>
      <c r="I1" s="553" t="n"/>
      <c r="J1" s="553" t="n"/>
      <c r="K1" s="554" t="n"/>
      <c r="L1" s="554" t="n"/>
      <c r="M1" s="554" t="n"/>
      <c r="N1" s="554" t="n"/>
      <c r="O1" s="554" t="n"/>
      <c r="P1" s="554" t="n"/>
      <c r="Q1" s="554" t="n"/>
      <c r="R1" s="554" t="n"/>
      <c r="S1" s="554" t="n"/>
      <c r="T1" s="554" t="n"/>
      <c r="U1" s="554" t="n"/>
      <c r="V1" s="554" t="n"/>
      <c r="W1" s="554" t="n"/>
      <c r="X1" s="554" t="n"/>
      <c r="Y1" s="554" t="n"/>
      <c r="Z1" s="554" t="n"/>
      <c r="AA1" s="554" t="n"/>
    </row>
    <row r="2">
      <c r="A2" s="555" t="inlineStr">
        <is>
          <t>NOTHING TO FILL OUT HERE NOW - WE will analyze the raw data and then fill in this table</t>
        </is>
      </c>
      <c r="I2" s="553" t="n"/>
      <c r="J2" s="553" t="n"/>
      <c r="K2" s="554" t="n"/>
      <c r="L2" s="554" t="n"/>
      <c r="M2" s="554" t="n"/>
      <c r="N2" s="554" t="n"/>
      <c r="O2" s="554" t="n"/>
      <c r="P2" s="554" t="n"/>
      <c r="Q2" s="554" t="n"/>
      <c r="R2" s="554" t="n"/>
      <c r="S2" s="554" t="n"/>
      <c r="T2" s="554" t="n"/>
      <c r="U2" s="554" t="n"/>
      <c r="V2" s="554" t="n"/>
      <c r="W2" s="554" t="n"/>
      <c r="X2" s="554" t="n"/>
      <c r="Y2" s="554" t="n"/>
      <c r="Z2" s="554" t="n"/>
      <c r="AA2" s="554" t="n"/>
    </row>
    <row r="3">
      <c r="A3" s="553" t="n"/>
      <c r="B3" s="553" t="n"/>
      <c r="C3" s="553" t="n"/>
      <c r="D3" s="553" t="n"/>
      <c r="E3" s="553" t="n"/>
      <c r="F3" s="553" t="n"/>
      <c r="G3" s="553" t="n"/>
      <c r="H3" s="553" t="n"/>
      <c r="I3" s="553" t="n"/>
      <c r="J3" s="553" t="n"/>
      <c r="K3" s="554" t="n"/>
      <c r="L3" s="554" t="n"/>
      <c r="M3" s="554" t="n"/>
      <c r="N3" s="554" t="n"/>
      <c r="O3" s="554" t="n"/>
      <c r="P3" s="554" t="n"/>
      <c r="Q3" s="554" t="n"/>
      <c r="R3" s="554" t="n"/>
      <c r="S3" s="554" t="n"/>
      <c r="T3" s="554" t="n"/>
      <c r="U3" s="554" t="n"/>
      <c r="V3" s="554" t="n"/>
      <c r="W3" s="554" t="n"/>
      <c r="X3" s="554" t="n"/>
      <c r="Y3" s="554" t="n"/>
      <c r="Z3" s="554" t="n"/>
      <c r="AA3" s="554" t="n"/>
    </row>
    <row r="4">
      <c r="A4" s="553" t="inlineStr">
        <is>
          <t>Number of years school participated in Hilin Mu program</t>
        </is>
      </c>
      <c r="B4" s="553" t="inlineStr">
        <is>
          <t>Number of schools (pairs) evaluated</t>
        </is>
      </c>
      <c r="C4" s="553" t="inlineStr">
        <is>
          <t>Change in secondary enrollment + presence in class</t>
        </is>
      </c>
      <c r="D4" s="553" t="inlineStr">
        <is>
          <t>Change in secondary enrollment</t>
        </is>
      </c>
      <c r="E4" s="553" t="inlineStr">
        <is>
          <t>Change in secondary exam pass rate</t>
        </is>
      </c>
      <c r="F4" s="553" t="inlineStr">
        <is>
          <t>Change in secondary exam math scores</t>
        </is>
      </c>
      <c r="G4" s="553" t="inlineStr">
        <is>
          <t>Change in secondary exam French scores</t>
        </is>
      </c>
      <c r="H4" s="553" t="inlineStr">
        <is>
          <t>Change in primary school dropout rate</t>
        </is>
      </c>
      <c r="I4" s="553" t="n"/>
      <c r="J4" s="553" t="n"/>
      <c r="K4" s="554" t="n"/>
      <c r="L4" s="554" t="n"/>
      <c r="M4" s="554" t="n"/>
      <c r="N4" s="554" t="n"/>
      <c r="O4" s="554" t="n"/>
      <c r="P4" s="554" t="n"/>
      <c r="Q4" s="554" t="n"/>
      <c r="R4" s="554" t="n"/>
      <c r="S4" s="554" t="n"/>
      <c r="T4" s="554" t="n"/>
      <c r="U4" s="554" t="n"/>
      <c r="V4" s="554" t="n"/>
      <c r="W4" s="554" t="n"/>
      <c r="X4" s="554" t="n"/>
      <c r="Y4" s="554" t="n"/>
      <c r="Z4" s="554" t="n"/>
      <c r="AA4" s="554" t="n"/>
    </row>
    <row r="5">
      <c r="A5" s="516" t="n">
        <v>1</v>
      </c>
      <c r="B5" s="516" t="n"/>
      <c r="C5" s="516" t="n"/>
      <c r="D5" s="516" t="n"/>
      <c r="E5" s="516" t="n"/>
      <c r="F5" s="516" t="n"/>
      <c r="G5" s="516" t="n"/>
      <c r="H5" s="516" t="n"/>
      <c r="I5" s="516" t="n"/>
      <c r="J5" s="516" t="n"/>
    </row>
    <row r="6">
      <c r="A6" s="516" t="n">
        <v>2</v>
      </c>
      <c r="B6" s="516" t="n"/>
      <c r="C6" s="516" t="n"/>
      <c r="D6" s="516" t="n"/>
      <c r="E6" s="516" t="n"/>
      <c r="F6" s="516" t="n"/>
      <c r="G6" s="516" t="n"/>
      <c r="H6" s="516" t="n"/>
      <c r="I6" s="516" t="n"/>
      <c r="J6" s="516" t="n"/>
    </row>
    <row r="7">
      <c r="A7" s="516" t="n">
        <v>3</v>
      </c>
      <c r="B7" s="516" t="n"/>
      <c r="D7" s="516" t="n"/>
      <c r="E7" s="516" t="n"/>
      <c r="F7" s="516" t="n"/>
      <c r="G7" s="516" t="n"/>
      <c r="H7" s="516" t="n"/>
      <c r="I7" s="516" t="n"/>
      <c r="J7" s="516" t="n"/>
    </row>
    <row r="8">
      <c r="A8" s="516" t="n">
        <v>4</v>
      </c>
      <c r="B8" s="516" t="n"/>
      <c r="C8" s="516" t="n"/>
      <c r="D8" s="516" t="n"/>
      <c r="E8" s="516" t="n"/>
      <c r="F8" s="516" t="n"/>
      <c r="G8" s="516" t="n"/>
      <c r="H8" s="516" t="n"/>
      <c r="I8" s="516" t="n"/>
      <c r="J8" s="516" t="n"/>
    </row>
    <row r="9">
      <c r="A9" s="516" t="n">
        <v>5</v>
      </c>
      <c r="B9" s="516" t="n"/>
      <c r="C9" s="516" t="n"/>
      <c r="D9" s="516" t="n"/>
      <c r="E9" s="516" t="n"/>
      <c r="F9" s="516" t="n"/>
      <c r="G9" s="516" t="n"/>
      <c r="H9" s="516" t="n"/>
      <c r="I9" s="516" t="n"/>
      <c r="J9" s="516" t="n"/>
    </row>
    <row r="10">
      <c r="A10" s="516" t="n">
        <v>6</v>
      </c>
      <c r="B10" s="516" t="n"/>
      <c r="C10" s="516" t="n"/>
      <c r="D10" s="516" t="n"/>
      <c r="E10" s="516" t="n"/>
      <c r="F10" s="516" t="n"/>
      <c r="G10" s="516" t="n"/>
      <c r="H10" s="516" t="n"/>
      <c r="I10" s="516" t="n"/>
      <c r="J10" s="516" t="n"/>
    </row>
    <row r="11">
      <c r="A11" s="516" t="n"/>
      <c r="B11" s="516" t="n"/>
      <c r="C11" s="516" t="n"/>
      <c r="D11" s="516" t="n"/>
      <c r="E11" s="516" t="n"/>
      <c r="F11" s="516" t="n"/>
      <c r="G11" s="516" t="n"/>
      <c r="H11" s="516" t="n"/>
      <c r="I11" s="516" t="n"/>
      <c r="J11" s="516" t="n"/>
    </row>
    <row r="12">
      <c r="A12" s="516" t="n"/>
      <c r="B12" s="516" t="n"/>
      <c r="C12" s="516" t="n"/>
      <c r="D12" s="516" t="n"/>
      <c r="E12" s="516" t="n"/>
      <c r="F12" s="516" t="n"/>
      <c r="G12" s="516" t="n"/>
      <c r="H12" s="516" t="n"/>
      <c r="I12" s="516" t="n"/>
      <c r="J12" s="516" t="n"/>
    </row>
    <row r="13">
      <c r="A13" s="516" t="n"/>
      <c r="B13" s="516" t="n"/>
      <c r="C13" s="516" t="n"/>
      <c r="D13" s="516" t="n"/>
      <c r="E13" s="516" t="n"/>
      <c r="F13" s="516" t="n"/>
      <c r="G13" s="516" t="n"/>
      <c r="H13" s="516" t="n"/>
      <c r="I13" s="516" t="n"/>
      <c r="J13" s="516" t="n"/>
    </row>
    <row r="14">
      <c r="A14" s="516" t="n"/>
      <c r="B14" s="516" t="n"/>
      <c r="C14" s="516" t="n"/>
      <c r="D14" s="516" t="n"/>
      <c r="E14" s="516" t="n"/>
      <c r="F14" s="516" t="n"/>
      <c r="G14" s="516" t="n"/>
      <c r="H14" s="516" t="n"/>
      <c r="I14" s="516" t="n"/>
      <c r="J14" s="516" t="n"/>
    </row>
    <row r="15">
      <c r="A15" s="516" t="n"/>
      <c r="B15" s="516" t="n"/>
      <c r="C15" s="516" t="n"/>
      <c r="D15" s="516" t="n"/>
      <c r="E15" s="516" t="n"/>
      <c r="F15" s="516" t="n"/>
      <c r="G15" s="516" t="n"/>
      <c r="H15" s="516" t="n"/>
      <c r="I15" s="516" t="n"/>
      <c r="J15" s="516" t="n"/>
    </row>
    <row r="16">
      <c r="A16" s="516" t="n"/>
      <c r="B16" s="516" t="n"/>
      <c r="C16" s="516" t="n"/>
      <c r="D16" s="516" t="n"/>
      <c r="E16" s="516" t="n"/>
      <c r="F16" s="516" t="n"/>
      <c r="G16" s="516" t="n"/>
      <c r="H16" s="516" t="n"/>
      <c r="I16" s="516" t="n"/>
      <c r="J16" s="516" t="n"/>
    </row>
    <row r="17">
      <c r="A17" s="516" t="n"/>
      <c r="B17" s="516" t="n"/>
      <c r="C17" s="516" t="n"/>
      <c r="D17" s="516" t="n"/>
      <c r="E17" s="516" t="n"/>
      <c r="F17" s="516" t="n"/>
      <c r="G17" s="516" t="n"/>
      <c r="H17" s="516" t="n"/>
      <c r="I17" s="516" t="n"/>
      <c r="J17" s="516" t="n"/>
    </row>
    <row r="18">
      <c r="A18" s="516" t="n"/>
      <c r="B18" s="516" t="n"/>
      <c r="C18" s="516" t="n"/>
      <c r="D18" s="516" t="n"/>
      <c r="E18" s="516" t="n"/>
      <c r="F18" s="516" t="n"/>
      <c r="G18" s="516" t="n"/>
      <c r="H18" s="516" t="n"/>
      <c r="I18" s="516" t="n"/>
      <c r="J18" s="516" t="n"/>
    </row>
    <row r="19">
      <c r="A19" s="516" t="n"/>
      <c r="B19" s="516" t="n"/>
      <c r="C19" s="516" t="n"/>
      <c r="D19" s="516" t="n"/>
      <c r="E19" s="516" t="n"/>
      <c r="F19" s="516" t="n"/>
      <c r="G19" s="516" t="n"/>
      <c r="H19" s="516" t="n"/>
      <c r="I19" s="516" t="n"/>
      <c r="J19" s="516" t="n"/>
    </row>
    <row r="20">
      <c r="A20" s="516" t="n"/>
      <c r="B20" s="516" t="n"/>
      <c r="C20" s="516" t="n"/>
      <c r="D20" s="516" t="n"/>
      <c r="E20" s="516" t="n"/>
      <c r="F20" s="516" t="n"/>
      <c r="G20" s="516" t="n"/>
      <c r="H20" s="516" t="n"/>
      <c r="I20" s="516" t="n"/>
      <c r="J20" s="516" t="n"/>
    </row>
    <row r="21">
      <c r="A21" s="516" t="n"/>
      <c r="B21" s="516" t="n"/>
      <c r="C21" s="516" t="n"/>
      <c r="D21" s="516" t="n"/>
      <c r="E21" s="516" t="n"/>
      <c r="F21" s="516" t="n"/>
      <c r="G21" s="516" t="n"/>
      <c r="H21" s="516" t="n"/>
      <c r="I21" s="516" t="n"/>
      <c r="J21" s="516" t="n"/>
    </row>
    <row r="22">
      <c r="A22" s="516" t="n"/>
      <c r="B22" s="516" t="n"/>
      <c r="C22" s="516" t="n"/>
      <c r="D22" s="516" t="n"/>
      <c r="E22" s="516" t="n"/>
      <c r="F22" s="516" t="n"/>
      <c r="G22" s="516" t="n"/>
      <c r="H22" s="516" t="n"/>
      <c r="I22" s="516" t="n"/>
      <c r="J22" s="516" t="n"/>
    </row>
    <row r="23">
      <c r="A23" s="516" t="n"/>
      <c r="B23" s="516" t="n"/>
      <c r="C23" s="516" t="n"/>
      <c r="D23" s="516" t="n"/>
      <c r="E23" s="516" t="n"/>
      <c r="F23" s="516" t="n"/>
      <c r="G23" s="516" t="n"/>
      <c r="H23" s="516" t="n"/>
      <c r="I23" s="516" t="n"/>
      <c r="J23" s="516" t="n"/>
    </row>
    <row r="24">
      <c r="A24" s="516" t="n"/>
      <c r="B24" s="516" t="n"/>
      <c r="C24" s="516" t="n"/>
      <c r="D24" s="516" t="n"/>
      <c r="E24" s="516" t="n"/>
      <c r="F24" s="516" t="n"/>
      <c r="G24" s="516" t="n"/>
      <c r="H24" s="516" t="n"/>
      <c r="I24" s="516" t="n"/>
      <c r="J24" s="516" t="n"/>
    </row>
    <row r="25">
      <c r="A25" s="516" t="n"/>
      <c r="B25" s="516" t="n"/>
      <c r="C25" s="516" t="n"/>
      <c r="D25" s="516" t="n"/>
      <c r="E25" s="516" t="n"/>
      <c r="F25" s="516" t="n"/>
      <c r="G25" s="516" t="n"/>
      <c r="H25" s="516" t="n"/>
      <c r="I25" s="516" t="n"/>
      <c r="J25" s="516" t="n"/>
    </row>
    <row r="26">
      <c r="A26" s="516" t="n"/>
      <c r="B26" s="516" t="n"/>
      <c r="C26" s="516" t="n"/>
      <c r="D26" s="516" t="n"/>
      <c r="E26" s="516" t="n"/>
      <c r="F26" s="516" t="n"/>
      <c r="G26" s="516" t="n"/>
      <c r="H26" s="516" t="n"/>
      <c r="I26" s="516" t="n"/>
      <c r="J26" s="516" t="n"/>
    </row>
    <row r="27">
      <c r="A27" s="516" t="n"/>
      <c r="B27" s="516" t="n"/>
      <c r="C27" s="516" t="n"/>
      <c r="D27" s="516" t="n"/>
      <c r="E27" s="516" t="n"/>
      <c r="F27" s="516" t="n"/>
      <c r="G27" s="516" t="n"/>
      <c r="H27" s="516" t="n"/>
      <c r="I27" s="516" t="n"/>
      <c r="J27" s="516" t="n"/>
    </row>
    <row r="28">
      <c r="A28" s="516" t="n"/>
      <c r="B28" s="516" t="n"/>
      <c r="C28" s="516" t="n"/>
      <c r="D28" s="516" t="n"/>
      <c r="E28" s="516" t="n"/>
      <c r="F28" s="516" t="n"/>
      <c r="G28" s="516" t="n"/>
      <c r="H28" s="516" t="n"/>
      <c r="I28" s="516" t="n"/>
      <c r="J28" s="516" t="n"/>
    </row>
    <row r="29">
      <c r="A29" s="516" t="n"/>
      <c r="B29" s="516" t="n"/>
      <c r="C29" s="516" t="n"/>
      <c r="D29" s="516" t="n"/>
      <c r="E29" s="516" t="n"/>
      <c r="F29" s="516" t="n"/>
      <c r="G29" s="516" t="n"/>
      <c r="H29" s="516" t="n"/>
      <c r="I29" s="516" t="n"/>
      <c r="J29" s="516" t="n"/>
    </row>
    <row r="30">
      <c r="A30" s="516" t="n"/>
      <c r="B30" s="516" t="n"/>
      <c r="C30" s="516" t="n"/>
      <c r="D30" s="516" t="n"/>
      <c r="E30" s="516" t="n"/>
      <c r="F30" s="516" t="n"/>
      <c r="G30" s="516" t="n"/>
      <c r="H30" s="516" t="n"/>
      <c r="I30" s="516" t="n"/>
      <c r="J30" s="516" t="n"/>
    </row>
    <row r="31">
      <c r="A31" s="516" t="n"/>
      <c r="B31" s="516" t="n"/>
      <c r="C31" s="516" t="n"/>
      <c r="D31" s="516" t="n"/>
      <c r="E31" s="516" t="n"/>
      <c r="F31" s="516" t="n"/>
      <c r="G31" s="516" t="n"/>
      <c r="H31" s="516" t="n"/>
      <c r="I31" s="516" t="n"/>
      <c r="J31" s="516" t="n"/>
    </row>
    <row r="32">
      <c r="A32" s="516" t="n"/>
      <c r="B32" s="516" t="n"/>
      <c r="C32" s="516" t="n"/>
      <c r="D32" s="516" t="n"/>
      <c r="E32" s="516" t="n"/>
      <c r="F32" s="516" t="n"/>
      <c r="G32" s="516" t="n"/>
      <c r="H32" s="516" t="n"/>
      <c r="I32" s="516" t="n"/>
      <c r="J32" s="516" t="n"/>
    </row>
    <row r="33">
      <c r="A33" s="516" t="n"/>
      <c r="B33" s="516" t="n"/>
      <c r="C33" s="516" t="n"/>
      <c r="D33" s="516" t="n"/>
      <c r="E33" s="516" t="n"/>
      <c r="F33" s="516" t="n"/>
      <c r="G33" s="516" t="n"/>
      <c r="H33" s="516" t="n"/>
      <c r="I33" s="516" t="n"/>
      <c r="J33" s="516" t="n"/>
    </row>
    <row r="34">
      <c r="A34" s="516" t="n"/>
      <c r="B34" s="516" t="n"/>
      <c r="C34" s="516" t="n"/>
      <c r="D34" s="516" t="n"/>
      <c r="E34" s="516" t="n"/>
      <c r="F34" s="516" t="n"/>
      <c r="G34" s="516" t="n"/>
      <c r="H34" s="516" t="n"/>
      <c r="I34" s="516" t="n"/>
      <c r="J34" s="516" t="n"/>
    </row>
    <row r="35">
      <c r="A35" s="516" t="n"/>
      <c r="B35" s="516" t="n"/>
      <c r="C35" s="516" t="n"/>
      <c r="D35" s="516" t="n"/>
      <c r="E35" s="516" t="n"/>
      <c r="F35" s="516" t="n"/>
      <c r="G35" s="516" t="n"/>
      <c r="H35" s="516" t="n"/>
      <c r="I35" s="516" t="n"/>
      <c r="J35" s="516" t="n"/>
    </row>
    <row r="36">
      <c r="A36" s="516" t="n"/>
      <c r="B36" s="516" t="n"/>
      <c r="C36" s="516" t="n"/>
      <c r="D36" s="516" t="n"/>
      <c r="E36" s="516" t="n"/>
      <c r="F36" s="516" t="n"/>
      <c r="G36" s="516" t="n"/>
      <c r="H36" s="516" t="n"/>
      <c r="I36" s="516" t="n"/>
      <c r="J36" s="516" t="n"/>
    </row>
    <row r="37">
      <c r="A37" s="516" t="n"/>
      <c r="B37" s="516" t="n"/>
      <c r="C37" s="516" t="n"/>
      <c r="D37" s="516" t="n"/>
      <c r="E37" s="516" t="n"/>
      <c r="F37" s="516" t="n"/>
      <c r="G37" s="516" t="n"/>
      <c r="H37" s="516" t="n"/>
      <c r="I37" s="516" t="n"/>
      <c r="J37" s="516" t="n"/>
    </row>
    <row r="38">
      <c r="A38" s="516" t="n"/>
      <c r="B38" s="516" t="n"/>
      <c r="C38" s="516" t="n"/>
      <c r="D38" s="516" t="n"/>
      <c r="E38" s="516" t="n"/>
      <c r="F38" s="516" t="n"/>
      <c r="G38" s="516" t="n"/>
      <c r="H38" s="516" t="n"/>
      <c r="I38" s="516" t="n"/>
      <c r="J38" s="516" t="n"/>
    </row>
    <row r="39">
      <c r="A39" s="516" t="n"/>
      <c r="B39" s="516" t="n"/>
      <c r="C39" s="516" t="n"/>
      <c r="D39" s="516" t="n"/>
      <c r="E39" s="516" t="n"/>
      <c r="F39" s="516" t="n"/>
      <c r="G39" s="516" t="n"/>
      <c r="H39" s="516" t="n"/>
      <c r="I39" s="516" t="n"/>
      <c r="J39" s="516" t="n"/>
    </row>
    <row r="40">
      <c r="A40" s="516" t="n"/>
      <c r="B40" s="516" t="n"/>
      <c r="C40" s="516" t="n"/>
      <c r="D40" s="516" t="n"/>
      <c r="E40" s="516" t="n"/>
      <c r="F40" s="516" t="n"/>
      <c r="G40" s="516" t="n"/>
      <c r="H40" s="516" t="n"/>
      <c r="I40" s="516" t="n"/>
      <c r="J40" s="516" t="n"/>
    </row>
    <row r="41">
      <c r="A41" s="516" t="n"/>
      <c r="B41" s="516" t="n"/>
      <c r="C41" s="516" t="n"/>
      <c r="D41" s="516" t="n"/>
      <c r="E41" s="516" t="n"/>
      <c r="F41" s="516" t="n"/>
      <c r="G41" s="516" t="n"/>
      <c r="H41" s="516" t="n"/>
      <c r="I41" s="516" t="n"/>
      <c r="J41" s="516" t="n"/>
    </row>
    <row r="42">
      <c r="A42" s="516" t="n"/>
      <c r="B42" s="516" t="n"/>
      <c r="C42" s="516" t="n"/>
      <c r="D42" s="516" t="n"/>
      <c r="E42" s="516" t="n"/>
      <c r="F42" s="516" t="n"/>
      <c r="G42" s="516" t="n"/>
      <c r="H42" s="516" t="n"/>
      <c r="I42" s="516" t="n"/>
      <c r="J42" s="516" t="n"/>
    </row>
    <row r="43">
      <c r="A43" s="516" t="n"/>
      <c r="B43" s="516" t="n"/>
      <c r="C43" s="516" t="n"/>
      <c r="D43" s="516" t="n"/>
      <c r="E43" s="516" t="n"/>
      <c r="F43" s="516" t="n"/>
      <c r="G43" s="516" t="n"/>
      <c r="H43" s="516" t="n"/>
      <c r="I43" s="516" t="n"/>
      <c r="J43" s="516" t="n"/>
    </row>
    <row r="44">
      <c r="A44" s="516" t="n"/>
      <c r="B44" s="516" t="n"/>
      <c r="C44" s="516" t="n"/>
      <c r="D44" s="516" t="n"/>
      <c r="E44" s="516" t="n"/>
      <c r="F44" s="516" t="n"/>
      <c r="G44" s="516" t="n"/>
      <c r="H44" s="516" t="n"/>
      <c r="I44" s="516" t="n"/>
      <c r="J44" s="516" t="n"/>
    </row>
    <row r="45">
      <c r="A45" s="516" t="n"/>
      <c r="B45" s="516" t="n"/>
      <c r="C45" s="516" t="n"/>
      <c r="D45" s="516" t="n"/>
      <c r="E45" s="516" t="n"/>
      <c r="F45" s="516" t="n"/>
      <c r="G45" s="516" t="n"/>
      <c r="H45" s="516" t="n"/>
      <c r="I45" s="516" t="n"/>
      <c r="J45" s="516" t="n"/>
    </row>
    <row r="46">
      <c r="A46" s="516" t="n"/>
      <c r="B46" s="516" t="n"/>
      <c r="C46" s="516" t="n"/>
      <c r="D46" s="516" t="n"/>
      <c r="E46" s="516" t="n"/>
      <c r="F46" s="516" t="n"/>
      <c r="G46" s="516" t="n"/>
      <c r="H46" s="516" t="n"/>
      <c r="I46" s="516" t="n"/>
      <c r="J46" s="516" t="n"/>
    </row>
    <row r="47">
      <c r="A47" s="516" t="n"/>
      <c r="B47" s="516" t="n"/>
      <c r="C47" s="516" t="n"/>
      <c r="D47" s="516" t="n"/>
      <c r="E47" s="516" t="n"/>
      <c r="F47" s="516" t="n"/>
      <c r="G47" s="516" t="n"/>
      <c r="H47" s="516" t="n"/>
      <c r="I47" s="516" t="n"/>
      <c r="J47" s="516" t="n"/>
    </row>
    <row r="48">
      <c r="A48" s="516" t="n"/>
      <c r="B48" s="516" t="n"/>
      <c r="C48" s="516" t="n"/>
      <c r="D48" s="516" t="n"/>
      <c r="E48" s="516" t="n"/>
      <c r="F48" s="516" t="n"/>
      <c r="G48" s="516" t="n"/>
      <c r="H48" s="516" t="n"/>
      <c r="I48" s="516" t="n"/>
      <c r="J48" s="516" t="n"/>
    </row>
    <row r="49">
      <c r="A49" s="516" t="n"/>
      <c r="B49" s="516" t="n"/>
      <c r="C49" s="516" t="n"/>
      <c r="D49" s="516" t="n"/>
      <c r="E49" s="516" t="n"/>
      <c r="F49" s="516" t="n"/>
      <c r="G49" s="516" t="n"/>
      <c r="H49" s="516" t="n"/>
      <c r="I49" s="516" t="n"/>
      <c r="J49" s="516" t="n"/>
    </row>
    <row r="50">
      <c r="A50" s="516" t="n"/>
      <c r="B50" s="516" t="n"/>
      <c r="C50" s="516" t="n"/>
      <c r="D50" s="516" t="n"/>
      <c r="E50" s="516" t="n"/>
      <c r="F50" s="516" t="n"/>
      <c r="G50" s="516" t="n"/>
      <c r="H50" s="516" t="n"/>
      <c r="I50" s="516" t="n"/>
      <c r="J50" s="516" t="n"/>
    </row>
    <row r="51">
      <c r="A51" s="516" t="n"/>
      <c r="B51" s="516" t="n"/>
      <c r="C51" s="516" t="n"/>
      <c r="D51" s="516" t="n"/>
      <c r="E51" s="516" t="n"/>
      <c r="F51" s="516" t="n"/>
      <c r="G51" s="516" t="n"/>
      <c r="H51" s="516" t="n"/>
      <c r="I51" s="516" t="n"/>
      <c r="J51" s="516" t="n"/>
    </row>
    <row r="52">
      <c r="A52" s="516" t="n"/>
      <c r="B52" s="516" t="n"/>
      <c r="C52" s="516" t="n"/>
      <c r="D52" s="516" t="n"/>
      <c r="E52" s="516" t="n"/>
      <c r="F52" s="516" t="n"/>
      <c r="G52" s="516" t="n"/>
      <c r="H52" s="516" t="n"/>
      <c r="I52" s="516" t="n"/>
      <c r="J52" s="516" t="n"/>
    </row>
    <row r="53">
      <c r="A53" s="516" t="n"/>
      <c r="B53" s="516" t="n"/>
      <c r="C53" s="516" t="n"/>
      <c r="D53" s="516" t="n"/>
      <c r="E53" s="516" t="n"/>
      <c r="F53" s="516" t="n"/>
      <c r="G53" s="516" t="n"/>
      <c r="H53" s="516" t="n"/>
      <c r="I53" s="516" t="n"/>
      <c r="J53" s="516" t="n"/>
    </row>
    <row r="54">
      <c r="A54" s="516" t="n"/>
      <c r="B54" s="516" t="n"/>
      <c r="C54" s="516" t="n"/>
      <c r="D54" s="516" t="n"/>
      <c r="E54" s="516" t="n"/>
      <c r="F54" s="516" t="n"/>
      <c r="G54" s="516" t="n"/>
      <c r="H54" s="516" t="n"/>
      <c r="I54" s="516" t="n"/>
      <c r="J54" s="516" t="n"/>
    </row>
    <row r="55">
      <c r="A55" s="516" t="n"/>
      <c r="B55" s="516" t="n"/>
      <c r="C55" s="516" t="n"/>
      <c r="D55" s="516" t="n"/>
      <c r="E55" s="516" t="n"/>
      <c r="F55" s="516" t="n"/>
      <c r="G55" s="516" t="n"/>
      <c r="H55" s="516" t="n"/>
      <c r="I55" s="516" t="n"/>
      <c r="J55" s="516" t="n"/>
    </row>
    <row r="56">
      <c r="A56" s="516" t="n"/>
      <c r="B56" s="516" t="n"/>
      <c r="C56" s="516" t="n"/>
      <c r="D56" s="516" t="n"/>
      <c r="E56" s="516" t="n"/>
      <c r="F56" s="516" t="n"/>
      <c r="G56" s="516" t="n"/>
      <c r="H56" s="516" t="n"/>
      <c r="I56" s="516" t="n"/>
      <c r="J56" s="516" t="n"/>
    </row>
    <row r="57">
      <c r="A57" s="516" t="n"/>
      <c r="B57" s="516" t="n"/>
      <c r="C57" s="516" t="n"/>
      <c r="D57" s="516" t="n"/>
      <c r="E57" s="516" t="n"/>
      <c r="F57" s="516" t="n"/>
      <c r="G57" s="516" t="n"/>
      <c r="H57" s="516" t="n"/>
      <c r="I57" s="516" t="n"/>
      <c r="J57" s="516" t="n"/>
    </row>
    <row r="58">
      <c r="A58" s="516" t="n"/>
      <c r="B58" s="516" t="n"/>
      <c r="C58" s="516" t="n"/>
      <c r="D58" s="516" t="n"/>
      <c r="E58" s="516" t="n"/>
      <c r="F58" s="516" t="n"/>
      <c r="G58" s="516" t="n"/>
      <c r="H58" s="516" t="n"/>
      <c r="I58" s="516" t="n"/>
      <c r="J58" s="516" t="n"/>
    </row>
    <row r="59">
      <c r="A59" s="516" t="n"/>
      <c r="B59" s="516" t="n"/>
      <c r="C59" s="516" t="n"/>
      <c r="D59" s="516" t="n"/>
      <c r="E59" s="516" t="n"/>
      <c r="F59" s="516" t="n"/>
      <c r="G59" s="516" t="n"/>
      <c r="H59" s="516" t="n"/>
      <c r="I59" s="516" t="n"/>
      <c r="J59" s="516" t="n"/>
    </row>
    <row r="60">
      <c r="A60" s="516" t="n"/>
      <c r="B60" s="516" t="n"/>
      <c r="C60" s="516" t="n"/>
      <c r="D60" s="516" t="n"/>
      <c r="E60" s="516" t="n"/>
      <c r="F60" s="516" t="n"/>
      <c r="G60" s="516" t="n"/>
      <c r="H60" s="516" t="n"/>
      <c r="I60" s="516" t="n"/>
      <c r="J60" s="516" t="n"/>
    </row>
    <row r="61">
      <c r="A61" s="516" t="n"/>
      <c r="B61" s="516" t="n"/>
      <c r="C61" s="516" t="n"/>
      <c r="D61" s="516" t="n"/>
      <c r="E61" s="516" t="n"/>
      <c r="F61" s="516" t="n"/>
      <c r="G61" s="516" t="n"/>
      <c r="H61" s="516" t="n"/>
      <c r="I61" s="516" t="n"/>
      <c r="J61" s="516" t="n"/>
    </row>
    <row r="62">
      <c r="A62" s="516" t="n"/>
      <c r="B62" s="516" t="n"/>
      <c r="C62" s="516" t="n"/>
      <c r="D62" s="516" t="n"/>
      <c r="E62" s="516" t="n"/>
      <c r="F62" s="516" t="n"/>
      <c r="G62" s="516" t="n"/>
      <c r="H62" s="516" t="n"/>
      <c r="I62" s="516" t="n"/>
      <c r="J62" s="516" t="n"/>
    </row>
    <row r="63">
      <c r="A63" s="516" t="n"/>
      <c r="B63" s="516" t="n"/>
      <c r="C63" s="516" t="n"/>
      <c r="D63" s="516" t="n"/>
      <c r="E63" s="516" t="n"/>
      <c r="F63" s="516" t="n"/>
      <c r="G63" s="516" t="n"/>
      <c r="H63" s="516" t="n"/>
      <c r="I63" s="516" t="n"/>
      <c r="J63" s="516" t="n"/>
    </row>
    <row r="64">
      <c r="A64" s="516" t="n"/>
      <c r="B64" s="516" t="n"/>
      <c r="C64" s="516" t="n"/>
      <c r="D64" s="516" t="n"/>
      <c r="E64" s="516" t="n"/>
      <c r="F64" s="516" t="n"/>
      <c r="G64" s="516" t="n"/>
      <c r="H64" s="516" t="n"/>
      <c r="I64" s="516" t="n"/>
      <c r="J64" s="516" t="n"/>
    </row>
    <row r="65">
      <c r="A65" s="516" t="n"/>
      <c r="B65" s="516" t="n"/>
      <c r="C65" s="516" t="n"/>
      <c r="D65" s="516" t="n"/>
      <c r="E65" s="516" t="n"/>
      <c r="F65" s="516" t="n"/>
      <c r="G65" s="516" t="n"/>
      <c r="H65" s="516" t="n"/>
      <c r="I65" s="516" t="n"/>
      <c r="J65" s="516" t="n"/>
    </row>
    <row r="66">
      <c r="A66" s="516" t="n"/>
      <c r="B66" s="516" t="n"/>
      <c r="C66" s="516" t="n"/>
      <c r="D66" s="516" t="n"/>
      <c r="E66" s="516" t="n"/>
      <c r="F66" s="516" t="n"/>
      <c r="G66" s="516" t="n"/>
      <c r="H66" s="516" t="n"/>
      <c r="I66" s="516" t="n"/>
      <c r="J66" s="516" t="n"/>
    </row>
    <row r="67">
      <c r="A67" s="516" t="n"/>
      <c r="B67" s="516" t="n"/>
      <c r="C67" s="516" t="n"/>
      <c r="D67" s="516" t="n"/>
      <c r="E67" s="516" t="n"/>
      <c r="F67" s="516" t="n"/>
      <c r="G67" s="516" t="n"/>
      <c r="H67" s="516" t="n"/>
      <c r="I67" s="516" t="n"/>
      <c r="J67" s="516" t="n"/>
    </row>
    <row r="68">
      <c r="A68" s="516" t="n"/>
      <c r="B68" s="516" t="n"/>
      <c r="C68" s="516" t="n"/>
      <c r="D68" s="516" t="n"/>
      <c r="E68" s="516" t="n"/>
      <c r="F68" s="516" t="n"/>
      <c r="G68" s="516" t="n"/>
      <c r="H68" s="516" t="n"/>
      <c r="I68" s="516" t="n"/>
      <c r="J68" s="516" t="n"/>
    </row>
    <row r="69">
      <c r="A69" s="516" t="n"/>
      <c r="B69" s="516" t="n"/>
      <c r="C69" s="516" t="n"/>
      <c r="D69" s="516" t="n"/>
      <c r="E69" s="516" t="n"/>
      <c r="F69" s="516" t="n"/>
      <c r="G69" s="516" t="n"/>
      <c r="H69" s="516" t="n"/>
      <c r="I69" s="516" t="n"/>
      <c r="J69" s="516" t="n"/>
    </row>
    <row r="70">
      <c r="A70" s="516" t="n"/>
      <c r="B70" s="516" t="n"/>
      <c r="C70" s="516" t="n"/>
      <c r="D70" s="516" t="n"/>
      <c r="E70" s="516" t="n"/>
      <c r="F70" s="516" t="n"/>
      <c r="G70" s="516" t="n"/>
      <c r="H70" s="516" t="n"/>
      <c r="I70" s="516" t="n"/>
      <c r="J70" s="516" t="n"/>
    </row>
    <row r="71">
      <c r="A71" s="516" t="n"/>
      <c r="B71" s="516" t="n"/>
      <c r="C71" s="516" t="n"/>
      <c r="D71" s="516" t="n"/>
      <c r="E71" s="516" t="n"/>
      <c r="F71" s="516" t="n"/>
      <c r="G71" s="516" t="n"/>
      <c r="H71" s="516" t="n"/>
      <c r="I71" s="516" t="n"/>
      <c r="J71" s="516" t="n"/>
    </row>
    <row r="72">
      <c r="A72" s="516" t="n"/>
      <c r="B72" s="516" t="n"/>
      <c r="C72" s="516" t="n"/>
      <c r="D72" s="516" t="n"/>
      <c r="E72" s="516" t="n"/>
      <c r="F72" s="516" t="n"/>
      <c r="G72" s="516" t="n"/>
      <c r="H72" s="516" t="n"/>
      <c r="I72" s="516" t="n"/>
      <c r="J72" s="516" t="n"/>
    </row>
    <row r="73">
      <c r="A73" s="516" t="n"/>
      <c r="B73" s="516" t="n"/>
      <c r="C73" s="516" t="n"/>
      <c r="D73" s="516" t="n"/>
      <c r="E73" s="516" t="n"/>
      <c r="F73" s="516" t="n"/>
      <c r="G73" s="516" t="n"/>
      <c r="H73" s="516" t="n"/>
      <c r="I73" s="516" t="n"/>
      <c r="J73" s="516" t="n"/>
    </row>
    <row r="74">
      <c r="A74" s="516" t="n"/>
      <c r="B74" s="516" t="n"/>
      <c r="C74" s="516" t="n"/>
      <c r="D74" s="516" t="n"/>
      <c r="E74" s="516" t="n"/>
      <c r="F74" s="516" t="n"/>
      <c r="G74" s="516" t="n"/>
      <c r="H74" s="516" t="n"/>
      <c r="I74" s="516" t="n"/>
      <c r="J74" s="516" t="n"/>
    </row>
    <row r="75">
      <c r="A75" s="516" t="n"/>
      <c r="B75" s="516" t="n"/>
      <c r="C75" s="516" t="n"/>
      <c r="D75" s="516" t="n"/>
      <c r="E75" s="516" t="n"/>
      <c r="F75" s="516" t="n"/>
      <c r="G75" s="516" t="n"/>
      <c r="H75" s="516" t="n"/>
      <c r="I75" s="516" t="n"/>
      <c r="J75" s="516" t="n"/>
    </row>
    <row r="76">
      <c r="A76" s="516" t="n"/>
      <c r="B76" s="516" t="n"/>
      <c r="C76" s="516" t="n"/>
      <c r="D76" s="516" t="n"/>
      <c r="E76" s="516" t="n"/>
      <c r="F76" s="516" t="n"/>
      <c r="G76" s="516" t="n"/>
      <c r="H76" s="516" t="n"/>
      <c r="I76" s="516" t="n"/>
      <c r="J76" s="516" t="n"/>
    </row>
    <row r="77">
      <c r="A77" s="516" t="n"/>
      <c r="B77" s="516" t="n"/>
      <c r="C77" s="516" t="n"/>
      <c r="D77" s="516" t="n"/>
      <c r="E77" s="516" t="n"/>
      <c r="F77" s="516" t="n"/>
      <c r="G77" s="516" t="n"/>
      <c r="H77" s="516" t="n"/>
      <c r="I77" s="516" t="n"/>
      <c r="J77" s="516" t="n"/>
    </row>
    <row r="78">
      <c r="A78" s="516" t="n"/>
      <c r="B78" s="516" t="n"/>
      <c r="C78" s="516" t="n"/>
      <c r="D78" s="516" t="n"/>
      <c r="E78" s="516" t="n"/>
      <c r="F78" s="516" t="n"/>
      <c r="G78" s="516" t="n"/>
      <c r="H78" s="516" t="n"/>
      <c r="I78" s="516" t="n"/>
      <c r="J78" s="516" t="n"/>
    </row>
    <row r="79">
      <c r="A79" s="516" t="n"/>
      <c r="B79" s="516" t="n"/>
      <c r="C79" s="516" t="n"/>
      <c r="D79" s="516" t="n"/>
      <c r="E79" s="516" t="n"/>
      <c r="F79" s="516" t="n"/>
      <c r="G79" s="516" t="n"/>
      <c r="H79" s="516" t="n"/>
      <c r="I79" s="516" t="n"/>
      <c r="J79" s="516" t="n"/>
    </row>
    <row r="80">
      <c r="A80" s="516" t="n"/>
      <c r="B80" s="516" t="n"/>
      <c r="C80" s="516" t="n"/>
      <c r="D80" s="516" t="n"/>
      <c r="E80" s="516" t="n"/>
      <c r="F80" s="516" t="n"/>
      <c r="G80" s="516" t="n"/>
      <c r="H80" s="516" t="n"/>
      <c r="I80" s="516" t="n"/>
      <c r="J80" s="516" t="n"/>
    </row>
    <row r="81">
      <c r="A81" s="516" t="n"/>
      <c r="B81" s="516" t="n"/>
      <c r="C81" s="516" t="n"/>
      <c r="D81" s="516" t="n"/>
      <c r="E81" s="516" t="n"/>
      <c r="F81" s="516" t="n"/>
      <c r="G81" s="516" t="n"/>
      <c r="H81" s="516" t="n"/>
      <c r="I81" s="516" t="n"/>
      <c r="J81" s="516" t="n"/>
    </row>
    <row r="82">
      <c r="A82" s="516" t="n"/>
      <c r="B82" s="516" t="n"/>
      <c r="C82" s="516" t="n"/>
      <c r="D82" s="516" t="n"/>
      <c r="E82" s="516" t="n"/>
      <c r="F82" s="516" t="n"/>
      <c r="G82" s="516" t="n"/>
      <c r="H82" s="516" t="n"/>
      <c r="I82" s="516" t="n"/>
      <c r="J82" s="516" t="n"/>
    </row>
    <row r="83">
      <c r="A83" s="516" t="n"/>
      <c r="B83" s="516" t="n"/>
      <c r="C83" s="516" t="n"/>
      <c r="D83" s="516" t="n"/>
      <c r="E83" s="516" t="n"/>
      <c r="F83" s="516" t="n"/>
      <c r="G83" s="516" t="n"/>
      <c r="H83" s="516" t="n"/>
      <c r="I83" s="516" t="n"/>
      <c r="J83" s="516" t="n"/>
    </row>
    <row r="84">
      <c r="A84" s="516" t="n"/>
      <c r="B84" s="516" t="n"/>
      <c r="C84" s="516" t="n"/>
      <c r="D84" s="516" t="n"/>
      <c r="E84" s="516" t="n"/>
      <c r="F84" s="516" t="n"/>
      <c r="G84" s="516" t="n"/>
      <c r="H84" s="516" t="n"/>
      <c r="I84" s="516" t="n"/>
      <c r="J84" s="516" t="n"/>
    </row>
    <row r="85">
      <c r="A85" s="516" t="n"/>
      <c r="B85" s="516" t="n"/>
      <c r="C85" s="516" t="n"/>
      <c r="D85" s="516" t="n"/>
      <c r="E85" s="516" t="n"/>
      <c r="F85" s="516" t="n"/>
      <c r="G85" s="516" t="n"/>
      <c r="H85" s="516" t="n"/>
      <c r="I85" s="516" t="n"/>
      <c r="J85" s="516" t="n"/>
    </row>
    <row r="86">
      <c r="A86" s="516" t="n"/>
      <c r="B86" s="516" t="n"/>
      <c r="C86" s="516" t="n"/>
      <c r="D86" s="516" t="n"/>
      <c r="E86" s="516" t="n"/>
      <c r="F86" s="516" t="n"/>
      <c r="G86" s="516" t="n"/>
      <c r="H86" s="516" t="n"/>
      <c r="I86" s="516" t="n"/>
      <c r="J86" s="516" t="n"/>
    </row>
    <row r="87">
      <c r="A87" s="516" t="n"/>
      <c r="B87" s="516" t="n"/>
      <c r="C87" s="516" t="n"/>
      <c r="D87" s="516" t="n"/>
      <c r="E87" s="516" t="n"/>
      <c r="F87" s="516" t="n"/>
      <c r="G87" s="516" t="n"/>
      <c r="H87" s="516" t="n"/>
      <c r="I87" s="516" t="n"/>
      <c r="J87" s="516" t="n"/>
    </row>
    <row r="88">
      <c r="A88" s="516" t="n"/>
      <c r="B88" s="516" t="n"/>
      <c r="C88" s="516" t="n"/>
      <c r="D88" s="516" t="n"/>
      <c r="E88" s="516" t="n"/>
      <c r="F88" s="516" t="n"/>
      <c r="G88" s="516" t="n"/>
      <c r="H88" s="516" t="n"/>
      <c r="I88" s="516" t="n"/>
      <c r="J88" s="516" t="n"/>
    </row>
    <row r="89">
      <c r="A89" s="516" t="n"/>
      <c r="B89" s="516" t="n"/>
      <c r="C89" s="516" t="n"/>
      <c r="D89" s="516" t="n"/>
      <c r="E89" s="516" t="n"/>
      <c r="F89" s="516" t="n"/>
      <c r="G89" s="516" t="n"/>
      <c r="H89" s="516" t="n"/>
      <c r="I89" s="516" t="n"/>
      <c r="J89" s="516" t="n"/>
    </row>
    <row r="90">
      <c r="A90" s="516" t="n"/>
      <c r="B90" s="516" t="n"/>
      <c r="C90" s="516" t="n"/>
      <c r="D90" s="516" t="n"/>
      <c r="E90" s="516" t="n"/>
      <c r="F90" s="516" t="n"/>
      <c r="G90" s="516" t="n"/>
      <c r="H90" s="516" t="n"/>
      <c r="I90" s="516" t="n"/>
      <c r="J90" s="516" t="n"/>
    </row>
    <row r="91">
      <c r="A91" s="516" t="n"/>
      <c r="B91" s="516" t="n"/>
      <c r="C91" s="516" t="n"/>
      <c r="D91" s="516" t="n"/>
      <c r="E91" s="516" t="n"/>
      <c r="F91" s="516" t="n"/>
      <c r="G91" s="516" t="n"/>
      <c r="H91" s="516" t="n"/>
      <c r="I91" s="516" t="n"/>
      <c r="J91" s="516" t="n"/>
    </row>
    <row r="92">
      <c r="A92" s="516" t="n"/>
      <c r="B92" s="516" t="n"/>
      <c r="C92" s="516" t="n"/>
      <c r="D92" s="516" t="n"/>
      <c r="E92" s="516" t="n"/>
      <c r="F92" s="516" t="n"/>
      <c r="G92" s="516" t="n"/>
      <c r="H92" s="516" t="n"/>
      <c r="I92" s="516" t="n"/>
      <c r="J92" s="516" t="n"/>
    </row>
    <row r="93">
      <c r="A93" s="516" t="n"/>
      <c r="B93" s="516" t="n"/>
      <c r="C93" s="516" t="n"/>
      <c r="D93" s="516" t="n"/>
      <c r="E93" s="516" t="n"/>
      <c r="F93" s="516" t="n"/>
      <c r="G93" s="516" t="n"/>
      <c r="H93" s="516" t="n"/>
      <c r="I93" s="516" t="n"/>
      <c r="J93" s="516" t="n"/>
    </row>
    <row r="94">
      <c r="A94" s="516" t="n"/>
      <c r="B94" s="516" t="n"/>
      <c r="C94" s="516" t="n"/>
      <c r="D94" s="516" t="n"/>
      <c r="E94" s="516" t="n"/>
      <c r="F94" s="516" t="n"/>
      <c r="G94" s="516" t="n"/>
      <c r="H94" s="516" t="n"/>
      <c r="I94" s="516" t="n"/>
      <c r="J94" s="516" t="n"/>
    </row>
    <row r="95">
      <c r="A95" s="516" t="n"/>
      <c r="B95" s="516" t="n"/>
      <c r="C95" s="516" t="n"/>
      <c r="D95" s="516" t="n"/>
      <c r="E95" s="516" t="n"/>
      <c r="F95" s="516" t="n"/>
      <c r="G95" s="516" t="n"/>
      <c r="H95" s="516" t="n"/>
      <c r="I95" s="516" t="n"/>
      <c r="J95" s="516" t="n"/>
    </row>
    <row r="96">
      <c r="A96" s="516" t="n"/>
      <c r="B96" s="516" t="n"/>
      <c r="C96" s="516" t="n"/>
      <c r="D96" s="516" t="n"/>
      <c r="E96" s="516" t="n"/>
      <c r="F96" s="516" t="n"/>
      <c r="G96" s="516" t="n"/>
      <c r="H96" s="516" t="n"/>
      <c r="I96" s="516" t="n"/>
      <c r="J96" s="516" t="n"/>
    </row>
    <row r="97">
      <c r="A97" s="516" t="n"/>
      <c r="B97" s="516" t="n"/>
      <c r="C97" s="516" t="n"/>
      <c r="D97" s="516" t="n"/>
      <c r="E97" s="516" t="n"/>
      <c r="F97" s="516" t="n"/>
      <c r="G97" s="516" t="n"/>
      <c r="H97" s="516" t="n"/>
      <c r="I97" s="516" t="n"/>
      <c r="J97" s="516" t="n"/>
    </row>
    <row r="98">
      <c r="A98" s="516" t="n"/>
      <c r="B98" s="516" t="n"/>
      <c r="C98" s="516" t="n"/>
      <c r="D98" s="516" t="n"/>
      <c r="E98" s="516" t="n"/>
      <c r="F98" s="516" t="n"/>
      <c r="G98" s="516" t="n"/>
      <c r="H98" s="516" t="n"/>
      <c r="I98" s="516" t="n"/>
      <c r="J98" s="516" t="n"/>
    </row>
    <row r="99">
      <c r="A99" s="516" t="n"/>
      <c r="B99" s="516" t="n"/>
      <c r="C99" s="516" t="n"/>
      <c r="D99" s="516" t="n"/>
      <c r="E99" s="516" t="n"/>
      <c r="F99" s="516" t="n"/>
      <c r="G99" s="516" t="n"/>
      <c r="H99" s="516" t="n"/>
      <c r="I99" s="516" t="n"/>
      <c r="J99" s="516" t="n"/>
    </row>
    <row r="100">
      <c r="A100" s="516" t="n"/>
      <c r="B100" s="516" t="n"/>
      <c r="C100" s="516" t="n"/>
      <c r="D100" s="516" t="n"/>
      <c r="E100" s="516" t="n"/>
      <c r="F100" s="516" t="n"/>
      <c r="G100" s="516" t="n"/>
      <c r="H100" s="516" t="n"/>
      <c r="I100" s="516" t="n"/>
      <c r="J100" s="516" t="n"/>
    </row>
    <row r="101">
      <c r="A101" s="516" t="n"/>
      <c r="B101" s="516" t="n"/>
      <c r="C101" s="516" t="n"/>
      <c r="D101" s="516" t="n"/>
      <c r="E101" s="516" t="n"/>
      <c r="F101" s="516" t="n"/>
      <c r="G101" s="516" t="n"/>
      <c r="H101" s="516" t="n"/>
      <c r="I101" s="516" t="n"/>
      <c r="J101" s="516" t="n"/>
    </row>
    <row r="102">
      <c r="A102" s="516" t="n"/>
      <c r="B102" s="516" t="n"/>
      <c r="C102" s="516" t="n"/>
      <c r="D102" s="516" t="n"/>
      <c r="E102" s="516" t="n"/>
      <c r="F102" s="516" t="n"/>
      <c r="G102" s="516" t="n"/>
      <c r="H102" s="516" t="n"/>
      <c r="I102" s="516" t="n"/>
      <c r="J102" s="516" t="n"/>
    </row>
    <row r="103">
      <c r="A103" s="516" t="n"/>
      <c r="B103" s="516" t="n"/>
      <c r="C103" s="516" t="n"/>
      <c r="D103" s="516" t="n"/>
      <c r="E103" s="516" t="n"/>
      <c r="F103" s="516" t="n"/>
      <c r="G103" s="516" t="n"/>
      <c r="H103" s="516" t="n"/>
      <c r="I103" s="516" t="n"/>
      <c r="J103" s="516" t="n"/>
    </row>
    <row r="104">
      <c r="A104" s="516" t="n"/>
      <c r="B104" s="516" t="n"/>
      <c r="C104" s="516" t="n"/>
      <c r="D104" s="516" t="n"/>
      <c r="E104" s="516" t="n"/>
      <c r="F104" s="516" t="n"/>
      <c r="G104" s="516" t="n"/>
      <c r="H104" s="516" t="n"/>
      <c r="I104" s="516" t="n"/>
      <c r="J104" s="516" t="n"/>
    </row>
    <row r="105">
      <c r="A105" s="516" t="n"/>
      <c r="B105" s="516" t="n"/>
      <c r="C105" s="516" t="n"/>
      <c r="D105" s="516" t="n"/>
      <c r="E105" s="516" t="n"/>
      <c r="F105" s="516" t="n"/>
      <c r="G105" s="516" t="n"/>
      <c r="H105" s="516" t="n"/>
      <c r="I105" s="516" t="n"/>
      <c r="J105" s="516" t="n"/>
    </row>
    <row r="106">
      <c r="A106" s="516" t="n"/>
      <c r="B106" s="516" t="n"/>
      <c r="C106" s="516" t="n"/>
      <c r="D106" s="516" t="n"/>
      <c r="E106" s="516" t="n"/>
      <c r="F106" s="516" t="n"/>
      <c r="G106" s="516" t="n"/>
      <c r="H106" s="516" t="n"/>
      <c r="I106" s="516" t="n"/>
      <c r="J106" s="516" t="n"/>
    </row>
    <row r="107">
      <c r="A107" s="516" t="n"/>
      <c r="B107" s="516" t="n"/>
      <c r="C107" s="516" t="n"/>
      <c r="D107" s="516" t="n"/>
      <c r="E107" s="516" t="n"/>
      <c r="F107" s="516" t="n"/>
      <c r="G107" s="516" t="n"/>
      <c r="H107" s="516" t="n"/>
      <c r="I107" s="516" t="n"/>
      <c r="J107" s="516" t="n"/>
    </row>
    <row r="108">
      <c r="A108" s="516" t="n"/>
      <c r="B108" s="516" t="n"/>
      <c r="C108" s="516" t="n"/>
      <c r="D108" s="516" t="n"/>
      <c r="E108" s="516" t="n"/>
      <c r="F108" s="516" t="n"/>
      <c r="G108" s="516" t="n"/>
      <c r="H108" s="516" t="n"/>
      <c r="I108" s="516" t="n"/>
      <c r="J108" s="516" t="n"/>
    </row>
    <row r="109">
      <c r="A109" s="516" t="n"/>
      <c r="B109" s="516" t="n"/>
      <c r="C109" s="516" t="n"/>
      <c r="D109" s="516" t="n"/>
      <c r="E109" s="516" t="n"/>
      <c r="F109" s="516" t="n"/>
      <c r="G109" s="516" t="n"/>
      <c r="H109" s="516" t="n"/>
      <c r="I109" s="516" t="n"/>
      <c r="J109" s="516" t="n"/>
    </row>
    <row r="110">
      <c r="A110" s="516" t="n"/>
      <c r="B110" s="516" t="n"/>
      <c r="C110" s="516" t="n"/>
      <c r="D110" s="516" t="n"/>
      <c r="E110" s="516" t="n"/>
      <c r="F110" s="516" t="n"/>
      <c r="G110" s="516" t="n"/>
      <c r="H110" s="516" t="n"/>
      <c r="I110" s="516" t="n"/>
      <c r="J110" s="516" t="n"/>
    </row>
    <row r="111">
      <c r="A111" s="516" t="n"/>
      <c r="B111" s="516" t="n"/>
      <c r="C111" s="516" t="n"/>
      <c r="D111" s="516" t="n"/>
      <c r="E111" s="516" t="n"/>
      <c r="F111" s="516" t="n"/>
      <c r="G111" s="516" t="n"/>
      <c r="H111" s="516" t="n"/>
      <c r="I111" s="516" t="n"/>
      <c r="J111" s="516" t="n"/>
    </row>
    <row r="112">
      <c r="A112" s="516" t="n"/>
      <c r="B112" s="516" t="n"/>
      <c r="C112" s="516" t="n"/>
      <c r="D112" s="516" t="n"/>
      <c r="E112" s="516" t="n"/>
      <c r="F112" s="516" t="n"/>
      <c r="G112" s="516" t="n"/>
      <c r="H112" s="516" t="n"/>
      <c r="I112" s="516" t="n"/>
      <c r="J112" s="516" t="n"/>
    </row>
    <row r="113">
      <c r="A113" s="516" t="n"/>
      <c r="B113" s="516" t="n"/>
      <c r="C113" s="516" t="n"/>
      <c r="D113" s="516" t="n"/>
      <c r="E113" s="516" t="n"/>
      <c r="F113" s="516" t="n"/>
      <c r="G113" s="516" t="n"/>
      <c r="H113" s="516" t="n"/>
      <c r="I113" s="516" t="n"/>
      <c r="J113" s="516" t="n"/>
    </row>
    <row r="114">
      <c r="A114" s="516" t="n"/>
      <c r="B114" s="516" t="n"/>
      <c r="C114" s="516" t="n"/>
      <c r="D114" s="516" t="n"/>
      <c r="E114" s="516" t="n"/>
      <c r="F114" s="516" t="n"/>
      <c r="G114" s="516" t="n"/>
      <c r="H114" s="516" t="n"/>
      <c r="I114" s="516" t="n"/>
      <c r="J114" s="516" t="n"/>
    </row>
    <row r="115">
      <c r="A115" s="516" t="n"/>
      <c r="B115" s="516" t="n"/>
      <c r="C115" s="516" t="n"/>
      <c r="D115" s="516" t="n"/>
      <c r="E115" s="516" t="n"/>
      <c r="F115" s="516" t="n"/>
      <c r="G115" s="516" t="n"/>
      <c r="H115" s="516" t="n"/>
      <c r="I115" s="516" t="n"/>
      <c r="J115" s="516" t="n"/>
    </row>
    <row r="116">
      <c r="A116" s="516" t="n"/>
      <c r="B116" s="516" t="n"/>
      <c r="C116" s="516" t="n"/>
      <c r="D116" s="516" t="n"/>
      <c r="E116" s="516" t="n"/>
      <c r="F116" s="516" t="n"/>
      <c r="G116" s="516" t="n"/>
      <c r="H116" s="516" t="n"/>
      <c r="I116" s="516" t="n"/>
      <c r="J116" s="516" t="n"/>
    </row>
    <row r="117">
      <c r="A117" s="516" t="n"/>
      <c r="B117" s="516" t="n"/>
      <c r="C117" s="516" t="n"/>
      <c r="D117" s="516" t="n"/>
      <c r="E117" s="516" t="n"/>
      <c r="F117" s="516" t="n"/>
      <c r="G117" s="516" t="n"/>
      <c r="H117" s="516" t="n"/>
      <c r="I117" s="516" t="n"/>
      <c r="J117" s="516" t="n"/>
    </row>
    <row r="118">
      <c r="A118" s="516" t="n"/>
      <c r="B118" s="516" t="n"/>
      <c r="C118" s="516" t="n"/>
      <c r="D118" s="516" t="n"/>
      <c r="E118" s="516" t="n"/>
      <c r="F118" s="516" t="n"/>
      <c r="G118" s="516" t="n"/>
      <c r="H118" s="516" t="n"/>
      <c r="I118" s="516" t="n"/>
      <c r="J118" s="516" t="n"/>
    </row>
    <row r="119">
      <c r="A119" s="516" t="n"/>
      <c r="B119" s="516" t="n"/>
      <c r="C119" s="516" t="n"/>
      <c r="D119" s="516" t="n"/>
      <c r="E119" s="516" t="n"/>
      <c r="F119" s="516" t="n"/>
      <c r="G119" s="516" t="n"/>
      <c r="H119" s="516" t="n"/>
      <c r="I119" s="516" t="n"/>
      <c r="J119" s="516" t="n"/>
    </row>
    <row r="120">
      <c r="A120" s="516" t="n"/>
      <c r="B120" s="516" t="n"/>
      <c r="C120" s="516" t="n"/>
      <c r="D120" s="516" t="n"/>
      <c r="E120" s="516" t="n"/>
      <c r="F120" s="516" t="n"/>
      <c r="G120" s="516" t="n"/>
      <c r="H120" s="516" t="n"/>
      <c r="I120" s="516" t="n"/>
      <c r="J120" s="516" t="n"/>
    </row>
    <row r="121">
      <c r="A121" s="516" t="n"/>
      <c r="B121" s="516" t="n"/>
      <c r="C121" s="516" t="n"/>
      <c r="D121" s="516" t="n"/>
      <c r="E121" s="516" t="n"/>
      <c r="F121" s="516" t="n"/>
      <c r="G121" s="516" t="n"/>
      <c r="H121" s="516" t="n"/>
      <c r="I121" s="516" t="n"/>
      <c r="J121" s="516" t="n"/>
    </row>
    <row r="122">
      <c r="A122" s="516" t="n"/>
      <c r="B122" s="516" t="n"/>
      <c r="C122" s="516" t="n"/>
      <c r="D122" s="516" t="n"/>
      <c r="E122" s="516" t="n"/>
      <c r="F122" s="516" t="n"/>
      <c r="G122" s="516" t="n"/>
      <c r="H122" s="516" t="n"/>
      <c r="I122" s="516" t="n"/>
      <c r="J122" s="516" t="n"/>
    </row>
    <row r="123">
      <c r="A123" s="516" t="n"/>
      <c r="B123" s="516" t="n"/>
      <c r="C123" s="516" t="n"/>
      <c r="D123" s="516" t="n"/>
      <c r="E123" s="516" t="n"/>
      <c r="F123" s="516" t="n"/>
      <c r="G123" s="516" t="n"/>
      <c r="H123" s="516" t="n"/>
      <c r="I123" s="516" t="n"/>
      <c r="J123" s="516" t="n"/>
    </row>
    <row r="124">
      <c r="A124" s="516" t="n"/>
      <c r="B124" s="516" t="n"/>
      <c r="C124" s="516" t="n"/>
      <c r="D124" s="516" t="n"/>
      <c r="E124" s="516" t="n"/>
      <c r="F124" s="516" t="n"/>
      <c r="G124" s="516" t="n"/>
      <c r="H124" s="516" t="n"/>
      <c r="I124" s="516" t="n"/>
      <c r="J124" s="516" t="n"/>
    </row>
    <row r="125">
      <c r="A125" s="516" t="n"/>
      <c r="B125" s="516" t="n"/>
      <c r="C125" s="516" t="n"/>
      <c r="D125" s="516" t="n"/>
      <c r="E125" s="516" t="n"/>
      <c r="F125" s="516" t="n"/>
      <c r="G125" s="516" t="n"/>
      <c r="H125" s="516" t="n"/>
      <c r="I125" s="516" t="n"/>
      <c r="J125" s="516" t="n"/>
    </row>
    <row r="126">
      <c r="A126" s="516" t="n"/>
      <c r="B126" s="516" t="n"/>
      <c r="C126" s="516" t="n"/>
      <c r="D126" s="516" t="n"/>
      <c r="E126" s="516" t="n"/>
      <c r="F126" s="516" t="n"/>
      <c r="G126" s="516" t="n"/>
      <c r="H126" s="516" t="n"/>
      <c r="I126" s="516" t="n"/>
      <c r="J126" s="516" t="n"/>
    </row>
    <row r="127">
      <c r="A127" s="516" t="n"/>
      <c r="B127" s="516" t="n"/>
      <c r="C127" s="516" t="n"/>
      <c r="D127" s="516" t="n"/>
      <c r="E127" s="516" t="n"/>
      <c r="F127" s="516" t="n"/>
      <c r="G127" s="516" t="n"/>
      <c r="H127" s="516" t="n"/>
      <c r="I127" s="516" t="n"/>
      <c r="J127" s="516" t="n"/>
    </row>
    <row r="128">
      <c r="A128" s="516" t="n"/>
      <c r="B128" s="516" t="n"/>
      <c r="C128" s="516" t="n"/>
      <c r="D128" s="516" t="n"/>
      <c r="E128" s="516" t="n"/>
      <c r="F128" s="516" t="n"/>
      <c r="G128" s="516" t="n"/>
      <c r="H128" s="516" t="n"/>
      <c r="I128" s="516" t="n"/>
      <c r="J128" s="516" t="n"/>
    </row>
    <row r="129">
      <c r="A129" s="516" t="n"/>
      <c r="B129" s="516" t="n"/>
      <c r="C129" s="516" t="n"/>
      <c r="D129" s="516" t="n"/>
      <c r="E129" s="516" t="n"/>
      <c r="F129" s="516" t="n"/>
      <c r="G129" s="516" t="n"/>
      <c r="H129" s="516" t="n"/>
      <c r="I129" s="516" t="n"/>
      <c r="J129" s="516" t="n"/>
    </row>
    <row r="130">
      <c r="A130" s="516" t="n"/>
      <c r="B130" s="516" t="n"/>
      <c r="C130" s="516" t="n"/>
      <c r="D130" s="516" t="n"/>
      <c r="E130" s="516" t="n"/>
      <c r="F130" s="516" t="n"/>
      <c r="G130" s="516" t="n"/>
      <c r="H130" s="516" t="n"/>
      <c r="I130" s="516" t="n"/>
      <c r="J130" s="516" t="n"/>
    </row>
    <row r="131">
      <c r="A131" s="516" t="n"/>
      <c r="B131" s="516" t="n"/>
      <c r="C131" s="516" t="n"/>
      <c r="D131" s="516" t="n"/>
      <c r="E131" s="516" t="n"/>
      <c r="F131" s="516" t="n"/>
      <c r="G131" s="516" t="n"/>
      <c r="H131" s="516" t="n"/>
      <c r="I131" s="516" t="n"/>
      <c r="J131" s="516" t="n"/>
    </row>
    <row r="132">
      <c r="A132" s="516" t="n"/>
      <c r="B132" s="516" t="n"/>
      <c r="C132" s="516" t="n"/>
      <c r="D132" s="516" t="n"/>
      <c r="E132" s="516" t="n"/>
      <c r="F132" s="516" t="n"/>
      <c r="G132" s="516" t="n"/>
      <c r="H132" s="516" t="n"/>
      <c r="I132" s="516" t="n"/>
      <c r="J132" s="516" t="n"/>
    </row>
    <row r="133">
      <c r="A133" s="516" t="n"/>
      <c r="B133" s="516" t="n"/>
      <c r="C133" s="516" t="n"/>
      <c r="D133" s="516" t="n"/>
      <c r="E133" s="516" t="n"/>
      <c r="F133" s="516" t="n"/>
      <c r="G133" s="516" t="n"/>
      <c r="H133" s="516" t="n"/>
      <c r="I133" s="516" t="n"/>
      <c r="J133" s="516" t="n"/>
    </row>
    <row r="134">
      <c r="A134" s="516" t="n"/>
      <c r="B134" s="516" t="n"/>
      <c r="C134" s="516" t="n"/>
      <c r="D134" s="516" t="n"/>
      <c r="E134" s="516" t="n"/>
      <c r="F134" s="516" t="n"/>
      <c r="G134" s="516" t="n"/>
      <c r="H134" s="516" t="n"/>
      <c r="I134" s="516" t="n"/>
      <c r="J134" s="516" t="n"/>
    </row>
    <row r="135">
      <c r="A135" s="516" t="n"/>
      <c r="B135" s="516" t="n"/>
      <c r="C135" s="516" t="n"/>
      <c r="D135" s="516" t="n"/>
      <c r="E135" s="516" t="n"/>
      <c r="F135" s="516" t="n"/>
      <c r="G135" s="516" t="n"/>
      <c r="H135" s="516" t="n"/>
      <c r="I135" s="516" t="n"/>
      <c r="J135" s="516" t="n"/>
    </row>
    <row r="136">
      <c r="A136" s="516" t="n"/>
      <c r="B136" s="516" t="n"/>
      <c r="C136" s="516" t="n"/>
      <c r="D136" s="516" t="n"/>
      <c r="E136" s="516" t="n"/>
      <c r="F136" s="516" t="n"/>
      <c r="G136" s="516" t="n"/>
      <c r="H136" s="516" t="n"/>
      <c r="I136" s="516" t="n"/>
      <c r="J136" s="516" t="n"/>
    </row>
    <row r="137">
      <c r="A137" s="516" t="n"/>
      <c r="B137" s="516" t="n"/>
      <c r="C137" s="516" t="n"/>
      <c r="D137" s="516" t="n"/>
      <c r="E137" s="516" t="n"/>
      <c r="F137" s="516" t="n"/>
      <c r="G137" s="516" t="n"/>
      <c r="H137" s="516" t="n"/>
      <c r="I137" s="516" t="n"/>
      <c r="J137" s="516" t="n"/>
    </row>
    <row r="138">
      <c r="A138" s="516" t="n"/>
      <c r="B138" s="516" t="n"/>
      <c r="C138" s="516" t="n"/>
      <c r="D138" s="516" t="n"/>
      <c r="E138" s="516" t="n"/>
      <c r="F138" s="516" t="n"/>
      <c r="G138" s="516" t="n"/>
      <c r="H138" s="516" t="n"/>
      <c r="I138" s="516" t="n"/>
      <c r="J138" s="516" t="n"/>
    </row>
    <row r="139">
      <c r="A139" s="516" t="n"/>
      <c r="B139" s="516" t="n"/>
      <c r="C139" s="516" t="n"/>
      <c r="D139" s="516" t="n"/>
      <c r="E139" s="516" t="n"/>
      <c r="F139" s="516" t="n"/>
      <c r="G139" s="516" t="n"/>
      <c r="H139" s="516" t="n"/>
      <c r="I139" s="516" t="n"/>
      <c r="J139" s="516" t="n"/>
    </row>
    <row r="140">
      <c r="A140" s="516" t="n"/>
      <c r="B140" s="516" t="n"/>
      <c r="C140" s="516" t="n"/>
      <c r="D140" s="516" t="n"/>
      <c r="E140" s="516" t="n"/>
      <c r="F140" s="516" t="n"/>
      <c r="G140" s="516" t="n"/>
      <c r="H140" s="516" t="n"/>
      <c r="I140" s="516" t="n"/>
      <c r="J140" s="516" t="n"/>
    </row>
    <row r="141">
      <c r="A141" s="516" t="n"/>
      <c r="B141" s="516" t="n"/>
      <c r="C141" s="516" t="n"/>
      <c r="D141" s="516" t="n"/>
      <c r="E141" s="516" t="n"/>
      <c r="F141" s="516" t="n"/>
      <c r="G141" s="516" t="n"/>
      <c r="H141" s="516" t="n"/>
      <c r="I141" s="516" t="n"/>
      <c r="J141" s="516" t="n"/>
    </row>
    <row r="142">
      <c r="A142" s="516" t="n"/>
      <c r="B142" s="516" t="n"/>
      <c r="C142" s="516" t="n"/>
      <c r="D142" s="516" t="n"/>
      <c r="E142" s="516" t="n"/>
      <c r="F142" s="516" t="n"/>
      <c r="G142" s="516" t="n"/>
      <c r="H142" s="516" t="n"/>
      <c r="I142" s="516" t="n"/>
      <c r="J142" s="516" t="n"/>
    </row>
    <row r="143">
      <c r="A143" s="516" t="n"/>
      <c r="B143" s="516" t="n"/>
      <c r="C143" s="516" t="n"/>
      <c r="D143" s="516" t="n"/>
      <c r="E143" s="516" t="n"/>
      <c r="F143" s="516" t="n"/>
      <c r="G143" s="516" t="n"/>
      <c r="H143" s="516" t="n"/>
      <c r="I143" s="516" t="n"/>
      <c r="J143" s="516" t="n"/>
    </row>
    <row r="144">
      <c r="A144" s="516" t="n"/>
      <c r="B144" s="516" t="n"/>
      <c r="C144" s="516" t="n"/>
      <c r="D144" s="516" t="n"/>
      <c r="E144" s="516" t="n"/>
      <c r="F144" s="516" t="n"/>
      <c r="G144" s="516" t="n"/>
      <c r="H144" s="516" t="n"/>
      <c r="I144" s="516" t="n"/>
      <c r="J144" s="516" t="n"/>
    </row>
    <row r="145">
      <c r="A145" s="516" t="n"/>
      <c r="B145" s="516" t="n"/>
      <c r="C145" s="516" t="n"/>
      <c r="D145" s="516" t="n"/>
      <c r="E145" s="516" t="n"/>
      <c r="F145" s="516" t="n"/>
      <c r="G145" s="516" t="n"/>
      <c r="H145" s="516" t="n"/>
      <c r="I145" s="516" t="n"/>
      <c r="J145" s="516" t="n"/>
    </row>
    <row r="146">
      <c r="A146" s="516" t="n"/>
      <c r="B146" s="516" t="n"/>
      <c r="C146" s="516" t="n"/>
      <c r="D146" s="516" t="n"/>
      <c r="E146" s="516" t="n"/>
      <c r="F146" s="516" t="n"/>
      <c r="G146" s="516" t="n"/>
      <c r="H146" s="516" t="n"/>
      <c r="I146" s="516" t="n"/>
      <c r="J146" s="516" t="n"/>
    </row>
    <row r="147">
      <c r="A147" s="516" t="n"/>
      <c r="B147" s="516" t="n"/>
      <c r="C147" s="516" t="n"/>
      <c r="D147" s="516" t="n"/>
      <c r="E147" s="516" t="n"/>
      <c r="F147" s="516" t="n"/>
      <c r="G147" s="516" t="n"/>
      <c r="H147" s="516" t="n"/>
      <c r="I147" s="516" t="n"/>
      <c r="J147" s="516" t="n"/>
    </row>
    <row r="148">
      <c r="A148" s="516" t="n"/>
      <c r="B148" s="516" t="n"/>
      <c r="C148" s="516" t="n"/>
      <c r="D148" s="516" t="n"/>
      <c r="E148" s="516" t="n"/>
      <c r="F148" s="516" t="n"/>
      <c r="G148" s="516" t="n"/>
      <c r="H148" s="516" t="n"/>
      <c r="I148" s="516" t="n"/>
      <c r="J148" s="516" t="n"/>
    </row>
    <row r="149">
      <c r="A149" s="516" t="n"/>
      <c r="B149" s="516" t="n"/>
      <c r="C149" s="516" t="n"/>
      <c r="D149" s="516" t="n"/>
      <c r="E149" s="516" t="n"/>
      <c r="F149" s="516" t="n"/>
      <c r="G149" s="516" t="n"/>
      <c r="H149" s="516" t="n"/>
      <c r="I149" s="516" t="n"/>
      <c r="J149" s="516" t="n"/>
    </row>
    <row r="150">
      <c r="A150" s="516" t="n"/>
      <c r="B150" s="516" t="n"/>
      <c r="C150" s="516" t="n"/>
      <c r="D150" s="516" t="n"/>
      <c r="E150" s="516" t="n"/>
      <c r="F150" s="516" t="n"/>
      <c r="G150" s="516" t="n"/>
      <c r="H150" s="516" t="n"/>
      <c r="I150" s="516" t="n"/>
      <c r="J150" s="516" t="n"/>
    </row>
    <row r="151">
      <c r="A151" s="516" t="n"/>
      <c r="B151" s="516" t="n"/>
      <c r="C151" s="516" t="n"/>
      <c r="D151" s="516" t="n"/>
      <c r="E151" s="516" t="n"/>
      <c r="F151" s="516" t="n"/>
      <c r="G151" s="516" t="n"/>
      <c r="H151" s="516" t="n"/>
      <c r="I151" s="516" t="n"/>
      <c r="J151" s="516" t="n"/>
    </row>
    <row r="152">
      <c r="A152" s="516" t="n"/>
      <c r="B152" s="516" t="n"/>
      <c r="C152" s="516" t="n"/>
      <c r="D152" s="516" t="n"/>
      <c r="E152" s="516" t="n"/>
      <c r="F152" s="516" t="n"/>
      <c r="G152" s="516" t="n"/>
      <c r="H152" s="516" t="n"/>
      <c r="I152" s="516" t="n"/>
      <c r="J152" s="516" t="n"/>
    </row>
    <row r="153">
      <c r="A153" s="516" t="n"/>
      <c r="B153" s="516" t="n"/>
      <c r="C153" s="516" t="n"/>
      <c r="D153" s="516" t="n"/>
      <c r="E153" s="516" t="n"/>
      <c r="F153" s="516" t="n"/>
      <c r="G153" s="516" t="n"/>
      <c r="H153" s="516" t="n"/>
      <c r="I153" s="516" t="n"/>
      <c r="J153" s="516" t="n"/>
    </row>
    <row r="154">
      <c r="A154" s="516" t="n"/>
      <c r="B154" s="516" t="n"/>
      <c r="C154" s="516" t="n"/>
      <c r="D154" s="516" t="n"/>
      <c r="E154" s="516" t="n"/>
      <c r="F154" s="516" t="n"/>
      <c r="G154" s="516" t="n"/>
      <c r="H154" s="516" t="n"/>
      <c r="I154" s="516" t="n"/>
      <c r="J154" s="516" t="n"/>
    </row>
    <row r="155">
      <c r="A155" s="516" t="n"/>
      <c r="B155" s="516" t="n"/>
      <c r="C155" s="516" t="n"/>
      <c r="D155" s="516" t="n"/>
      <c r="E155" s="516" t="n"/>
      <c r="F155" s="516" t="n"/>
      <c r="G155" s="516" t="n"/>
      <c r="H155" s="516" t="n"/>
      <c r="I155" s="516" t="n"/>
      <c r="J155" s="516" t="n"/>
    </row>
    <row r="156">
      <c r="A156" s="516" t="n"/>
      <c r="B156" s="516" t="n"/>
      <c r="C156" s="516" t="n"/>
      <c r="D156" s="516" t="n"/>
      <c r="E156" s="516" t="n"/>
      <c r="F156" s="516" t="n"/>
      <c r="G156" s="516" t="n"/>
      <c r="H156" s="516" t="n"/>
      <c r="I156" s="516" t="n"/>
      <c r="J156" s="516" t="n"/>
    </row>
    <row r="157">
      <c r="A157" s="516" t="n"/>
      <c r="B157" s="516" t="n"/>
      <c r="C157" s="516" t="n"/>
      <c r="D157" s="516" t="n"/>
      <c r="E157" s="516" t="n"/>
      <c r="F157" s="516" t="n"/>
      <c r="G157" s="516" t="n"/>
      <c r="H157" s="516" t="n"/>
      <c r="I157" s="516" t="n"/>
      <c r="J157" s="516" t="n"/>
    </row>
    <row r="158">
      <c r="A158" s="516" t="n"/>
      <c r="B158" s="516" t="n"/>
      <c r="C158" s="516" t="n"/>
      <c r="D158" s="516" t="n"/>
      <c r="E158" s="516" t="n"/>
      <c r="F158" s="516" t="n"/>
      <c r="G158" s="516" t="n"/>
      <c r="H158" s="516" t="n"/>
      <c r="I158" s="516" t="n"/>
      <c r="J158" s="516" t="n"/>
    </row>
    <row r="159">
      <c r="A159" s="516" t="n"/>
      <c r="B159" s="516" t="n"/>
      <c r="C159" s="516" t="n"/>
      <c r="D159" s="516" t="n"/>
      <c r="E159" s="516" t="n"/>
      <c r="F159" s="516" t="n"/>
      <c r="G159" s="516" t="n"/>
      <c r="H159" s="516" t="n"/>
      <c r="I159" s="516" t="n"/>
      <c r="J159" s="516" t="n"/>
    </row>
    <row r="160">
      <c r="A160" s="516" t="n"/>
      <c r="B160" s="516" t="n"/>
      <c r="C160" s="516" t="n"/>
      <c r="D160" s="516" t="n"/>
      <c r="E160" s="516" t="n"/>
      <c r="F160" s="516" t="n"/>
      <c r="G160" s="516" t="n"/>
      <c r="H160" s="516" t="n"/>
      <c r="I160" s="516" t="n"/>
      <c r="J160" s="516" t="n"/>
    </row>
    <row r="161">
      <c r="A161" s="516" t="n"/>
      <c r="B161" s="516" t="n"/>
      <c r="C161" s="516" t="n"/>
      <c r="D161" s="516" t="n"/>
      <c r="E161" s="516" t="n"/>
      <c r="F161" s="516" t="n"/>
      <c r="G161" s="516" t="n"/>
      <c r="H161" s="516" t="n"/>
      <c r="I161" s="516" t="n"/>
      <c r="J161" s="516" t="n"/>
    </row>
    <row r="162">
      <c r="A162" s="516" t="n"/>
      <c r="B162" s="516" t="n"/>
      <c r="C162" s="516" t="n"/>
      <c r="D162" s="516" t="n"/>
      <c r="E162" s="516" t="n"/>
      <c r="F162" s="516" t="n"/>
      <c r="G162" s="516" t="n"/>
      <c r="H162" s="516" t="n"/>
      <c r="I162" s="516" t="n"/>
      <c r="J162" s="516" t="n"/>
    </row>
    <row r="163">
      <c r="A163" s="516" t="n"/>
      <c r="B163" s="516" t="n"/>
      <c r="C163" s="516" t="n"/>
      <c r="D163" s="516" t="n"/>
      <c r="E163" s="516" t="n"/>
      <c r="F163" s="516" t="n"/>
      <c r="G163" s="516" t="n"/>
      <c r="H163" s="516" t="n"/>
      <c r="I163" s="516" t="n"/>
      <c r="J163" s="516" t="n"/>
    </row>
    <row r="164">
      <c r="A164" s="516" t="n"/>
      <c r="B164" s="516" t="n"/>
      <c r="C164" s="516" t="n"/>
      <c r="D164" s="516" t="n"/>
      <c r="E164" s="516" t="n"/>
      <c r="F164" s="516" t="n"/>
      <c r="G164" s="516" t="n"/>
      <c r="H164" s="516" t="n"/>
      <c r="I164" s="516" t="n"/>
      <c r="J164" s="516" t="n"/>
    </row>
    <row r="165">
      <c r="A165" s="516" t="n"/>
      <c r="B165" s="516" t="n"/>
      <c r="C165" s="516" t="n"/>
      <c r="D165" s="516" t="n"/>
      <c r="E165" s="516" t="n"/>
      <c r="F165" s="516" t="n"/>
      <c r="G165" s="516" t="n"/>
      <c r="H165" s="516" t="n"/>
      <c r="I165" s="516" t="n"/>
      <c r="J165" s="516" t="n"/>
    </row>
    <row r="166">
      <c r="A166" s="516" t="n"/>
      <c r="B166" s="516" t="n"/>
      <c r="C166" s="516" t="n"/>
      <c r="D166" s="516" t="n"/>
      <c r="E166" s="516" t="n"/>
      <c r="F166" s="516" t="n"/>
      <c r="G166" s="516" t="n"/>
      <c r="H166" s="516" t="n"/>
      <c r="I166" s="516" t="n"/>
      <c r="J166" s="516" t="n"/>
    </row>
    <row r="167">
      <c r="A167" s="516" t="n"/>
      <c r="B167" s="516" t="n"/>
      <c r="C167" s="516" t="n"/>
      <c r="D167" s="516" t="n"/>
      <c r="E167" s="516" t="n"/>
      <c r="F167" s="516" t="n"/>
      <c r="G167" s="516" t="n"/>
      <c r="H167" s="516" t="n"/>
      <c r="I167" s="516" t="n"/>
      <c r="J167" s="516" t="n"/>
    </row>
    <row r="168">
      <c r="A168" s="516" t="n"/>
      <c r="B168" s="516" t="n"/>
      <c r="C168" s="516" t="n"/>
      <c r="D168" s="516" t="n"/>
      <c r="E168" s="516" t="n"/>
      <c r="F168" s="516" t="n"/>
      <c r="G168" s="516" t="n"/>
      <c r="H168" s="516" t="n"/>
      <c r="I168" s="516" t="n"/>
      <c r="J168" s="516" t="n"/>
    </row>
    <row r="169">
      <c r="A169" s="516" t="n"/>
      <c r="B169" s="516" t="n"/>
      <c r="C169" s="516" t="n"/>
      <c r="D169" s="516" t="n"/>
      <c r="E169" s="516" t="n"/>
      <c r="F169" s="516" t="n"/>
      <c r="G169" s="516" t="n"/>
      <c r="H169" s="516" t="n"/>
      <c r="I169" s="516" t="n"/>
      <c r="J169" s="516" t="n"/>
    </row>
    <row r="170">
      <c r="A170" s="516" t="n"/>
      <c r="B170" s="516" t="n"/>
      <c r="C170" s="516" t="n"/>
      <c r="D170" s="516" t="n"/>
      <c r="E170" s="516" t="n"/>
      <c r="F170" s="516" t="n"/>
      <c r="G170" s="516" t="n"/>
      <c r="H170" s="516" t="n"/>
      <c r="I170" s="516" t="n"/>
      <c r="J170" s="516" t="n"/>
    </row>
    <row r="171">
      <c r="A171" s="516" t="n"/>
      <c r="B171" s="516" t="n"/>
      <c r="C171" s="516" t="n"/>
      <c r="D171" s="516" t="n"/>
      <c r="E171" s="516" t="n"/>
      <c r="F171" s="516" t="n"/>
      <c r="G171" s="516" t="n"/>
      <c r="H171" s="516" t="n"/>
      <c r="I171" s="516" t="n"/>
      <c r="J171" s="516" t="n"/>
    </row>
    <row r="172">
      <c r="A172" s="516" t="n"/>
      <c r="B172" s="516" t="n"/>
      <c r="C172" s="516" t="n"/>
      <c r="D172" s="516" t="n"/>
      <c r="E172" s="516" t="n"/>
      <c r="F172" s="516" t="n"/>
      <c r="G172" s="516" t="n"/>
      <c r="H172" s="516" t="n"/>
      <c r="I172" s="516" t="n"/>
      <c r="J172" s="516" t="n"/>
    </row>
    <row r="173">
      <c r="A173" s="516" t="n"/>
      <c r="B173" s="516" t="n"/>
      <c r="C173" s="516" t="n"/>
      <c r="D173" s="516" t="n"/>
      <c r="E173" s="516" t="n"/>
      <c r="F173" s="516" t="n"/>
      <c r="G173" s="516" t="n"/>
      <c r="H173" s="516" t="n"/>
      <c r="I173" s="516" t="n"/>
      <c r="J173" s="516" t="n"/>
    </row>
    <row r="174">
      <c r="A174" s="516" t="n"/>
      <c r="B174" s="516" t="n"/>
      <c r="C174" s="516" t="n"/>
      <c r="D174" s="516" t="n"/>
      <c r="E174" s="516" t="n"/>
      <c r="F174" s="516" t="n"/>
      <c r="G174" s="516" t="n"/>
      <c r="H174" s="516" t="n"/>
      <c r="I174" s="516" t="n"/>
      <c r="J174" s="516" t="n"/>
    </row>
    <row r="175">
      <c r="A175" s="516" t="n"/>
      <c r="B175" s="516" t="n"/>
      <c r="C175" s="516" t="n"/>
      <c r="D175" s="516" t="n"/>
      <c r="E175" s="516" t="n"/>
      <c r="F175" s="516" t="n"/>
      <c r="G175" s="516" t="n"/>
      <c r="H175" s="516" t="n"/>
      <c r="I175" s="516" t="n"/>
      <c r="J175" s="516" t="n"/>
    </row>
    <row r="176">
      <c r="A176" s="516" t="n"/>
      <c r="B176" s="516" t="n"/>
      <c r="C176" s="516" t="n"/>
      <c r="D176" s="516" t="n"/>
      <c r="E176" s="516" t="n"/>
      <c r="F176" s="516" t="n"/>
      <c r="G176" s="516" t="n"/>
      <c r="H176" s="516" t="n"/>
      <c r="I176" s="516" t="n"/>
      <c r="J176" s="516" t="n"/>
    </row>
    <row r="177">
      <c r="A177" s="516" t="n"/>
      <c r="B177" s="516" t="n"/>
      <c r="C177" s="516" t="n"/>
      <c r="D177" s="516" t="n"/>
      <c r="E177" s="516" t="n"/>
      <c r="F177" s="516" t="n"/>
      <c r="G177" s="516" t="n"/>
      <c r="H177" s="516" t="n"/>
      <c r="I177" s="516" t="n"/>
      <c r="J177" s="516" t="n"/>
    </row>
    <row r="178">
      <c r="A178" s="516" t="n"/>
      <c r="B178" s="516" t="n"/>
      <c r="C178" s="516" t="n"/>
      <c r="D178" s="516" t="n"/>
      <c r="E178" s="516" t="n"/>
      <c r="F178" s="516" t="n"/>
      <c r="G178" s="516" t="n"/>
      <c r="H178" s="516" t="n"/>
      <c r="I178" s="516" t="n"/>
      <c r="J178" s="516" t="n"/>
    </row>
    <row r="179">
      <c r="A179" s="516" t="n"/>
      <c r="B179" s="516" t="n"/>
      <c r="C179" s="516" t="n"/>
      <c r="D179" s="516" t="n"/>
      <c r="E179" s="516" t="n"/>
      <c r="F179" s="516" t="n"/>
      <c r="G179" s="516" t="n"/>
      <c r="H179" s="516" t="n"/>
      <c r="I179" s="516" t="n"/>
      <c r="J179" s="516" t="n"/>
    </row>
    <row r="180">
      <c r="A180" s="516" t="n"/>
      <c r="B180" s="516" t="n"/>
      <c r="C180" s="516" t="n"/>
      <c r="D180" s="516" t="n"/>
      <c r="E180" s="516" t="n"/>
      <c r="F180" s="516" t="n"/>
      <c r="G180" s="516" t="n"/>
      <c r="H180" s="516" t="n"/>
      <c r="I180" s="516" t="n"/>
      <c r="J180" s="516" t="n"/>
    </row>
    <row r="181">
      <c r="A181" s="516" t="n"/>
      <c r="B181" s="516" t="n"/>
      <c r="C181" s="516" t="n"/>
      <c r="D181" s="516" t="n"/>
      <c r="E181" s="516" t="n"/>
      <c r="F181" s="516" t="n"/>
      <c r="G181" s="516" t="n"/>
      <c r="H181" s="516" t="n"/>
      <c r="I181" s="516" t="n"/>
      <c r="J181" s="516" t="n"/>
    </row>
    <row r="182">
      <c r="A182" s="516" t="n"/>
      <c r="B182" s="516" t="n"/>
      <c r="C182" s="516" t="n"/>
      <c r="D182" s="516" t="n"/>
      <c r="E182" s="516" t="n"/>
      <c r="F182" s="516" t="n"/>
      <c r="G182" s="516" t="n"/>
      <c r="H182" s="516" t="n"/>
      <c r="I182" s="516" t="n"/>
      <c r="J182" s="516" t="n"/>
    </row>
    <row r="183">
      <c r="A183" s="516" t="n"/>
      <c r="B183" s="516" t="n"/>
      <c r="C183" s="516" t="n"/>
      <c r="D183" s="516" t="n"/>
      <c r="E183" s="516" t="n"/>
      <c r="F183" s="516" t="n"/>
      <c r="G183" s="516" t="n"/>
      <c r="H183" s="516" t="n"/>
      <c r="I183" s="516" t="n"/>
      <c r="J183" s="516" t="n"/>
    </row>
    <row r="184">
      <c r="A184" s="516" t="n"/>
      <c r="B184" s="516" t="n"/>
      <c r="C184" s="516" t="n"/>
      <c r="D184" s="516" t="n"/>
      <c r="E184" s="516" t="n"/>
      <c r="F184" s="516" t="n"/>
      <c r="G184" s="516" t="n"/>
      <c r="H184" s="516" t="n"/>
      <c r="I184" s="516" t="n"/>
      <c r="J184" s="516" t="n"/>
    </row>
    <row r="185">
      <c r="A185" s="516" t="n"/>
      <c r="B185" s="516" t="n"/>
      <c r="C185" s="516" t="n"/>
      <c r="D185" s="516" t="n"/>
      <c r="E185" s="516" t="n"/>
      <c r="F185" s="516" t="n"/>
      <c r="G185" s="516" t="n"/>
      <c r="H185" s="516" t="n"/>
      <c r="I185" s="516" t="n"/>
      <c r="J185" s="516" t="n"/>
    </row>
    <row r="186">
      <c r="A186" s="516" t="n"/>
      <c r="B186" s="516" t="n"/>
      <c r="C186" s="516" t="n"/>
      <c r="D186" s="516" t="n"/>
      <c r="E186" s="516" t="n"/>
      <c r="F186" s="516" t="n"/>
      <c r="G186" s="516" t="n"/>
      <c r="H186" s="516" t="n"/>
      <c r="I186" s="516" t="n"/>
      <c r="J186" s="516" t="n"/>
    </row>
    <row r="187">
      <c r="A187" s="516" t="n"/>
      <c r="B187" s="516" t="n"/>
      <c r="C187" s="516" t="n"/>
      <c r="D187" s="516" t="n"/>
      <c r="E187" s="516" t="n"/>
      <c r="F187" s="516" t="n"/>
      <c r="G187" s="516" t="n"/>
      <c r="H187" s="516" t="n"/>
      <c r="I187" s="516" t="n"/>
      <c r="J187" s="516" t="n"/>
    </row>
    <row r="188">
      <c r="A188" s="516" t="n"/>
      <c r="B188" s="516" t="n"/>
      <c r="C188" s="516" t="n"/>
      <c r="D188" s="516" t="n"/>
      <c r="E188" s="516" t="n"/>
      <c r="F188" s="516" t="n"/>
      <c r="G188" s="516" t="n"/>
      <c r="H188" s="516" t="n"/>
      <c r="I188" s="516" t="n"/>
      <c r="J188" s="516" t="n"/>
    </row>
    <row r="189">
      <c r="A189" s="516" t="n"/>
      <c r="B189" s="516" t="n"/>
      <c r="C189" s="516" t="n"/>
      <c r="D189" s="516" t="n"/>
      <c r="E189" s="516" t="n"/>
      <c r="F189" s="516" t="n"/>
      <c r="G189" s="516" t="n"/>
      <c r="H189" s="516" t="n"/>
      <c r="I189" s="516" t="n"/>
      <c r="J189" s="516" t="n"/>
    </row>
    <row r="190">
      <c r="A190" s="516" t="n"/>
      <c r="B190" s="516" t="n"/>
      <c r="C190" s="516" t="n"/>
      <c r="D190" s="516" t="n"/>
      <c r="E190" s="516" t="n"/>
      <c r="F190" s="516" t="n"/>
      <c r="G190" s="516" t="n"/>
      <c r="H190" s="516" t="n"/>
      <c r="I190" s="516" t="n"/>
      <c r="J190" s="516" t="n"/>
    </row>
    <row r="191">
      <c r="A191" s="516" t="n"/>
      <c r="B191" s="516" t="n"/>
      <c r="C191" s="516" t="n"/>
      <c r="D191" s="516" t="n"/>
      <c r="E191" s="516" t="n"/>
      <c r="F191" s="516" t="n"/>
      <c r="G191" s="516" t="n"/>
      <c r="H191" s="516" t="n"/>
      <c r="I191" s="516" t="n"/>
      <c r="J191" s="516" t="n"/>
    </row>
    <row r="192">
      <c r="A192" s="516" t="n"/>
      <c r="B192" s="516" t="n"/>
      <c r="C192" s="516" t="n"/>
      <c r="D192" s="516" t="n"/>
      <c r="E192" s="516" t="n"/>
      <c r="F192" s="516" t="n"/>
      <c r="G192" s="516" t="n"/>
      <c r="H192" s="516" t="n"/>
      <c r="I192" s="516" t="n"/>
      <c r="J192" s="516" t="n"/>
    </row>
    <row r="193">
      <c r="A193" s="516" t="n"/>
      <c r="B193" s="516" t="n"/>
      <c r="C193" s="516" t="n"/>
      <c r="D193" s="516" t="n"/>
      <c r="E193" s="516" t="n"/>
      <c r="F193" s="516" t="n"/>
      <c r="G193" s="516" t="n"/>
      <c r="H193" s="516" t="n"/>
      <c r="I193" s="516" t="n"/>
      <c r="J193" s="516" t="n"/>
    </row>
    <row r="194">
      <c r="A194" s="516" t="n"/>
      <c r="B194" s="516" t="n"/>
      <c r="C194" s="516" t="n"/>
      <c r="D194" s="516" t="n"/>
      <c r="E194" s="516" t="n"/>
      <c r="F194" s="516" t="n"/>
      <c r="G194" s="516" t="n"/>
      <c r="H194" s="516" t="n"/>
      <c r="I194" s="516" t="n"/>
      <c r="J194" s="516" t="n"/>
    </row>
    <row r="195">
      <c r="A195" s="516" t="n"/>
      <c r="B195" s="516" t="n"/>
      <c r="C195" s="516" t="n"/>
      <c r="D195" s="516" t="n"/>
      <c r="E195" s="516" t="n"/>
      <c r="F195" s="516" t="n"/>
      <c r="G195" s="516" t="n"/>
      <c r="H195" s="516" t="n"/>
      <c r="I195" s="516" t="n"/>
      <c r="J195" s="516" t="n"/>
    </row>
    <row r="196">
      <c r="A196" s="516" t="n"/>
      <c r="B196" s="516" t="n"/>
      <c r="C196" s="516" t="n"/>
      <c r="D196" s="516" t="n"/>
      <c r="E196" s="516" t="n"/>
      <c r="F196" s="516" t="n"/>
      <c r="G196" s="516" t="n"/>
      <c r="H196" s="516" t="n"/>
      <c r="I196" s="516" t="n"/>
      <c r="J196" s="516" t="n"/>
    </row>
    <row r="197">
      <c r="A197" s="516" t="n"/>
      <c r="B197" s="516" t="n"/>
      <c r="C197" s="516" t="n"/>
      <c r="D197" s="516" t="n"/>
      <c r="E197" s="516" t="n"/>
      <c r="F197" s="516" t="n"/>
      <c r="G197" s="516" t="n"/>
      <c r="H197" s="516" t="n"/>
      <c r="I197" s="516" t="n"/>
      <c r="J197" s="516" t="n"/>
    </row>
    <row r="198">
      <c r="A198" s="516" t="n"/>
      <c r="B198" s="516" t="n"/>
      <c r="C198" s="516" t="n"/>
      <c r="D198" s="516" t="n"/>
      <c r="E198" s="516" t="n"/>
      <c r="F198" s="516" t="n"/>
      <c r="G198" s="516" t="n"/>
      <c r="H198" s="516" t="n"/>
      <c r="I198" s="516" t="n"/>
      <c r="J198" s="516" t="n"/>
    </row>
    <row r="199">
      <c r="A199" s="516" t="n"/>
      <c r="B199" s="516" t="n"/>
      <c r="C199" s="516" t="n"/>
      <c r="D199" s="516" t="n"/>
      <c r="E199" s="516" t="n"/>
      <c r="F199" s="516" t="n"/>
      <c r="G199" s="516" t="n"/>
      <c r="H199" s="516" t="n"/>
      <c r="I199" s="516" t="n"/>
      <c r="J199" s="516" t="n"/>
    </row>
    <row r="200">
      <c r="A200" s="516" t="n"/>
      <c r="B200" s="516" t="n"/>
      <c r="C200" s="516" t="n"/>
      <c r="D200" s="516" t="n"/>
      <c r="E200" s="516" t="n"/>
      <c r="F200" s="516" t="n"/>
      <c r="G200" s="516" t="n"/>
      <c r="H200" s="516" t="n"/>
      <c r="I200" s="516" t="n"/>
      <c r="J200" s="516" t="n"/>
    </row>
    <row r="201">
      <c r="A201" s="516" t="n"/>
      <c r="B201" s="516" t="n"/>
      <c r="C201" s="516" t="n"/>
      <c r="D201" s="516" t="n"/>
      <c r="E201" s="516" t="n"/>
      <c r="F201" s="516" t="n"/>
      <c r="G201" s="516" t="n"/>
      <c r="H201" s="516" t="n"/>
      <c r="I201" s="516" t="n"/>
      <c r="J201" s="516" t="n"/>
    </row>
    <row r="202">
      <c r="A202" s="516" t="n"/>
      <c r="B202" s="516" t="n"/>
      <c r="C202" s="516" t="n"/>
      <c r="D202" s="516" t="n"/>
      <c r="E202" s="516" t="n"/>
      <c r="F202" s="516" t="n"/>
      <c r="G202" s="516" t="n"/>
      <c r="H202" s="516" t="n"/>
      <c r="I202" s="516" t="n"/>
      <c r="J202" s="516" t="n"/>
    </row>
    <row r="203">
      <c r="A203" s="516" t="n"/>
      <c r="B203" s="516" t="n"/>
      <c r="C203" s="516" t="n"/>
      <c r="D203" s="516" t="n"/>
      <c r="E203" s="516" t="n"/>
      <c r="F203" s="516" t="n"/>
      <c r="G203" s="516" t="n"/>
      <c r="H203" s="516" t="n"/>
      <c r="I203" s="516" t="n"/>
      <c r="J203" s="516" t="n"/>
    </row>
    <row r="204">
      <c r="A204" s="516" t="n"/>
      <c r="B204" s="516" t="n"/>
      <c r="C204" s="516" t="n"/>
      <c r="D204" s="516" t="n"/>
      <c r="E204" s="516" t="n"/>
      <c r="F204" s="516" t="n"/>
      <c r="G204" s="516" t="n"/>
      <c r="H204" s="516" t="n"/>
      <c r="I204" s="516" t="n"/>
      <c r="J204" s="516" t="n"/>
    </row>
    <row r="205">
      <c r="A205" s="516" t="n"/>
      <c r="B205" s="516" t="n"/>
      <c r="C205" s="516" t="n"/>
      <c r="D205" s="516" t="n"/>
      <c r="E205" s="516" t="n"/>
      <c r="F205" s="516" t="n"/>
      <c r="G205" s="516" t="n"/>
      <c r="H205" s="516" t="n"/>
      <c r="I205" s="516" t="n"/>
      <c r="J205" s="516" t="n"/>
    </row>
    <row r="206">
      <c r="A206" s="516" t="n"/>
      <c r="B206" s="516" t="n"/>
      <c r="C206" s="516" t="n"/>
      <c r="D206" s="516" t="n"/>
      <c r="E206" s="516" t="n"/>
      <c r="F206" s="516" t="n"/>
      <c r="G206" s="516" t="n"/>
      <c r="H206" s="516" t="n"/>
      <c r="I206" s="516" t="n"/>
      <c r="J206" s="516" t="n"/>
    </row>
    <row r="207">
      <c r="A207" s="516" t="n"/>
      <c r="B207" s="516" t="n"/>
      <c r="C207" s="516" t="n"/>
      <c r="D207" s="516" t="n"/>
      <c r="E207" s="516" t="n"/>
      <c r="F207" s="516" t="n"/>
      <c r="G207" s="516" t="n"/>
      <c r="H207" s="516" t="n"/>
      <c r="I207" s="516" t="n"/>
      <c r="J207" s="516" t="n"/>
    </row>
    <row r="208">
      <c r="A208" s="516" t="n"/>
      <c r="B208" s="516" t="n"/>
      <c r="C208" s="516" t="n"/>
      <c r="D208" s="516" t="n"/>
      <c r="E208" s="516" t="n"/>
      <c r="F208" s="516" t="n"/>
      <c r="G208" s="516" t="n"/>
      <c r="H208" s="516" t="n"/>
      <c r="I208" s="516" t="n"/>
      <c r="J208" s="516" t="n"/>
    </row>
    <row r="209">
      <c r="A209" s="516" t="n"/>
      <c r="B209" s="516" t="n"/>
      <c r="C209" s="516" t="n"/>
      <c r="D209" s="516" t="n"/>
      <c r="E209" s="516" t="n"/>
      <c r="F209" s="516" t="n"/>
      <c r="G209" s="516" t="n"/>
      <c r="H209" s="516" t="n"/>
      <c r="I209" s="516" t="n"/>
      <c r="J209" s="516" t="n"/>
    </row>
    <row r="210">
      <c r="A210" s="516" t="n"/>
      <c r="B210" s="516" t="n"/>
      <c r="C210" s="516" t="n"/>
      <c r="D210" s="516" t="n"/>
      <c r="E210" s="516" t="n"/>
      <c r="F210" s="516" t="n"/>
      <c r="G210" s="516" t="n"/>
      <c r="H210" s="516" t="n"/>
      <c r="I210" s="516" t="n"/>
      <c r="J210" s="516" t="n"/>
    </row>
    <row r="211">
      <c r="A211" s="516" t="n"/>
      <c r="B211" s="516" t="n"/>
      <c r="C211" s="516" t="n"/>
      <c r="D211" s="516" t="n"/>
      <c r="E211" s="516" t="n"/>
      <c r="F211" s="516" t="n"/>
      <c r="G211" s="516" t="n"/>
      <c r="H211" s="516" t="n"/>
      <c r="I211" s="516" t="n"/>
      <c r="J211" s="516" t="n"/>
    </row>
    <row r="212">
      <c r="A212" s="516" t="n"/>
      <c r="B212" s="516" t="n"/>
      <c r="C212" s="516" t="n"/>
      <c r="D212" s="516" t="n"/>
      <c r="E212" s="516" t="n"/>
      <c r="F212" s="516" t="n"/>
      <c r="G212" s="516" t="n"/>
      <c r="H212" s="516" t="n"/>
      <c r="I212" s="516" t="n"/>
      <c r="J212" s="516" t="n"/>
    </row>
    <row r="213">
      <c r="A213" s="516" t="n"/>
      <c r="B213" s="516" t="n"/>
      <c r="C213" s="516" t="n"/>
      <c r="D213" s="516" t="n"/>
      <c r="E213" s="516" t="n"/>
      <c r="F213" s="516" t="n"/>
      <c r="G213" s="516" t="n"/>
      <c r="H213" s="516" t="n"/>
      <c r="I213" s="516" t="n"/>
      <c r="J213" s="516" t="n"/>
    </row>
    <row r="214">
      <c r="A214" s="516" t="n"/>
      <c r="B214" s="516" t="n"/>
      <c r="C214" s="516" t="n"/>
      <c r="D214" s="516" t="n"/>
      <c r="E214" s="516" t="n"/>
      <c r="F214" s="516" t="n"/>
      <c r="G214" s="516" t="n"/>
      <c r="H214" s="516" t="n"/>
      <c r="I214" s="516" t="n"/>
      <c r="J214" s="516" t="n"/>
    </row>
    <row r="215">
      <c r="A215" s="516" t="n"/>
      <c r="B215" s="516" t="n"/>
      <c r="C215" s="516" t="n"/>
      <c r="D215" s="516" t="n"/>
      <c r="E215" s="516" t="n"/>
      <c r="F215" s="516" t="n"/>
      <c r="G215" s="516" t="n"/>
      <c r="H215" s="516" t="n"/>
      <c r="I215" s="516" t="n"/>
      <c r="J215" s="516" t="n"/>
    </row>
    <row r="216">
      <c r="A216" s="516" t="n"/>
      <c r="B216" s="516" t="n"/>
      <c r="C216" s="516" t="n"/>
      <c r="D216" s="516" t="n"/>
      <c r="E216" s="516" t="n"/>
      <c r="F216" s="516" t="n"/>
      <c r="G216" s="516" t="n"/>
      <c r="H216" s="516" t="n"/>
      <c r="I216" s="516" t="n"/>
      <c r="J216" s="516" t="n"/>
    </row>
    <row r="217">
      <c r="A217" s="516" t="n"/>
      <c r="B217" s="516" t="n"/>
      <c r="C217" s="516" t="n"/>
      <c r="D217" s="516" t="n"/>
      <c r="E217" s="516" t="n"/>
      <c r="F217" s="516" t="n"/>
      <c r="G217" s="516" t="n"/>
      <c r="H217" s="516" t="n"/>
      <c r="I217" s="516" t="n"/>
      <c r="J217" s="516" t="n"/>
    </row>
    <row r="218">
      <c r="A218" s="516" t="n"/>
      <c r="B218" s="516" t="n"/>
      <c r="C218" s="516" t="n"/>
      <c r="D218" s="516" t="n"/>
      <c r="E218" s="516" t="n"/>
      <c r="F218" s="516" t="n"/>
      <c r="G218" s="516" t="n"/>
      <c r="H218" s="516" t="n"/>
      <c r="I218" s="516" t="n"/>
      <c r="J218" s="516" t="n"/>
    </row>
    <row r="219">
      <c r="A219" s="516" t="n"/>
      <c r="B219" s="516" t="n"/>
      <c r="C219" s="516" t="n"/>
      <c r="D219" s="516" t="n"/>
      <c r="E219" s="516" t="n"/>
      <c r="F219" s="516" t="n"/>
      <c r="G219" s="516" t="n"/>
      <c r="H219" s="516" t="n"/>
      <c r="I219" s="516" t="n"/>
      <c r="J219" s="516" t="n"/>
    </row>
    <row r="220">
      <c r="A220" s="516" t="n"/>
      <c r="B220" s="516" t="n"/>
      <c r="C220" s="516" t="n"/>
      <c r="D220" s="516" t="n"/>
      <c r="E220" s="516" t="n"/>
      <c r="F220" s="516" t="n"/>
      <c r="G220" s="516" t="n"/>
      <c r="H220" s="516" t="n"/>
      <c r="I220" s="516" t="n"/>
      <c r="J220" s="516" t="n"/>
    </row>
    <row r="221">
      <c r="A221" s="516" t="n"/>
      <c r="B221" s="516" t="n"/>
      <c r="C221" s="516" t="n"/>
      <c r="D221" s="516" t="n"/>
      <c r="E221" s="516" t="n"/>
      <c r="F221" s="516" t="n"/>
      <c r="G221" s="516" t="n"/>
      <c r="H221" s="516" t="n"/>
      <c r="I221" s="516" t="n"/>
      <c r="J221" s="516" t="n"/>
    </row>
    <row r="222">
      <c r="A222" s="516" t="n"/>
      <c r="B222" s="516" t="n"/>
      <c r="C222" s="516" t="n"/>
      <c r="D222" s="516" t="n"/>
      <c r="E222" s="516" t="n"/>
      <c r="F222" s="516" t="n"/>
      <c r="G222" s="516" t="n"/>
      <c r="H222" s="516" t="n"/>
      <c r="I222" s="516" t="n"/>
      <c r="J222" s="516" t="n"/>
    </row>
    <row r="223">
      <c r="A223" s="516" t="n"/>
      <c r="B223" s="516" t="n"/>
      <c r="C223" s="516" t="n"/>
      <c r="D223" s="516" t="n"/>
      <c r="E223" s="516" t="n"/>
      <c r="F223" s="516" t="n"/>
      <c r="G223" s="516" t="n"/>
      <c r="H223" s="516" t="n"/>
      <c r="I223" s="516" t="n"/>
      <c r="J223" s="516" t="n"/>
    </row>
    <row r="224">
      <c r="A224" s="516" t="n"/>
      <c r="B224" s="516" t="n"/>
      <c r="C224" s="516" t="n"/>
      <c r="D224" s="516" t="n"/>
      <c r="E224" s="516" t="n"/>
      <c r="F224" s="516" t="n"/>
      <c r="G224" s="516" t="n"/>
      <c r="H224" s="516" t="n"/>
      <c r="I224" s="516" t="n"/>
      <c r="J224" s="516" t="n"/>
    </row>
    <row r="225">
      <c r="A225" s="516" t="n"/>
      <c r="B225" s="516" t="n"/>
      <c r="C225" s="516" t="n"/>
      <c r="D225" s="516" t="n"/>
      <c r="E225" s="516" t="n"/>
      <c r="F225" s="516" t="n"/>
      <c r="G225" s="516" t="n"/>
      <c r="H225" s="516" t="n"/>
      <c r="I225" s="516" t="n"/>
      <c r="J225" s="516" t="n"/>
    </row>
    <row r="226">
      <c r="A226" s="516" t="n"/>
      <c r="B226" s="516" t="n"/>
      <c r="C226" s="516" t="n"/>
      <c r="D226" s="516" t="n"/>
      <c r="E226" s="516" t="n"/>
      <c r="F226" s="516" t="n"/>
      <c r="G226" s="516" t="n"/>
      <c r="H226" s="516" t="n"/>
      <c r="I226" s="516" t="n"/>
      <c r="J226" s="516" t="n"/>
    </row>
    <row r="227">
      <c r="A227" s="516" t="n"/>
      <c r="B227" s="516" t="n"/>
      <c r="C227" s="516" t="n"/>
      <c r="D227" s="516" t="n"/>
      <c r="E227" s="516" t="n"/>
      <c r="F227" s="516" t="n"/>
      <c r="G227" s="516" t="n"/>
      <c r="H227" s="516" t="n"/>
      <c r="I227" s="516" t="n"/>
      <c r="J227" s="516" t="n"/>
    </row>
    <row r="228">
      <c r="A228" s="516" t="n"/>
      <c r="B228" s="516" t="n"/>
      <c r="C228" s="516" t="n"/>
      <c r="D228" s="516" t="n"/>
      <c r="E228" s="516" t="n"/>
      <c r="F228" s="516" t="n"/>
      <c r="G228" s="516" t="n"/>
      <c r="H228" s="516" t="n"/>
      <c r="I228" s="516" t="n"/>
      <c r="J228" s="516" t="n"/>
    </row>
    <row r="229">
      <c r="A229" s="516" t="n"/>
      <c r="B229" s="516" t="n"/>
      <c r="C229" s="516" t="n"/>
      <c r="D229" s="516" t="n"/>
      <c r="E229" s="516" t="n"/>
      <c r="F229" s="516" t="n"/>
      <c r="G229" s="516" t="n"/>
      <c r="H229" s="516" t="n"/>
      <c r="I229" s="516" t="n"/>
      <c r="J229" s="516" t="n"/>
    </row>
    <row r="230">
      <c r="A230" s="516" t="n"/>
      <c r="B230" s="516" t="n"/>
      <c r="C230" s="516" t="n"/>
      <c r="D230" s="516" t="n"/>
      <c r="E230" s="516" t="n"/>
      <c r="F230" s="516" t="n"/>
      <c r="G230" s="516" t="n"/>
      <c r="H230" s="516" t="n"/>
      <c r="I230" s="516" t="n"/>
      <c r="J230" s="516" t="n"/>
    </row>
    <row r="231">
      <c r="A231" s="516" t="n"/>
      <c r="B231" s="516" t="n"/>
      <c r="C231" s="516" t="n"/>
      <c r="D231" s="516" t="n"/>
      <c r="E231" s="516" t="n"/>
      <c r="F231" s="516" t="n"/>
      <c r="G231" s="516" t="n"/>
      <c r="H231" s="516" t="n"/>
      <c r="I231" s="516" t="n"/>
      <c r="J231" s="516" t="n"/>
    </row>
    <row r="232">
      <c r="A232" s="516" t="n"/>
      <c r="B232" s="516" t="n"/>
      <c r="C232" s="516" t="n"/>
      <c r="D232" s="516" t="n"/>
      <c r="E232" s="516" t="n"/>
      <c r="F232" s="516" t="n"/>
      <c r="G232" s="516" t="n"/>
      <c r="H232" s="516" t="n"/>
      <c r="I232" s="516" t="n"/>
      <c r="J232" s="516" t="n"/>
    </row>
    <row r="233">
      <c r="A233" s="516" t="n"/>
      <c r="B233" s="516" t="n"/>
      <c r="C233" s="516" t="n"/>
      <c r="D233" s="516" t="n"/>
      <c r="E233" s="516" t="n"/>
      <c r="F233" s="516" t="n"/>
      <c r="G233" s="516" t="n"/>
      <c r="H233" s="516" t="n"/>
      <c r="I233" s="516" t="n"/>
      <c r="J233" s="516" t="n"/>
    </row>
    <row r="234">
      <c r="A234" s="516" t="n"/>
      <c r="B234" s="516" t="n"/>
      <c r="C234" s="516" t="n"/>
      <c r="D234" s="516" t="n"/>
      <c r="E234" s="516" t="n"/>
      <c r="F234" s="516" t="n"/>
      <c r="G234" s="516" t="n"/>
      <c r="H234" s="516" t="n"/>
      <c r="I234" s="516" t="n"/>
      <c r="J234" s="516" t="n"/>
    </row>
    <row r="235">
      <c r="A235" s="516" t="n"/>
      <c r="B235" s="516" t="n"/>
      <c r="C235" s="516" t="n"/>
      <c r="D235" s="516" t="n"/>
      <c r="E235" s="516" t="n"/>
      <c r="F235" s="516" t="n"/>
      <c r="G235" s="516" t="n"/>
      <c r="H235" s="516" t="n"/>
      <c r="I235" s="516" t="n"/>
      <c r="J235" s="516" t="n"/>
    </row>
    <row r="236">
      <c r="A236" s="516" t="n"/>
      <c r="B236" s="516" t="n"/>
      <c r="C236" s="516" t="n"/>
      <c r="D236" s="516" t="n"/>
      <c r="E236" s="516" t="n"/>
      <c r="F236" s="516" t="n"/>
      <c r="G236" s="516" t="n"/>
      <c r="H236" s="516" t="n"/>
      <c r="I236" s="516" t="n"/>
      <c r="J236" s="516" t="n"/>
    </row>
    <row r="237">
      <c r="A237" s="516" t="n"/>
      <c r="B237" s="516" t="n"/>
      <c r="C237" s="516" t="n"/>
      <c r="D237" s="516" t="n"/>
      <c r="E237" s="516" t="n"/>
      <c r="F237" s="516" t="n"/>
      <c r="G237" s="516" t="n"/>
      <c r="H237" s="516" t="n"/>
      <c r="I237" s="516" t="n"/>
      <c r="J237" s="516" t="n"/>
    </row>
    <row r="238">
      <c r="A238" s="516" t="n"/>
      <c r="B238" s="516" t="n"/>
      <c r="C238" s="516" t="n"/>
      <c r="D238" s="516" t="n"/>
      <c r="E238" s="516" t="n"/>
      <c r="F238" s="516" t="n"/>
      <c r="G238" s="516" t="n"/>
      <c r="H238" s="516" t="n"/>
      <c r="I238" s="516" t="n"/>
      <c r="J238" s="516" t="n"/>
    </row>
    <row r="239">
      <c r="A239" s="516" t="n"/>
      <c r="B239" s="516" t="n"/>
      <c r="C239" s="516" t="n"/>
      <c r="D239" s="516" t="n"/>
      <c r="E239" s="516" t="n"/>
      <c r="F239" s="516" t="n"/>
      <c r="G239" s="516" t="n"/>
      <c r="H239" s="516" t="n"/>
      <c r="I239" s="516" t="n"/>
      <c r="J239" s="516" t="n"/>
    </row>
    <row r="240">
      <c r="A240" s="516" t="n"/>
      <c r="B240" s="516" t="n"/>
      <c r="C240" s="516" t="n"/>
      <c r="D240" s="516" t="n"/>
      <c r="E240" s="516" t="n"/>
      <c r="F240" s="516" t="n"/>
      <c r="G240" s="516" t="n"/>
      <c r="H240" s="516" t="n"/>
      <c r="I240" s="516" t="n"/>
      <c r="J240" s="516" t="n"/>
    </row>
    <row r="241">
      <c r="A241" s="516" t="n"/>
      <c r="B241" s="516" t="n"/>
      <c r="C241" s="516" t="n"/>
      <c r="D241" s="516" t="n"/>
      <c r="E241" s="516" t="n"/>
      <c r="F241" s="516" t="n"/>
      <c r="G241" s="516" t="n"/>
      <c r="H241" s="516" t="n"/>
      <c r="I241" s="516" t="n"/>
      <c r="J241" s="516" t="n"/>
    </row>
    <row r="242">
      <c r="A242" s="516" t="n"/>
      <c r="B242" s="516" t="n"/>
      <c r="C242" s="516" t="n"/>
      <c r="D242" s="516" t="n"/>
      <c r="E242" s="516" t="n"/>
      <c r="F242" s="516" t="n"/>
      <c r="G242" s="516" t="n"/>
      <c r="H242" s="516" t="n"/>
      <c r="I242" s="516" t="n"/>
      <c r="J242" s="516" t="n"/>
    </row>
    <row r="243">
      <c r="A243" s="516" t="n"/>
      <c r="B243" s="516" t="n"/>
      <c r="C243" s="516" t="n"/>
      <c r="D243" s="516" t="n"/>
      <c r="E243" s="516" t="n"/>
      <c r="F243" s="516" t="n"/>
      <c r="G243" s="516" t="n"/>
      <c r="H243" s="516" t="n"/>
      <c r="I243" s="516" t="n"/>
      <c r="J243" s="516" t="n"/>
    </row>
    <row r="244">
      <c r="A244" s="516" t="n"/>
      <c r="B244" s="516" t="n"/>
      <c r="C244" s="516" t="n"/>
      <c r="D244" s="516" t="n"/>
      <c r="E244" s="516" t="n"/>
      <c r="F244" s="516" t="n"/>
      <c r="G244" s="516" t="n"/>
      <c r="H244" s="516" t="n"/>
      <c r="I244" s="516" t="n"/>
      <c r="J244" s="516" t="n"/>
    </row>
    <row r="245">
      <c r="A245" s="516" t="n"/>
      <c r="B245" s="516" t="n"/>
      <c r="C245" s="516" t="n"/>
      <c r="D245" s="516" t="n"/>
      <c r="E245" s="516" t="n"/>
      <c r="F245" s="516" t="n"/>
      <c r="G245" s="516" t="n"/>
      <c r="H245" s="516" t="n"/>
      <c r="I245" s="516" t="n"/>
      <c r="J245" s="516" t="n"/>
    </row>
    <row r="246">
      <c r="A246" s="516" t="n"/>
      <c r="B246" s="516" t="n"/>
      <c r="C246" s="516" t="n"/>
      <c r="D246" s="516" t="n"/>
      <c r="E246" s="516" t="n"/>
      <c r="F246" s="516" t="n"/>
      <c r="G246" s="516" t="n"/>
      <c r="H246" s="516" t="n"/>
      <c r="I246" s="516" t="n"/>
      <c r="J246" s="516" t="n"/>
    </row>
    <row r="247">
      <c r="A247" s="516" t="n"/>
      <c r="B247" s="516" t="n"/>
      <c r="C247" s="516" t="n"/>
      <c r="D247" s="516" t="n"/>
      <c r="E247" s="516" t="n"/>
      <c r="F247" s="516" t="n"/>
      <c r="G247" s="516" t="n"/>
      <c r="H247" s="516" t="n"/>
      <c r="I247" s="516" t="n"/>
      <c r="J247" s="516" t="n"/>
    </row>
    <row r="248">
      <c r="A248" s="516" t="n"/>
      <c r="B248" s="516" t="n"/>
      <c r="C248" s="516" t="n"/>
      <c r="D248" s="516" t="n"/>
      <c r="E248" s="516" t="n"/>
      <c r="F248" s="516" t="n"/>
      <c r="G248" s="516" t="n"/>
      <c r="H248" s="516" t="n"/>
      <c r="I248" s="516" t="n"/>
      <c r="J248" s="516" t="n"/>
    </row>
    <row r="249">
      <c r="A249" s="516" t="n"/>
      <c r="B249" s="516" t="n"/>
      <c r="C249" s="516" t="n"/>
      <c r="D249" s="516" t="n"/>
      <c r="E249" s="516" t="n"/>
      <c r="F249" s="516" t="n"/>
      <c r="G249" s="516" t="n"/>
      <c r="H249" s="516" t="n"/>
      <c r="I249" s="516" t="n"/>
      <c r="J249" s="516" t="n"/>
    </row>
    <row r="250">
      <c r="A250" s="516" t="n"/>
      <c r="B250" s="516" t="n"/>
      <c r="C250" s="516" t="n"/>
      <c r="D250" s="516" t="n"/>
      <c r="E250" s="516" t="n"/>
      <c r="F250" s="516" t="n"/>
      <c r="G250" s="516" t="n"/>
      <c r="H250" s="516" t="n"/>
      <c r="I250" s="516" t="n"/>
      <c r="J250" s="516" t="n"/>
    </row>
    <row r="251">
      <c r="A251" s="516" t="n"/>
      <c r="B251" s="516" t="n"/>
      <c r="C251" s="516" t="n"/>
      <c r="D251" s="516" t="n"/>
      <c r="E251" s="516" t="n"/>
      <c r="F251" s="516" t="n"/>
      <c r="G251" s="516" t="n"/>
      <c r="H251" s="516" t="n"/>
      <c r="I251" s="516" t="n"/>
      <c r="J251" s="516" t="n"/>
    </row>
    <row r="252">
      <c r="A252" s="516" t="n"/>
      <c r="B252" s="516" t="n"/>
      <c r="C252" s="516" t="n"/>
      <c r="D252" s="516" t="n"/>
      <c r="E252" s="516" t="n"/>
      <c r="F252" s="516" t="n"/>
      <c r="G252" s="516" t="n"/>
      <c r="H252" s="516" t="n"/>
      <c r="I252" s="516" t="n"/>
      <c r="J252" s="516" t="n"/>
    </row>
    <row r="253">
      <c r="A253" s="516" t="n"/>
      <c r="B253" s="516" t="n"/>
      <c r="C253" s="516" t="n"/>
      <c r="D253" s="516" t="n"/>
      <c r="E253" s="516" t="n"/>
      <c r="F253" s="516" t="n"/>
      <c r="G253" s="516" t="n"/>
      <c r="H253" s="516" t="n"/>
      <c r="I253" s="516" t="n"/>
      <c r="J253" s="516" t="n"/>
    </row>
    <row r="254">
      <c r="A254" s="516" t="n"/>
      <c r="B254" s="516" t="n"/>
      <c r="C254" s="516" t="n"/>
      <c r="D254" s="516" t="n"/>
      <c r="E254" s="516" t="n"/>
      <c r="F254" s="516" t="n"/>
      <c r="G254" s="516" t="n"/>
      <c r="H254" s="516" t="n"/>
      <c r="I254" s="516" t="n"/>
      <c r="J254" s="516" t="n"/>
    </row>
    <row r="255">
      <c r="A255" s="516" t="n"/>
      <c r="B255" s="516" t="n"/>
      <c r="C255" s="516" t="n"/>
      <c r="D255" s="516" t="n"/>
      <c r="E255" s="516" t="n"/>
      <c r="F255" s="516" t="n"/>
      <c r="G255" s="516" t="n"/>
      <c r="H255" s="516" t="n"/>
      <c r="I255" s="516" t="n"/>
      <c r="J255" s="516" t="n"/>
    </row>
    <row r="256">
      <c r="A256" s="516" t="n"/>
      <c r="B256" s="516" t="n"/>
      <c r="C256" s="516" t="n"/>
      <c r="D256" s="516" t="n"/>
      <c r="E256" s="516" t="n"/>
      <c r="F256" s="516" t="n"/>
      <c r="G256" s="516" t="n"/>
      <c r="H256" s="516" t="n"/>
      <c r="I256" s="516" t="n"/>
      <c r="J256" s="516" t="n"/>
    </row>
    <row r="257">
      <c r="A257" s="516" t="n"/>
      <c r="B257" s="516" t="n"/>
      <c r="C257" s="516" t="n"/>
      <c r="D257" s="516" t="n"/>
      <c r="E257" s="516" t="n"/>
      <c r="F257" s="516" t="n"/>
      <c r="G257" s="516" t="n"/>
      <c r="H257" s="516" t="n"/>
      <c r="I257" s="516" t="n"/>
      <c r="J257" s="516" t="n"/>
    </row>
    <row r="258">
      <c r="A258" s="516" t="n"/>
      <c r="B258" s="516" t="n"/>
      <c r="C258" s="516" t="n"/>
      <c r="D258" s="516" t="n"/>
      <c r="E258" s="516" t="n"/>
      <c r="F258" s="516" t="n"/>
      <c r="G258" s="516" t="n"/>
      <c r="H258" s="516" t="n"/>
      <c r="I258" s="516" t="n"/>
      <c r="J258" s="516" t="n"/>
    </row>
    <row r="259">
      <c r="A259" s="516" t="n"/>
      <c r="B259" s="516" t="n"/>
      <c r="C259" s="516" t="n"/>
      <c r="D259" s="516" t="n"/>
      <c r="E259" s="516" t="n"/>
      <c r="F259" s="516" t="n"/>
      <c r="G259" s="516" t="n"/>
      <c r="H259" s="516" t="n"/>
      <c r="I259" s="516" t="n"/>
      <c r="J259" s="516" t="n"/>
    </row>
    <row r="260">
      <c r="A260" s="516" t="n"/>
      <c r="B260" s="516" t="n"/>
      <c r="C260" s="516" t="n"/>
      <c r="D260" s="516" t="n"/>
      <c r="E260" s="516" t="n"/>
      <c r="F260" s="516" t="n"/>
      <c r="G260" s="516" t="n"/>
      <c r="H260" s="516" t="n"/>
      <c r="I260" s="516" t="n"/>
      <c r="J260" s="516" t="n"/>
    </row>
    <row r="261">
      <c r="A261" s="516" t="n"/>
      <c r="B261" s="516" t="n"/>
      <c r="C261" s="516" t="n"/>
      <c r="D261" s="516" t="n"/>
      <c r="E261" s="516" t="n"/>
      <c r="F261" s="516" t="n"/>
      <c r="G261" s="516" t="n"/>
      <c r="H261" s="516" t="n"/>
      <c r="I261" s="516" t="n"/>
      <c r="J261" s="516" t="n"/>
    </row>
    <row r="262">
      <c r="A262" s="516" t="n"/>
      <c r="B262" s="516" t="n"/>
      <c r="C262" s="516" t="n"/>
      <c r="D262" s="516" t="n"/>
      <c r="E262" s="516" t="n"/>
      <c r="F262" s="516" t="n"/>
      <c r="G262" s="516" t="n"/>
      <c r="H262" s="516" t="n"/>
      <c r="I262" s="516" t="n"/>
      <c r="J262" s="516" t="n"/>
    </row>
    <row r="263">
      <c r="A263" s="516" t="n"/>
      <c r="B263" s="516" t="n"/>
      <c r="C263" s="516" t="n"/>
      <c r="D263" s="516" t="n"/>
      <c r="E263" s="516" t="n"/>
      <c r="F263" s="516" t="n"/>
      <c r="G263" s="516" t="n"/>
      <c r="H263" s="516" t="n"/>
      <c r="I263" s="516" t="n"/>
      <c r="J263" s="516" t="n"/>
    </row>
    <row r="264">
      <c r="A264" s="516" t="n"/>
      <c r="B264" s="516" t="n"/>
      <c r="C264" s="516" t="n"/>
      <c r="D264" s="516" t="n"/>
      <c r="E264" s="516" t="n"/>
      <c r="F264" s="516" t="n"/>
      <c r="G264" s="516" t="n"/>
      <c r="H264" s="516" t="n"/>
      <c r="I264" s="516" t="n"/>
      <c r="J264" s="516" t="n"/>
    </row>
    <row r="265">
      <c r="A265" s="516" t="n"/>
      <c r="B265" s="516" t="n"/>
      <c r="C265" s="516" t="n"/>
      <c r="D265" s="516" t="n"/>
      <c r="E265" s="516" t="n"/>
      <c r="F265" s="516" t="n"/>
      <c r="G265" s="516" t="n"/>
      <c r="H265" s="516" t="n"/>
      <c r="I265" s="516" t="n"/>
      <c r="J265" s="516" t="n"/>
    </row>
    <row r="266">
      <c r="A266" s="516" t="n"/>
      <c r="B266" s="516" t="n"/>
      <c r="C266" s="516" t="n"/>
      <c r="D266" s="516" t="n"/>
      <c r="E266" s="516" t="n"/>
      <c r="F266" s="516" t="n"/>
      <c r="G266" s="516" t="n"/>
      <c r="H266" s="516" t="n"/>
      <c r="I266" s="516" t="n"/>
      <c r="J266" s="516" t="n"/>
    </row>
    <row r="267">
      <c r="A267" s="516" t="n"/>
      <c r="B267" s="516" t="n"/>
      <c r="C267" s="516" t="n"/>
      <c r="D267" s="516" t="n"/>
      <c r="E267" s="516" t="n"/>
      <c r="F267" s="516" t="n"/>
      <c r="G267" s="516" t="n"/>
      <c r="H267" s="516" t="n"/>
      <c r="I267" s="516" t="n"/>
      <c r="J267" s="516" t="n"/>
    </row>
    <row r="268">
      <c r="A268" s="516" t="n"/>
      <c r="B268" s="516" t="n"/>
      <c r="C268" s="516" t="n"/>
      <c r="D268" s="516" t="n"/>
      <c r="E268" s="516" t="n"/>
      <c r="F268" s="516" t="n"/>
      <c r="G268" s="516" t="n"/>
      <c r="H268" s="516" t="n"/>
      <c r="I268" s="516" t="n"/>
      <c r="J268" s="516" t="n"/>
    </row>
    <row r="269">
      <c r="A269" s="516" t="n"/>
      <c r="B269" s="516" t="n"/>
      <c r="C269" s="516" t="n"/>
      <c r="D269" s="516" t="n"/>
      <c r="E269" s="516" t="n"/>
      <c r="F269" s="516" t="n"/>
      <c r="G269" s="516" t="n"/>
      <c r="H269" s="516" t="n"/>
      <c r="I269" s="516" t="n"/>
      <c r="J269" s="516" t="n"/>
    </row>
    <row r="270">
      <c r="A270" s="516" t="n"/>
      <c r="B270" s="516" t="n"/>
      <c r="C270" s="516" t="n"/>
      <c r="D270" s="516" t="n"/>
      <c r="E270" s="516" t="n"/>
      <c r="F270" s="516" t="n"/>
      <c r="G270" s="516" t="n"/>
      <c r="H270" s="516" t="n"/>
      <c r="I270" s="516" t="n"/>
      <c r="J270" s="516" t="n"/>
    </row>
    <row r="271">
      <c r="A271" s="516" t="n"/>
      <c r="B271" s="516" t="n"/>
      <c r="C271" s="516" t="n"/>
      <c r="D271" s="516" t="n"/>
      <c r="E271" s="516" t="n"/>
      <c r="F271" s="516" t="n"/>
      <c r="G271" s="516" t="n"/>
      <c r="H271" s="516" t="n"/>
      <c r="I271" s="516" t="n"/>
      <c r="J271" s="516" t="n"/>
    </row>
    <row r="272">
      <c r="A272" s="516" t="n"/>
      <c r="B272" s="516" t="n"/>
      <c r="C272" s="516" t="n"/>
      <c r="D272" s="516" t="n"/>
      <c r="E272" s="516" t="n"/>
      <c r="F272" s="516" t="n"/>
      <c r="G272" s="516" t="n"/>
      <c r="H272" s="516" t="n"/>
      <c r="I272" s="516" t="n"/>
      <c r="J272" s="516" t="n"/>
    </row>
    <row r="273">
      <c r="A273" s="516" t="n"/>
      <c r="B273" s="516" t="n"/>
      <c r="C273" s="516" t="n"/>
      <c r="D273" s="516" t="n"/>
      <c r="E273" s="516" t="n"/>
      <c r="F273" s="516" t="n"/>
      <c r="G273" s="516" t="n"/>
      <c r="H273" s="516" t="n"/>
      <c r="I273" s="516" t="n"/>
      <c r="J273" s="516" t="n"/>
    </row>
    <row r="274">
      <c r="A274" s="516" t="n"/>
      <c r="B274" s="516" t="n"/>
      <c r="C274" s="516" t="n"/>
      <c r="D274" s="516" t="n"/>
      <c r="E274" s="516" t="n"/>
      <c r="F274" s="516" t="n"/>
      <c r="G274" s="516" t="n"/>
      <c r="H274" s="516" t="n"/>
      <c r="I274" s="516" t="n"/>
      <c r="J274" s="516" t="n"/>
    </row>
    <row r="275">
      <c r="A275" s="516" t="n"/>
      <c r="B275" s="516" t="n"/>
      <c r="C275" s="516" t="n"/>
      <c r="D275" s="516" t="n"/>
      <c r="E275" s="516" t="n"/>
      <c r="F275" s="516" t="n"/>
      <c r="G275" s="516" t="n"/>
      <c r="H275" s="516" t="n"/>
      <c r="I275" s="516" t="n"/>
      <c r="J275" s="516" t="n"/>
    </row>
    <row r="276">
      <c r="A276" s="516" t="n"/>
      <c r="B276" s="516" t="n"/>
      <c r="C276" s="516" t="n"/>
      <c r="D276" s="516" t="n"/>
      <c r="E276" s="516" t="n"/>
      <c r="F276" s="516" t="n"/>
      <c r="G276" s="516" t="n"/>
      <c r="H276" s="516" t="n"/>
      <c r="I276" s="516" t="n"/>
      <c r="J276" s="516" t="n"/>
    </row>
    <row r="277">
      <c r="A277" s="516" t="n"/>
      <c r="B277" s="516" t="n"/>
      <c r="C277" s="516" t="n"/>
      <c r="D277" s="516" t="n"/>
      <c r="E277" s="516" t="n"/>
      <c r="F277" s="516" t="n"/>
      <c r="G277" s="516" t="n"/>
      <c r="H277" s="516" t="n"/>
      <c r="I277" s="516" t="n"/>
      <c r="J277" s="516" t="n"/>
    </row>
    <row r="278">
      <c r="A278" s="516" t="n"/>
      <c r="B278" s="516" t="n"/>
      <c r="C278" s="516" t="n"/>
      <c r="D278" s="516" t="n"/>
      <c r="E278" s="516" t="n"/>
      <c r="F278" s="516" t="n"/>
      <c r="G278" s="516" t="n"/>
      <c r="H278" s="516" t="n"/>
      <c r="I278" s="516" t="n"/>
      <c r="J278" s="516" t="n"/>
    </row>
    <row r="279">
      <c r="A279" s="516" t="n"/>
      <c r="B279" s="516" t="n"/>
      <c r="C279" s="516" t="n"/>
      <c r="D279" s="516" t="n"/>
      <c r="E279" s="516" t="n"/>
      <c r="F279" s="516" t="n"/>
      <c r="G279" s="516" t="n"/>
      <c r="H279" s="516" t="n"/>
      <c r="I279" s="516" t="n"/>
      <c r="J279" s="516" t="n"/>
    </row>
    <row r="280">
      <c r="A280" s="516" t="n"/>
      <c r="B280" s="516" t="n"/>
      <c r="C280" s="516" t="n"/>
      <c r="D280" s="516" t="n"/>
      <c r="E280" s="516" t="n"/>
      <c r="F280" s="516" t="n"/>
      <c r="G280" s="516" t="n"/>
      <c r="H280" s="516" t="n"/>
      <c r="I280" s="516" t="n"/>
      <c r="J280" s="516" t="n"/>
    </row>
    <row r="281">
      <c r="A281" s="516" t="n"/>
      <c r="B281" s="516" t="n"/>
      <c r="C281" s="516" t="n"/>
      <c r="D281" s="516" t="n"/>
      <c r="E281" s="516" t="n"/>
      <c r="F281" s="516" t="n"/>
      <c r="G281" s="516" t="n"/>
      <c r="H281" s="516" t="n"/>
      <c r="I281" s="516" t="n"/>
      <c r="J281" s="516" t="n"/>
    </row>
    <row r="282">
      <c r="A282" s="516" t="n"/>
      <c r="B282" s="516" t="n"/>
      <c r="C282" s="516" t="n"/>
      <c r="D282" s="516" t="n"/>
      <c r="E282" s="516" t="n"/>
      <c r="F282" s="516" t="n"/>
      <c r="G282" s="516" t="n"/>
      <c r="H282" s="516" t="n"/>
      <c r="I282" s="516" t="n"/>
      <c r="J282" s="516" t="n"/>
    </row>
    <row r="283">
      <c r="A283" s="516" t="n"/>
      <c r="B283" s="516" t="n"/>
      <c r="C283" s="516" t="n"/>
      <c r="D283" s="516" t="n"/>
      <c r="E283" s="516" t="n"/>
      <c r="F283" s="516" t="n"/>
      <c r="G283" s="516" t="n"/>
      <c r="H283" s="516" t="n"/>
      <c r="I283" s="516" t="n"/>
      <c r="J283" s="516" t="n"/>
    </row>
    <row r="284">
      <c r="A284" s="516" t="n"/>
      <c r="B284" s="516" t="n"/>
      <c r="C284" s="516" t="n"/>
      <c r="D284" s="516" t="n"/>
      <c r="E284" s="516" t="n"/>
      <c r="F284" s="516" t="n"/>
      <c r="G284" s="516" t="n"/>
      <c r="H284" s="516" t="n"/>
      <c r="I284" s="516" t="n"/>
      <c r="J284" s="516" t="n"/>
    </row>
    <row r="285">
      <c r="A285" s="516" t="n"/>
      <c r="B285" s="516" t="n"/>
      <c r="C285" s="516" t="n"/>
      <c r="D285" s="516" t="n"/>
      <c r="E285" s="516" t="n"/>
      <c r="F285" s="516" t="n"/>
      <c r="G285" s="516" t="n"/>
      <c r="H285" s="516" t="n"/>
      <c r="I285" s="516" t="n"/>
      <c r="J285" s="516" t="n"/>
    </row>
    <row r="286">
      <c r="A286" s="516" t="n"/>
      <c r="B286" s="516" t="n"/>
      <c r="C286" s="516" t="n"/>
      <c r="D286" s="516" t="n"/>
      <c r="E286" s="516" t="n"/>
      <c r="F286" s="516" t="n"/>
      <c r="G286" s="516" t="n"/>
      <c r="H286" s="516" t="n"/>
      <c r="I286" s="516" t="n"/>
      <c r="J286" s="516" t="n"/>
    </row>
    <row r="287">
      <c r="A287" s="516" t="n"/>
      <c r="B287" s="516" t="n"/>
      <c r="C287" s="516" t="n"/>
      <c r="D287" s="516" t="n"/>
      <c r="E287" s="516" t="n"/>
      <c r="F287" s="516" t="n"/>
      <c r="G287" s="516" t="n"/>
      <c r="H287" s="516" t="n"/>
      <c r="I287" s="516" t="n"/>
      <c r="J287" s="516" t="n"/>
    </row>
    <row r="288">
      <c r="A288" s="516" t="n"/>
      <c r="B288" s="516" t="n"/>
      <c r="C288" s="516" t="n"/>
      <c r="D288" s="516" t="n"/>
      <c r="E288" s="516" t="n"/>
      <c r="F288" s="516" t="n"/>
      <c r="G288" s="516" t="n"/>
      <c r="H288" s="516" t="n"/>
      <c r="I288" s="516" t="n"/>
      <c r="J288" s="516" t="n"/>
    </row>
    <row r="289">
      <c r="A289" s="516" t="n"/>
      <c r="B289" s="516" t="n"/>
      <c r="C289" s="516" t="n"/>
      <c r="D289" s="516" t="n"/>
      <c r="E289" s="516" t="n"/>
      <c r="F289" s="516" t="n"/>
      <c r="G289" s="516" t="n"/>
      <c r="H289" s="516" t="n"/>
      <c r="I289" s="516" t="n"/>
      <c r="J289" s="516" t="n"/>
    </row>
    <row r="290">
      <c r="A290" s="516" t="n"/>
      <c r="B290" s="516" t="n"/>
      <c r="C290" s="516" t="n"/>
      <c r="D290" s="516" t="n"/>
      <c r="E290" s="516" t="n"/>
      <c r="F290" s="516" t="n"/>
      <c r="G290" s="516" t="n"/>
      <c r="H290" s="516" t="n"/>
      <c r="I290" s="516" t="n"/>
      <c r="J290" s="516" t="n"/>
    </row>
    <row r="291">
      <c r="A291" s="516" t="n"/>
      <c r="B291" s="516" t="n"/>
      <c r="C291" s="516" t="n"/>
      <c r="D291" s="516" t="n"/>
      <c r="E291" s="516" t="n"/>
      <c r="F291" s="516" t="n"/>
      <c r="G291" s="516" t="n"/>
      <c r="H291" s="516" t="n"/>
      <c r="I291" s="516" t="n"/>
      <c r="J291" s="516" t="n"/>
    </row>
    <row r="292">
      <c r="A292" s="516" t="n"/>
      <c r="B292" s="516" t="n"/>
      <c r="C292" s="516" t="n"/>
      <c r="D292" s="516" t="n"/>
      <c r="E292" s="516" t="n"/>
      <c r="F292" s="516" t="n"/>
      <c r="G292" s="516" t="n"/>
      <c r="H292" s="516" t="n"/>
      <c r="I292" s="516" t="n"/>
      <c r="J292" s="516" t="n"/>
    </row>
    <row r="293">
      <c r="A293" s="516" t="n"/>
      <c r="B293" s="516" t="n"/>
      <c r="C293" s="516" t="n"/>
      <c r="D293" s="516" t="n"/>
      <c r="E293" s="516" t="n"/>
      <c r="F293" s="516" t="n"/>
      <c r="G293" s="516" t="n"/>
      <c r="H293" s="516" t="n"/>
      <c r="I293" s="516" t="n"/>
      <c r="J293" s="516" t="n"/>
    </row>
    <row r="294">
      <c r="A294" s="516" t="n"/>
      <c r="B294" s="516" t="n"/>
      <c r="C294" s="516" t="n"/>
      <c r="D294" s="516" t="n"/>
      <c r="E294" s="516" t="n"/>
      <c r="F294" s="516" t="n"/>
      <c r="G294" s="516" t="n"/>
      <c r="H294" s="516" t="n"/>
      <c r="I294" s="516" t="n"/>
      <c r="J294" s="516" t="n"/>
    </row>
    <row r="295">
      <c r="A295" s="516" t="n"/>
      <c r="B295" s="516" t="n"/>
      <c r="C295" s="516" t="n"/>
      <c r="D295" s="516" t="n"/>
      <c r="E295" s="516" t="n"/>
      <c r="F295" s="516" t="n"/>
      <c r="G295" s="516" t="n"/>
      <c r="H295" s="516" t="n"/>
      <c r="I295" s="516" t="n"/>
      <c r="J295" s="516" t="n"/>
    </row>
    <row r="296">
      <c r="A296" s="516" t="n"/>
      <c r="B296" s="516" t="n"/>
      <c r="C296" s="516" t="n"/>
      <c r="D296" s="516" t="n"/>
      <c r="E296" s="516" t="n"/>
      <c r="F296" s="516" t="n"/>
      <c r="G296" s="516" t="n"/>
      <c r="H296" s="516" t="n"/>
      <c r="I296" s="516" t="n"/>
      <c r="J296" s="516" t="n"/>
    </row>
    <row r="297">
      <c r="A297" s="516" t="n"/>
      <c r="B297" s="516" t="n"/>
      <c r="C297" s="516" t="n"/>
      <c r="D297" s="516" t="n"/>
      <c r="E297" s="516" t="n"/>
      <c r="F297" s="516" t="n"/>
      <c r="G297" s="516" t="n"/>
      <c r="H297" s="516" t="n"/>
      <c r="I297" s="516" t="n"/>
      <c r="J297" s="516" t="n"/>
    </row>
    <row r="298">
      <c r="A298" s="516" t="n"/>
      <c r="B298" s="516" t="n"/>
      <c r="C298" s="516" t="n"/>
      <c r="D298" s="516" t="n"/>
      <c r="E298" s="516" t="n"/>
      <c r="F298" s="516" t="n"/>
      <c r="G298" s="516" t="n"/>
      <c r="H298" s="516" t="n"/>
      <c r="I298" s="516" t="n"/>
      <c r="J298" s="516" t="n"/>
    </row>
    <row r="299">
      <c r="A299" s="516" t="n"/>
      <c r="B299" s="516" t="n"/>
      <c r="C299" s="516" t="n"/>
      <c r="D299" s="516" t="n"/>
      <c r="E299" s="516" t="n"/>
      <c r="F299" s="516" t="n"/>
      <c r="G299" s="516" t="n"/>
      <c r="H299" s="516" t="n"/>
      <c r="I299" s="516" t="n"/>
      <c r="J299" s="516" t="n"/>
    </row>
    <row r="300">
      <c r="A300" s="516" t="n"/>
      <c r="B300" s="516" t="n"/>
      <c r="C300" s="516" t="n"/>
      <c r="D300" s="516" t="n"/>
      <c r="E300" s="516" t="n"/>
      <c r="F300" s="516" t="n"/>
      <c r="G300" s="516" t="n"/>
      <c r="H300" s="516" t="n"/>
      <c r="I300" s="516" t="n"/>
      <c r="J300" s="516" t="n"/>
    </row>
    <row r="301">
      <c r="A301" s="516" t="n"/>
      <c r="B301" s="516" t="n"/>
      <c r="C301" s="516" t="n"/>
      <c r="D301" s="516" t="n"/>
      <c r="E301" s="516" t="n"/>
      <c r="F301" s="516" t="n"/>
      <c r="G301" s="516" t="n"/>
      <c r="H301" s="516" t="n"/>
      <c r="I301" s="516" t="n"/>
      <c r="J301" s="516" t="n"/>
    </row>
    <row r="302">
      <c r="A302" s="516" t="n"/>
      <c r="B302" s="516" t="n"/>
      <c r="C302" s="516" t="n"/>
      <c r="D302" s="516" t="n"/>
      <c r="E302" s="516" t="n"/>
      <c r="F302" s="516" t="n"/>
      <c r="G302" s="516" t="n"/>
      <c r="H302" s="516" t="n"/>
      <c r="I302" s="516" t="n"/>
      <c r="J302" s="516" t="n"/>
    </row>
    <row r="303">
      <c r="A303" s="516" t="n"/>
      <c r="B303" s="516" t="n"/>
      <c r="C303" s="516" t="n"/>
      <c r="D303" s="516" t="n"/>
      <c r="E303" s="516" t="n"/>
      <c r="F303" s="516" t="n"/>
      <c r="G303" s="516" t="n"/>
      <c r="H303" s="516" t="n"/>
      <c r="I303" s="516" t="n"/>
      <c r="J303" s="516" t="n"/>
    </row>
    <row r="304">
      <c r="A304" s="516" t="n"/>
      <c r="B304" s="516" t="n"/>
      <c r="C304" s="516" t="n"/>
      <c r="D304" s="516" t="n"/>
      <c r="E304" s="516" t="n"/>
      <c r="F304" s="516" t="n"/>
      <c r="G304" s="516" t="n"/>
      <c r="H304" s="516" t="n"/>
      <c r="I304" s="516" t="n"/>
      <c r="J304" s="516" t="n"/>
    </row>
    <row r="305">
      <c r="A305" s="516" t="n"/>
      <c r="B305" s="516" t="n"/>
      <c r="C305" s="516" t="n"/>
      <c r="D305" s="516" t="n"/>
      <c r="E305" s="516" t="n"/>
      <c r="F305" s="516" t="n"/>
      <c r="G305" s="516" t="n"/>
      <c r="H305" s="516" t="n"/>
      <c r="I305" s="516" t="n"/>
      <c r="J305" s="516" t="n"/>
    </row>
    <row r="306">
      <c r="A306" s="516" t="n"/>
      <c r="B306" s="516" t="n"/>
      <c r="C306" s="516" t="n"/>
      <c r="D306" s="516" t="n"/>
      <c r="E306" s="516" t="n"/>
      <c r="F306" s="516" t="n"/>
      <c r="G306" s="516" t="n"/>
      <c r="H306" s="516" t="n"/>
      <c r="I306" s="516" t="n"/>
      <c r="J306" s="516" t="n"/>
    </row>
    <row r="307">
      <c r="A307" s="516" t="n"/>
      <c r="B307" s="516" t="n"/>
      <c r="C307" s="516" t="n"/>
      <c r="D307" s="516" t="n"/>
      <c r="E307" s="516" t="n"/>
      <c r="F307" s="516" t="n"/>
      <c r="G307" s="516" t="n"/>
      <c r="H307" s="516" t="n"/>
      <c r="I307" s="516" t="n"/>
      <c r="J307" s="516" t="n"/>
    </row>
    <row r="308">
      <c r="A308" s="516" t="n"/>
      <c r="B308" s="516" t="n"/>
      <c r="C308" s="516" t="n"/>
      <c r="D308" s="516" t="n"/>
      <c r="E308" s="516" t="n"/>
      <c r="F308" s="516" t="n"/>
      <c r="G308" s="516" t="n"/>
      <c r="H308" s="516" t="n"/>
      <c r="I308" s="516" t="n"/>
      <c r="J308" s="516" t="n"/>
    </row>
    <row r="309">
      <c r="A309" s="516" t="n"/>
      <c r="B309" s="516" t="n"/>
      <c r="C309" s="516" t="n"/>
      <c r="D309" s="516" t="n"/>
      <c r="E309" s="516" t="n"/>
      <c r="F309" s="516" t="n"/>
      <c r="G309" s="516" t="n"/>
      <c r="H309" s="516" t="n"/>
      <c r="I309" s="516" t="n"/>
      <c r="J309" s="516" t="n"/>
    </row>
    <row r="310">
      <c r="A310" s="516" t="n"/>
      <c r="B310" s="516" t="n"/>
      <c r="C310" s="516" t="n"/>
      <c r="D310" s="516" t="n"/>
      <c r="E310" s="516" t="n"/>
      <c r="F310" s="516" t="n"/>
      <c r="G310" s="516" t="n"/>
      <c r="H310" s="516" t="n"/>
      <c r="I310" s="516" t="n"/>
      <c r="J310" s="516" t="n"/>
    </row>
    <row r="311">
      <c r="A311" s="516" t="n"/>
      <c r="B311" s="516" t="n"/>
      <c r="C311" s="516" t="n"/>
      <c r="D311" s="516" t="n"/>
      <c r="E311" s="516" t="n"/>
      <c r="F311" s="516" t="n"/>
      <c r="G311" s="516" t="n"/>
      <c r="H311" s="516" t="n"/>
      <c r="I311" s="516" t="n"/>
      <c r="J311" s="516" t="n"/>
    </row>
    <row r="312">
      <c r="A312" s="516" t="n"/>
      <c r="B312" s="516" t="n"/>
      <c r="C312" s="516" t="n"/>
      <c r="D312" s="516" t="n"/>
      <c r="E312" s="516" t="n"/>
      <c r="F312" s="516" t="n"/>
      <c r="G312" s="516" t="n"/>
      <c r="H312" s="516" t="n"/>
      <c r="I312" s="516" t="n"/>
      <c r="J312" s="516" t="n"/>
    </row>
    <row r="313">
      <c r="A313" s="516" t="n"/>
      <c r="B313" s="516" t="n"/>
      <c r="C313" s="516" t="n"/>
      <c r="D313" s="516" t="n"/>
      <c r="E313" s="516" t="n"/>
      <c r="F313" s="516" t="n"/>
      <c r="G313" s="516" t="n"/>
      <c r="H313" s="516" t="n"/>
      <c r="I313" s="516" t="n"/>
      <c r="J313" s="516" t="n"/>
    </row>
    <row r="314">
      <c r="A314" s="516" t="n"/>
      <c r="B314" s="516" t="n"/>
      <c r="C314" s="516" t="n"/>
      <c r="D314" s="516" t="n"/>
      <c r="E314" s="516" t="n"/>
      <c r="F314" s="516" t="n"/>
      <c r="G314" s="516" t="n"/>
      <c r="H314" s="516" t="n"/>
      <c r="I314" s="516" t="n"/>
      <c r="J314" s="516" t="n"/>
    </row>
    <row r="315">
      <c r="A315" s="516" t="n"/>
      <c r="B315" s="516" t="n"/>
      <c r="C315" s="516" t="n"/>
      <c r="D315" s="516" t="n"/>
      <c r="E315" s="516" t="n"/>
      <c r="F315" s="516" t="n"/>
      <c r="G315" s="516" t="n"/>
      <c r="H315" s="516" t="n"/>
      <c r="I315" s="516" t="n"/>
      <c r="J315" s="516" t="n"/>
    </row>
    <row r="316">
      <c r="A316" s="516" t="n"/>
      <c r="B316" s="516" t="n"/>
      <c r="C316" s="516" t="n"/>
      <c r="D316" s="516" t="n"/>
      <c r="E316" s="516" t="n"/>
      <c r="F316" s="516" t="n"/>
      <c r="G316" s="516" t="n"/>
      <c r="H316" s="516" t="n"/>
      <c r="I316" s="516" t="n"/>
      <c r="J316" s="516" t="n"/>
    </row>
    <row r="317">
      <c r="A317" s="516" t="n"/>
      <c r="B317" s="516" t="n"/>
      <c r="C317" s="516" t="n"/>
      <c r="D317" s="516" t="n"/>
      <c r="E317" s="516" t="n"/>
      <c r="F317" s="516" t="n"/>
      <c r="G317" s="516" t="n"/>
      <c r="H317" s="516" t="n"/>
      <c r="I317" s="516" t="n"/>
      <c r="J317" s="516" t="n"/>
    </row>
    <row r="318">
      <c r="A318" s="516" t="n"/>
      <c r="B318" s="516" t="n"/>
      <c r="C318" s="516" t="n"/>
      <c r="D318" s="516" t="n"/>
      <c r="E318" s="516" t="n"/>
      <c r="F318" s="516" t="n"/>
      <c r="G318" s="516" t="n"/>
      <c r="H318" s="516" t="n"/>
      <c r="I318" s="516" t="n"/>
      <c r="J318" s="516" t="n"/>
    </row>
    <row r="319">
      <c r="A319" s="516" t="n"/>
      <c r="B319" s="516" t="n"/>
      <c r="C319" s="516" t="n"/>
      <c r="D319" s="516" t="n"/>
      <c r="E319" s="516" t="n"/>
      <c r="F319" s="516" t="n"/>
      <c r="G319" s="516" t="n"/>
      <c r="H319" s="516" t="n"/>
      <c r="I319" s="516" t="n"/>
      <c r="J319" s="516" t="n"/>
    </row>
    <row r="320">
      <c r="A320" s="516" t="n"/>
      <c r="B320" s="516" t="n"/>
      <c r="C320" s="516" t="n"/>
      <c r="D320" s="516" t="n"/>
      <c r="E320" s="516" t="n"/>
      <c r="F320" s="516" t="n"/>
      <c r="G320" s="516" t="n"/>
      <c r="H320" s="516" t="n"/>
      <c r="I320" s="516" t="n"/>
      <c r="J320" s="516" t="n"/>
    </row>
    <row r="321">
      <c r="A321" s="516" t="n"/>
      <c r="B321" s="516" t="n"/>
      <c r="C321" s="516" t="n"/>
      <c r="D321" s="516" t="n"/>
      <c r="E321" s="516" t="n"/>
      <c r="F321" s="516" t="n"/>
      <c r="G321" s="516" t="n"/>
      <c r="H321" s="516" t="n"/>
      <c r="I321" s="516" t="n"/>
      <c r="J321" s="516" t="n"/>
    </row>
    <row r="322">
      <c r="A322" s="516" t="n"/>
      <c r="B322" s="516" t="n"/>
      <c r="C322" s="516" t="n"/>
      <c r="D322" s="516" t="n"/>
      <c r="E322" s="516" t="n"/>
      <c r="F322" s="516" t="n"/>
      <c r="G322" s="516" t="n"/>
      <c r="H322" s="516" t="n"/>
      <c r="I322" s="516" t="n"/>
      <c r="J322" s="516" t="n"/>
    </row>
    <row r="323">
      <c r="A323" s="516" t="n"/>
      <c r="B323" s="516" t="n"/>
      <c r="C323" s="516" t="n"/>
      <c r="D323" s="516" t="n"/>
      <c r="E323" s="516" t="n"/>
      <c r="F323" s="516" t="n"/>
      <c r="G323" s="516" t="n"/>
      <c r="H323" s="516" t="n"/>
      <c r="I323" s="516" t="n"/>
      <c r="J323" s="516" t="n"/>
    </row>
    <row r="324">
      <c r="A324" s="516" t="n"/>
      <c r="B324" s="516" t="n"/>
      <c r="C324" s="516" t="n"/>
      <c r="D324" s="516" t="n"/>
      <c r="E324" s="516" t="n"/>
      <c r="F324" s="516" t="n"/>
      <c r="G324" s="516" t="n"/>
      <c r="H324" s="516" t="n"/>
      <c r="I324" s="516" t="n"/>
      <c r="J324" s="516" t="n"/>
    </row>
    <row r="325">
      <c r="A325" s="516" t="n"/>
      <c r="B325" s="516" t="n"/>
      <c r="C325" s="516" t="n"/>
      <c r="D325" s="516" t="n"/>
      <c r="E325" s="516" t="n"/>
      <c r="F325" s="516" t="n"/>
      <c r="G325" s="516" t="n"/>
      <c r="H325" s="516" t="n"/>
      <c r="I325" s="516" t="n"/>
      <c r="J325" s="516" t="n"/>
    </row>
    <row r="326">
      <c r="A326" s="516" t="n"/>
      <c r="B326" s="516" t="n"/>
      <c r="C326" s="516" t="n"/>
      <c r="D326" s="516" t="n"/>
      <c r="E326" s="516" t="n"/>
      <c r="F326" s="516" t="n"/>
      <c r="G326" s="516" t="n"/>
      <c r="H326" s="516" t="n"/>
      <c r="I326" s="516" t="n"/>
      <c r="J326" s="516" t="n"/>
    </row>
    <row r="327">
      <c r="A327" s="516" t="n"/>
      <c r="B327" s="516" t="n"/>
      <c r="C327" s="516" t="n"/>
      <c r="D327" s="516" t="n"/>
      <c r="E327" s="516" t="n"/>
      <c r="F327" s="516" t="n"/>
      <c r="G327" s="516" t="n"/>
      <c r="H327" s="516" t="n"/>
      <c r="I327" s="516" t="n"/>
      <c r="J327" s="516" t="n"/>
    </row>
    <row r="328">
      <c r="A328" s="516" t="n"/>
      <c r="B328" s="516" t="n"/>
      <c r="C328" s="516" t="n"/>
      <c r="D328" s="516" t="n"/>
      <c r="E328" s="516" t="n"/>
      <c r="F328" s="516" t="n"/>
      <c r="G328" s="516" t="n"/>
      <c r="H328" s="516" t="n"/>
      <c r="I328" s="516" t="n"/>
      <c r="J328" s="516" t="n"/>
    </row>
    <row r="329">
      <c r="A329" s="516" t="n"/>
      <c r="B329" s="516" t="n"/>
      <c r="C329" s="516" t="n"/>
      <c r="D329" s="516" t="n"/>
      <c r="E329" s="516" t="n"/>
      <c r="F329" s="516" t="n"/>
      <c r="G329" s="516" t="n"/>
      <c r="H329" s="516" t="n"/>
      <c r="I329" s="516" t="n"/>
      <c r="J329" s="516" t="n"/>
    </row>
    <row r="330">
      <c r="A330" s="516" t="n"/>
      <c r="B330" s="516" t="n"/>
      <c r="C330" s="516" t="n"/>
      <c r="D330" s="516" t="n"/>
      <c r="E330" s="516" t="n"/>
      <c r="F330" s="516" t="n"/>
      <c r="G330" s="516" t="n"/>
      <c r="H330" s="516" t="n"/>
      <c r="I330" s="516" t="n"/>
      <c r="J330" s="516" t="n"/>
    </row>
    <row r="331">
      <c r="A331" s="516" t="n"/>
      <c r="B331" s="516" t="n"/>
      <c r="C331" s="516" t="n"/>
      <c r="D331" s="516" t="n"/>
      <c r="E331" s="516" t="n"/>
      <c r="F331" s="516" t="n"/>
      <c r="G331" s="516" t="n"/>
      <c r="H331" s="516" t="n"/>
      <c r="I331" s="516" t="n"/>
      <c r="J331" s="516" t="n"/>
    </row>
    <row r="332">
      <c r="A332" s="516" t="n"/>
      <c r="B332" s="516" t="n"/>
      <c r="C332" s="516" t="n"/>
      <c r="D332" s="516" t="n"/>
      <c r="E332" s="516" t="n"/>
      <c r="F332" s="516" t="n"/>
      <c r="G332" s="516" t="n"/>
      <c r="H332" s="516" t="n"/>
      <c r="I332" s="516" t="n"/>
      <c r="J332" s="516" t="n"/>
    </row>
    <row r="333">
      <c r="A333" s="516" t="n"/>
      <c r="B333" s="516" t="n"/>
      <c r="C333" s="516" t="n"/>
      <c r="D333" s="516" t="n"/>
      <c r="E333" s="516" t="n"/>
      <c r="F333" s="516" t="n"/>
      <c r="G333" s="516" t="n"/>
      <c r="H333" s="516" t="n"/>
      <c r="I333" s="516" t="n"/>
      <c r="J333" s="516" t="n"/>
    </row>
    <row r="334">
      <c r="A334" s="516" t="n"/>
      <c r="B334" s="516" t="n"/>
      <c r="C334" s="516" t="n"/>
      <c r="D334" s="516" t="n"/>
      <c r="E334" s="516" t="n"/>
      <c r="F334" s="516" t="n"/>
      <c r="G334" s="516" t="n"/>
      <c r="H334" s="516" t="n"/>
      <c r="I334" s="516" t="n"/>
      <c r="J334" s="516" t="n"/>
    </row>
    <row r="335">
      <c r="A335" s="516" t="n"/>
      <c r="B335" s="516" t="n"/>
      <c r="C335" s="516" t="n"/>
      <c r="D335" s="516" t="n"/>
      <c r="E335" s="516" t="n"/>
      <c r="F335" s="516" t="n"/>
      <c r="G335" s="516" t="n"/>
      <c r="H335" s="516" t="n"/>
      <c r="I335" s="516" t="n"/>
      <c r="J335" s="516" t="n"/>
    </row>
    <row r="336">
      <c r="A336" s="516" t="n"/>
      <c r="B336" s="516" t="n"/>
      <c r="C336" s="516" t="n"/>
      <c r="D336" s="516" t="n"/>
      <c r="E336" s="516" t="n"/>
      <c r="F336" s="516" t="n"/>
      <c r="G336" s="516" t="n"/>
      <c r="H336" s="516" t="n"/>
      <c r="I336" s="516" t="n"/>
      <c r="J336" s="516" t="n"/>
    </row>
    <row r="337">
      <c r="A337" s="516" t="n"/>
      <c r="B337" s="516" t="n"/>
      <c r="C337" s="516" t="n"/>
      <c r="D337" s="516" t="n"/>
      <c r="E337" s="516" t="n"/>
      <c r="F337" s="516" t="n"/>
      <c r="G337" s="516" t="n"/>
      <c r="H337" s="516" t="n"/>
      <c r="I337" s="516" t="n"/>
      <c r="J337" s="516" t="n"/>
    </row>
    <row r="338">
      <c r="A338" s="516" t="n"/>
      <c r="B338" s="516" t="n"/>
      <c r="C338" s="516" t="n"/>
      <c r="D338" s="516" t="n"/>
      <c r="E338" s="516" t="n"/>
      <c r="F338" s="516" t="n"/>
      <c r="G338" s="516" t="n"/>
      <c r="H338" s="516" t="n"/>
      <c r="I338" s="516" t="n"/>
      <c r="J338" s="516" t="n"/>
    </row>
    <row r="339">
      <c r="A339" s="516" t="n"/>
      <c r="B339" s="516" t="n"/>
      <c r="C339" s="516" t="n"/>
      <c r="D339" s="516" t="n"/>
      <c r="E339" s="516" t="n"/>
      <c r="F339" s="516" t="n"/>
      <c r="G339" s="516" t="n"/>
      <c r="H339" s="516" t="n"/>
      <c r="I339" s="516" t="n"/>
      <c r="J339" s="516" t="n"/>
    </row>
    <row r="340">
      <c r="A340" s="516" t="n"/>
      <c r="B340" s="516" t="n"/>
      <c r="C340" s="516" t="n"/>
      <c r="D340" s="516" t="n"/>
      <c r="E340" s="516" t="n"/>
      <c r="F340" s="516" t="n"/>
      <c r="G340" s="516" t="n"/>
      <c r="H340" s="516" t="n"/>
      <c r="I340" s="516" t="n"/>
      <c r="J340" s="516" t="n"/>
    </row>
    <row r="341">
      <c r="A341" s="516" t="n"/>
      <c r="B341" s="516" t="n"/>
      <c r="C341" s="516" t="n"/>
      <c r="D341" s="516" t="n"/>
      <c r="E341" s="516" t="n"/>
      <c r="F341" s="516" t="n"/>
      <c r="G341" s="516" t="n"/>
      <c r="H341" s="516" t="n"/>
      <c r="I341" s="516" t="n"/>
      <c r="J341" s="516" t="n"/>
    </row>
    <row r="342">
      <c r="A342" s="516" t="n"/>
      <c r="B342" s="516" t="n"/>
      <c r="C342" s="516" t="n"/>
      <c r="D342" s="516" t="n"/>
      <c r="E342" s="516" t="n"/>
      <c r="F342" s="516" t="n"/>
      <c r="G342" s="516" t="n"/>
      <c r="H342" s="516" t="n"/>
      <c r="I342" s="516" t="n"/>
      <c r="J342" s="516" t="n"/>
    </row>
    <row r="343">
      <c r="A343" s="516" t="n"/>
      <c r="B343" s="516" t="n"/>
      <c r="C343" s="516" t="n"/>
      <c r="D343" s="516" t="n"/>
      <c r="E343" s="516" t="n"/>
      <c r="F343" s="516" t="n"/>
      <c r="G343" s="516" t="n"/>
      <c r="H343" s="516" t="n"/>
      <c r="I343" s="516" t="n"/>
      <c r="J343" s="516" t="n"/>
    </row>
    <row r="344">
      <c r="A344" s="516" t="n"/>
      <c r="B344" s="516" t="n"/>
      <c r="C344" s="516" t="n"/>
      <c r="D344" s="516" t="n"/>
      <c r="E344" s="516" t="n"/>
      <c r="F344" s="516" t="n"/>
      <c r="G344" s="516" t="n"/>
      <c r="H344" s="516" t="n"/>
      <c r="I344" s="516" t="n"/>
      <c r="J344" s="516" t="n"/>
    </row>
    <row r="345">
      <c r="A345" s="516" t="n"/>
      <c r="B345" s="516" t="n"/>
      <c r="C345" s="516" t="n"/>
      <c r="D345" s="516" t="n"/>
      <c r="E345" s="516" t="n"/>
      <c r="F345" s="516" t="n"/>
      <c r="G345" s="516" t="n"/>
      <c r="H345" s="516" t="n"/>
      <c r="I345" s="516" t="n"/>
      <c r="J345" s="516" t="n"/>
    </row>
    <row r="346">
      <c r="A346" s="516" t="n"/>
      <c r="B346" s="516" t="n"/>
      <c r="C346" s="516" t="n"/>
      <c r="D346" s="516" t="n"/>
      <c r="E346" s="516" t="n"/>
      <c r="F346" s="516" t="n"/>
      <c r="G346" s="516" t="n"/>
      <c r="H346" s="516" t="n"/>
      <c r="I346" s="516" t="n"/>
      <c r="J346" s="516" t="n"/>
    </row>
    <row r="347">
      <c r="A347" s="516" t="n"/>
      <c r="B347" s="516" t="n"/>
      <c r="C347" s="516" t="n"/>
      <c r="D347" s="516" t="n"/>
      <c r="E347" s="516" t="n"/>
      <c r="F347" s="516" t="n"/>
      <c r="G347" s="516" t="n"/>
      <c r="H347" s="516" t="n"/>
      <c r="I347" s="516" t="n"/>
      <c r="J347" s="516" t="n"/>
    </row>
    <row r="348">
      <c r="A348" s="516" t="n"/>
      <c r="B348" s="516" t="n"/>
      <c r="C348" s="516" t="n"/>
      <c r="D348" s="516" t="n"/>
      <c r="E348" s="516" t="n"/>
      <c r="F348" s="516" t="n"/>
      <c r="G348" s="516" t="n"/>
      <c r="H348" s="516" t="n"/>
      <c r="I348" s="516" t="n"/>
      <c r="J348" s="516" t="n"/>
    </row>
    <row r="349">
      <c r="A349" s="516" t="n"/>
      <c r="B349" s="516" t="n"/>
      <c r="C349" s="516" t="n"/>
      <c r="D349" s="516" t="n"/>
      <c r="E349" s="516" t="n"/>
      <c r="F349" s="516" t="n"/>
      <c r="G349" s="516" t="n"/>
      <c r="H349" s="516" t="n"/>
      <c r="I349" s="516" t="n"/>
      <c r="J349" s="516" t="n"/>
    </row>
    <row r="350">
      <c r="A350" s="516" t="n"/>
      <c r="B350" s="516" t="n"/>
      <c r="C350" s="516" t="n"/>
      <c r="D350" s="516" t="n"/>
      <c r="E350" s="516" t="n"/>
      <c r="F350" s="516" t="n"/>
      <c r="G350" s="516" t="n"/>
      <c r="H350" s="516" t="n"/>
      <c r="I350" s="516" t="n"/>
      <c r="J350" s="516" t="n"/>
    </row>
    <row r="351">
      <c r="A351" s="516" t="n"/>
      <c r="B351" s="516" t="n"/>
      <c r="C351" s="516" t="n"/>
      <c r="D351" s="516" t="n"/>
      <c r="E351" s="516" t="n"/>
      <c r="F351" s="516" t="n"/>
      <c r="G351" s="516" t="n"/>
      <c r="H351" s="516" t="n"/>
      <c r="I351" s="516" t="n"/>
      <c r="J351" s="516" t="n"/>
    </row>
    <row r="352">
      <c r="A352" s="516" t="n"/>
      <c r="B352" s="516" t="n"/>
      <c r="C352" s="516" t="n"/>
      <c r="D352" s="516" t="n"/>
      <c r="E352" s="516" t="n"/>
      <c r="F352" s="516" t="n"/>
      <c r="G352" s="516" t="n"/>
      <c r="H352" s="516" t="n"/>
      <c r="I352" s="516" t="n"/>
      <c r="J352" s="516" t="n"/>
    </row>
    <row r="353">
      <c r="A353" s="516" t="n"/>
      <c r="B353" s="516" t="n"/>
      <c r="C353" s="516" t="n"/>
      <c r="D353" s="516" t="n"/>
      <c r="E353" s="516" t="n"/>
      <c r="F353" s="516" t="n"/>
      <c r="G353" s="516" t="n"/>
      <c r="H353" s="516" t="n"/>
      <c r="I353" s="516" t="n"/>
      <c r="J353" s="516" t="n"/>
    </row>
    <row r="354">
      <c r="A354" s="516" t="n"/>
      <c r="B354" s="516" t="n"/>
      <c r="C354" s="516" t="n"/>
      <c r="D354" s="516" t="n"/>
      <c r="E354" s="516" t="n"/>
      <c r="F354" s="516" t="n"/>
      <c r="G354" s="516" t="n"/>
      <c r="H354" s="516" t="n"/>
      <c r="I354" s="516" t="n"/>
      <c r="J354" s="516" t="n"/>
    </row>
    <row r="355">
      <c r="A355" s="516" t="n"/>
      <c r="B355" s="516" t="n"/>
      <c r="C355" s="516" t="n"/>
      <c r="D355" s="516" t="n"/>
      <c r="E355" s="516" t="n"/>
      <c r="F355" s="516" t="n"/>
      <c r="G355" s="516" t="n"/>
      <c r="H355" s="516" t="n"/>
      <c r="I355" s="516" t="n"/>
      <c r="J355" s="516" t="n"/>
    </row>
    <row r="356">
      <c r="A356" s="516" t="n"/>
      <c r="B356" s="516" t="n"/>
      <c r="C356" s="516" t="n"/>
      <c r="D356" s="516" t="n"/>
      <c r="E356" s="516" t="n"/>
      <c r="F356" s="516" t="n"/>
      <c r="G356" s="516" t="n"/>
      <c r="H356" s="516" t="n"/>
      <c r="I356" s="516" t="n"/>
      <c r="J356" s="516" t="n"/>
    </row>
    <row r="357">
      <c r="A357" s="516" t="n"/>
      <c r="B357" s="516" t="n"/>
      <c r="C357" s="516" t="n"/>
      <c r="D357" s="516" t="n"/>
      <c r="E357" s="516" t="n"/>
      <c r="F357" s="516" t="n"/>
      <c r="G357" s="516" t="n"/>
      <c r="H357" s="516" t="n"/>
      <c r="I357" s="516" t="n"/>
      <c r="J357" s="516" t="n"/>
    </row>
    <row r="358">
      <c r="A358" s="516" t="n"/>
      <c r="B358" s="516" t="n"/>
      <c r="C358" s="516" t="n"/>
      <c r="D358" s="516" t="n"/>
      <c r="E358" s="516" t="n"/>
      <c r="F358" s="516" t="n"/>
      <c r="G358" s="516" t="n"/>
      <c r="H358" s="516" t="n"/>
      <c r="I358" s="516" t="n"/>
      <c r="J358" s="516" t="n"/>
    </row>
    <row r="359">
      <c r="A359" s="516" t="n"/>
      <c r="B359" s="516" t="n"/>
      <c r="C359" s="516" t="n"/>
      <c r="D359" s="516" t="n"/>
      <c r="E359" s="516" t="n"/>
      <c r="F359" s="516" t="n"/>
      <c r="G359" s="516" t="n"/>
      <c r="H359" s="516" t="n"/>
      <c r="I359" s="516" t="n"/>
      <c r="J359" s="516" t="n"/>
    </row>
    <row r="360">
      <c r="A360" s="516" t="n"/>
      <c r="B360" s="516" t="n"/>
      <c r="C360" s="516" t="n"/>
      <c r="D360" s="516" t="n"/>
      <c r="E360" s="516" t="n"/>
      <c r="F360" s="516" t="n"/>
      <c r="G360" s="516" t="n"/>
      <c r="H360" s="516" t="n"/>
      <c r="I360" s="516" t="n"/>
      <c r="J360" s="516" t="n"/>
    </row>
    <row r="361">
      <c r="A361" s="516" t="n"/>
      <c r="B361" s="516" t="n"/>
      <c r="C361" s="516" t="n"/>
      <c r="D361" s="516" t="n"/>
      <c r="E361" s="516" t="n"/>
      <c r="F361" s="516" t="n"/>
      <c r="G361" s="516" t="n"/>
      <c r="H361" s="516" t="n"/>
      <c r="I361" s="516" t="n"/>
      <c r="J361" s="516" t="n"/>
    </row>
    <row r="362">
      <c r="A362" s="516" t="n"/>
      <c r="B362" s="516" t="n"/>
      <c r="C362" s="516" t="n"/>
      <c r="D362" s="516" t="n"/>
      <c r="E362" s="516" t="n"/>
      <c r="F362" s="516" t="n"/>
      <c r="G362" s="516" t="n"/>
      <c r="H362" s="516" t="n"/>
      <c r="I362" s="516" t="n"/>
      <c r="J362" s="516" t="n"/>
    </row>
    <row r="363">
      <c r="A363" s="516" t="n"/>
      <c r="B363" s="516" t="n"/>
      <c r="C363" s="516" t="n"/>
      <c r="D363" s="516" t="n"/>
      <c r="E363" s="516" t="n"/>
      <c r="F363" s="516" t="n"/>
      <c r="G363" s="516" t="n"/>
      <c r="H363" s="516" t="n"/>
      <c r="I363" s="516" t="n"/>
      <c r="J363" s="516" t="n"/>
    </row>
    <row r="364">
      <c r="A364" s="516" t="n"/>
      <c r="B364" s="516" t="n"/>
      <c r="C364" s="516" t="n"/>
      <c r="D364" s="516" t="n"/>
      <c r="E364" s="516" t="n"/>
      <c r="F364" s="516" t="n"/>
      <c r="G364" s="516" t="n"/>
      <c r="H364" s="516" t="n"/>
      <c r="I364" s="516" t="n"/>
      <c r="J364" s="516" t="n"/>
    </row>
    <row r="365">
      <c r="A365" s="516" t="n"/>
      <c r="B365" s="516" t="n"/>
      <c r="C365" s="516" t="n"/>
      <c r="D365" s="516" t="n"/>
      <c r="E365" s="516" t="n"/>
      <c r="F365" s="516" t="n"/>
      <c r="G365" s="516" t="n"/>
      <c r="H365" s="516" t="n"/>
      <c r="I365" s="516" t="n"/>
      <c r="J365" s="516" t="n"/>
    </row>
    <row r="366">
      <c r="A366" s="516" t="n"/>
      <c r="B366" s="516" t="n"/>
      <c r="C366" s="516" t="n"/>
      <c r="D366" s="516" t="n"/>
      <c r="E366" s="516" t="n"/>
      <c r="F366" s="516" t="n"/>
      <c r="G366" s="516" t="n"/>
      <c r="H366" s="516" t="n"/>
      <c r="I366" s="516" t="n"/>
      <c r="J366" s="516" t="n"/>
    </row>
    <row r="367">
      <c r="A367" s="516" t="n"/>
      <c r="B367" s="516" t="n"/>
      <c r="C367" s="516" t="n"/>
      <c r="D367" s="516" t="n"/>
      <c r="E367" s="516" t="n"/>
      <c r="F367" s="516" t="n"/>
      <c r="G367" s="516" t="n"/>
      <c r="H367" s="516" t="n"/>
      <c r="I367" s="516" t="n"/>
      <c r="J367" s="516" t="n"/>
    </row>
    <row r="368">
      <c r="A368" s="516" t="n"/>
      <c r="B368" s="516" t="n"/>
      <c r="C368" s="516" t="n"/>
      <c r="D368" s="516" t="n"/>
      <c r="E368" s="516" t="n"/>
      <c r="F368" s="516" t="n"/>
      <c r="G368" s="516" t="n"/>
      <c r="H368" s="516" t="n"/>
      <c r="I368" s="516" t="n"/>
      <c r="J368" s="516" t="n"/>
    </row>
    <row r="369">
      <c r="A369" s="516" t="n"/>
      <c r="B369" s="516" t="n"/>
      <c r="C369" s="516" t="n"/>
      <c r="D369" s="516" t="n"/>
      <c r="E369" s="516" t="n"/>
      <c r="F369" s="516" t="n"/>
      <c r="G369" s="516" t="n"/>
      <c r="H369" s="516" t="n"/>
      <c r="I369" s="516" t="n"/>
      <c r="J369" s="516" t="n"/>
    </row>
    <row r="370">
      <c r="A370" s="516" t="n"/>
      <c r="B370" s="516" t="n"/>
      <c r="C370" s="516" t="n"/>
      <c r="D370" s="516" t="n"/>
      <c r="E370" s="516" t="n"/>
      <c r="F370" s="516" t="n"/>
      <c r="G370" s="516" t="n"/>
      <c r="H370" s="516" t="n"/>
      <c r="I370" s="516" t="n"/>
      <c r="J370" s="516" t="n"/>
    </row>
    <row r="371">
      <c r="A371" s="516" t="n"/>
      <c r="B371" s="516" t="n"/>
      <c r="C371" s="516" t="n"/>
      <c r="D371" s="516" t="n"/>
      <c r="E371" s="516" t="n"/>
      <c r="F371" s="516" t="n"/>
      <c r="G371" s="516" t="n"/>
      <c r="H371" s="516" t="n"/>
      <c r="I371" s="516" t="n"/>
      <c r="J371" s="516" t="n"/>
    </row>
    <row r="372">
      <c r="A372" s="516" t="n"/>
      <c r="B372" s="516" t="n"/>
      <c r="C372" s="516" t="n"/>
      <c r="D372" s="516" t="n"/>
      <c r="E372" s="516" t="n"/>
      <c r="F372" s="516" t="n"/>
      <c r="G372" s="516" t="n"/>
      <c r="H372" s="516" t="n"/>
      <c r="I372" s="516" t="n"/>
      <c r="J372" s="516" t="n"/>
    </row>
    <row r="373">
      <c r="A373" s="516" t="n"/>
      <c r="B373" s="516" t="n"/>
      <c r="C373" s="516" t="n"/>
      <c r="D373" s="516" t="n"/>
      <c r="E373" s="516" t="n"/>
      <c r="F373" s="516" t="n"/>
      <c r="G373" s="516" t="n"/>
      <c r="H373" s="516" t="n"/>
      <c r="I373" s="516" t="n"/>
      <c r="J373" s="516" t="n"/>
    </row>
    <row r="374">
      <c r="A374" s="516" t="n"/>
      <c r="B374" s="516" t="n"/>
      <c r="C374" s="516" t="n"/>
      <c r="D374" s="516" t="n"/>
      <c r="E374" s="516" t="n"/>
      <c r="F374" s="516" t="n"/>
      <c r="G374" s="516" t="n"/>
      <c r="H374" s="516" t="n"/>
      <c r="I374" s="516" t="n"/>
      <c r="J374" s="516" t="n"/>
    </row>
    <row r="375">
      <c r="A375" s="516" t="n"/>
      <c r="B375" s="516" t="n"/>
      <c r="C375" s="516" t="n"/>
      <c r="D375" s="516" t="n"/>
      <c r="E375" s="516" t="n"/>
      <c r="F375" s="516" t="n"/>
      <c r="G375" s="516" t="n"/>
      <c r="H375" s="516" t="n"/>
      <c r="I375" s="516" t="n"/>
      <c r="J375" s="516" t="n"/>
    </row>
    <row r="376">
      <c r="A376" s="516" t="n"/>
      <c r="B376" s="516" t="n"/>
      <c r="C376" s="516" t="n"/>
      <c r="D376" s="516" t="n"/>
      <c r="E376" s="516" t="n"/>
      <c r="F376" s="516" t="n"/>
      <c r="G376" s="516" t="n"/>
      <c r="H376" s="516" t="n"/>
      <c r="I376" s="516" t="n"/>
      <c r="J376" s="516" t="n"/>
    </row>
    <row r="377">
      <c r="A377" s="516" t="n"/>
      <c r="B377" s="516" t="n"/>
      <c r="C377" s="516" t="n"/>
      <c r="D377" s="516" t="n"/>
      <c r="E377" s="516" t="n"/>
      <c r="F377" s="516" t="n"/>
      <c r="G377" s="516" t="n"/>
      <c r="H377" s="516" t="n"/>
      <c r="I377" s="516" t="n"/>
      <c r="J377" s="516" t="n"/>
    </row>
    <row r="378">
      <c r="A378" s="516" t="n"/>
      <c r="B378" s="516" t="n"/>
      <c r="C378" s="516" t="n"/>
      <c r="D378" s="516" t="n"/>
      <c r="E378" s="516" t="n"/>
      <c r="F378" s="516" t="n"/>
      <c r="G378" s="516" t="n"/>
      <c r="H378" s="516" t="n"/>
      <c r="I378" s="516" t="n"/>
      <c r="J378" s="516" t="n"/>
    </row>
    <row r="379">
      <c r="A379" s="516" t="n"/>
      <c r="B379" s="516" t="n"/>
      <c r="C379" s="516" t="n"/>
      <c r="D379" s="516" t="n"/>
      <c r="E379" s="516" t="n"/>
      <c r="F379" s="516" t="n"/>
      <c r="G379" s="516" t="n"/>
      <c r="H379" s="516" t="n"/>
      <c r="I379" s="516" t="n"/>
      <c r="J379" s="516" t="n"/>
    </row>
    <row r="380">
      <c r="A380" s="516" t="n"/>
      <c r="B380" s="516" t="n"/>
      <c r="C380" s="516" t="n"/>
      <c r="D380" s="516" t="n"/>
      <c r="E380" s="516" t="n"/>
      <c r="F380" s="516" t="n"/>
      <c r="G380" s="516" t="n"/>
      <c r="H380" s="516" t="n"/>
      <c r="I380" s="516" t="n"/>
      <c r="J380" s="516" t="n"/>
    </row>
    <row r="381">
      <c r="A381" s="516" t="n"/>
      <c r="B381" s="516" t="n"/>
      <c r="C381" s="516" t="n"/>
      <c r="D381" s="516" t="n"/>
      <c r="E381" s="516" t="n"/>
      <c r="F381" s="516" t="n"/>
      <c r="G381" s="516" t="n"/>
      <c r="H381" s="516" t="n"/>
      <c r="I381" s="516" t="n"/>
      <c r="J381" s="516" t="n"/>
    </row>
    <row r="382">
      <c r="A382" s="516" t="n"/>
      <c r="B382" s="516" t="n"/>
      <c r="C382" s="516" t="n"/>
      <c r="D382" s="516" t="n"/>
      <c r="E382" s="516" t="n"/>
      <c r="F382" s="516" t="n"/>
      <c r="G382" s="516" t="n"/>
      <c r="H382" s="516" t="n"/>
      <c r="I382" s="516" t="n"/>
      <c r="J382" s="516" t="n"/>
    </row>
    <row r="383">
      <c r="A383" s="516" t="n"/>
      <c r="B383" s="516" t="n"/>
      <c r="C383" s="516" t="n"/>
      <c r="D383" s="516" t="n"/>
      <c r="E383" s="516" t="n"/>
      <c r="F383" s="516" t="n"/>
      <c r="G383" s="516" t="n"/>
      <c r="H383" s="516" t="n"/>
      <c r="I383" s="516" t="n"/>
      <c r="J383" s="516" t="n"/>
    </row>
    <row r="384">
      <c r="A384" s="516" t="n"/>
      <c r="B384" s="516" t="n"/>
      <c r="C384" s="516" t="n"/>
      <c r="D384" s="516" t="n"/>
      <c r="E384" s="516" t="n"/>
      <c r="F384" s="516" t="n"/>
      <c r="G384" s="516" t="n"/>
      <c r="H384" s="516" t="n"/>
      <c r="I384" s="516" t="n"/>
      <c r="J384" s="516" t="n"/>
    </row>
    <row r="385">
      <c r="A385" s="516" t="n"/>
      <c r="B385" s="516" t="n"/>
      <c r="C385" s="516" t="n"/>
      <c r="D385" s="516" t="n"/>
      <c r="E385" s="516" t="n"/>
      <c r="F385" s="516" t="n"/>
      <c r="G385" s="516" t="n"/>
      <c r="H385" s="516" t="n"/>
      <c r="I385" s="516" t="n"/>
      <c r="J385" s="516" t="n"/>
    </row>
    <row r="386">
      <c r="A386" s="516" t="n"/>
      <c r="B386" s="516" t="n"/>
      <c r="C386" s="516" t="n"/>
      <c r="D386" s="516" t="n"/>
      <c r="E386" s="516" t="n"/>
      <c r="F386" s="516" t="n"/>
      <c r="G386" s="516" t="n"/>
      <c r="H386" s="516" t="n"/>
      <c r="I386" s="516" t="n"/>
      <c r="J386" s="516" t="n"/>
    </row>
    <row r="387">
      <c r="A387" s="516" t="n"/>
      <c r="B387" s="516" t="n"/>
      <c r="C387" s="516" t="n"/>
      <c r="D387" s="516" t="n"/>
      <c r="E387" s="516" t="n"/>
      <c r="F387" s="516" t="n"/>
      <c r="G387" s="516" t="n"/>
      <c r="H387" s="516" t="n"/>
      <c r="I387" s="516" t="n"/>
      <c r="J387" s="516" t="n"/>
    </row>
    <row r="388">
      <c r="A388" s="516" t="n"/>
      <c r="B388" s="516" t="n"/>
      <c r="C388" s="516" t="n"/>
      <c r="D388" s="516" t="n"/>
      <c r="E388" s="516" t="n"/>
      <c r="F388" s="516" t="n"/>
      <c r="G388" s="516" t="n"/>
      <c r="H388" s="516" t="n"/>
      <c r="I388" s="516" t="n"/>
      <c r="J388" s="516" t="n"/>
    </row>
    <row r="389">
      <c r="A389" s="516" t="n"/>
      <c r="B389" s="516" t="n"/>
      <c r="C389" s="516" t="n"/>
      <c r="D389" s="516" t="n"/>
      <c r="E389" s="516" t="n"/>
      <c r="F389" s="516" t="n"/>
      <c r="G389" s="516" t="n"/>
      <c r="H389" s="516" t="n"/>
      <c r="I389" s="516" t="n"/>
      <c r="J389" s="516" t="n"/>
    </row>
    <row r="390">
      <c r="A390" s="516" t="n"/>
      <c r="B390" s="516" t="n"/>
      <c r="C390" s="516" t="n"/>
      <c r="D390" s="516" t="n"/>
      <c r="E390" s="516" t="n"/>
      <c r="F390" s="516" t="n"/>
      <c r="G390" s="516" t="n"/>
      <c r="H390" s="516" t="n"/>
      <c r="I390" s="516" t="n"/>
      <c r="J390" s="516" t="n"/>
    </row>
    <row r="391">
      <c r="A391" s="516" t="n"/>
      <c r="B391" s="516" t="n"/>
      <c r="C391" s="516" t="n"/>
      <c r="D391" s="516" t="n"/>
      <c r="E391" s="516" t="n"/>
      <c r="F391" s="516" t="n"/>
      <c r="G391" s="516" t="n"/>
      <c r="H391" s="516" t="n"/>
      <c r="I391" s="516" t="n"/>
      <c r="J391" s="516" t="n"/>
    </row>
    <row r="392">
      <c r="A392" s="516" t="n"/>
      <c r="B392" s="516" t="n"/>
      <c r="C392" s="516" t="n"/>
      <c r="D392" s="516" t="n"/>
      <c r="E392" s="516" t="n"/>
      <c r="F392" s="516" t="n"/>
      <c r="G392" s="516" t="n"/>
      <c r="H392" s="516" t="n"/>
      <c r="I392" s="516" t="n"/>
      <c r="J392" s="516" t="n"/>
    </row>
    <row r="393">
      <c r="A393" s="516" t="n"/>
      <c r="B393" s="516" t="n"/>
      <c r="C393" s="516" t="n"/>
      <c r="D393" s="516" t="n"/>
      <c r="E393" s="516" t="n"/>
      <c r="F393" s="516" t="n"/>
      <c r="G393" s="516" t="n"/>
      <c r="H393" s="516" t="n"/>
      <c r="I393" s="516" t="n"/>
      <c r="J393" s="516" t="n"/>
    </row>
    <row r="394">
      <c r="A394" s="516" t="n"/>
      <c r="B394" s="516" t="n"/>
      <c r="C394" s="516" t="n"/>
      <c r="D394" s="516" t="n"/>
      <c r="E394" s="516" t="n"/>
      <c r="F394" s="516" t="n"/>
      <c r="G394" s="516" t="n"/>
      <c r="H394" s="516" t="n"/>
      <c r="I394" s="516" t="n"/>
      <c r="J394" s="516" t="n"/>
    </row>
    <row r="395">
      <c r="A395" s="516" t="n"/>
      <c r="B395" s="516" t="n"/>
      <c r="C395" s="516" t="n"/>
      <c r="D395" s="516" t="n"/>
      <c r="E395" s="516" t="n"/>
      <c r="F395" s="516" t="n"/>
      <c r="G395" s="516" t="n"/>
      <c r="H395" s="516" t="n"/>
      <c r="I395" s="516" t="n"/>
      <c r="J395" s="516" t="n"/>
    </row>
    <row r="396">
      <c r="A396" s="516" t="n"/>
      <c r="B396" s="516" t="n"/>
      <c r="C396" s="516" t="n"/>
      <c r="D396" s="516" t="n"/>
      <c r="E396" s="516" t="n"/>
      <c r="F396" s="516" t="n"/>
      <c r="G396" s="516" t="n"/>
      <c r="H396" s="516" t="n"/>
      <c r="I396" s="516" t="n"/>
      <c r="J396" s="516" t="n"/>
    </row>
    <row r="397">
      <c r="A397" s="516" t="n"/>
      <c r="B397" s="516" t="n"/>
      <c r="C397" s="516" t="n"/>
      <c r="D397" s="516" t="n"/>
      <c r="E397" s="516" t="n"/>
      <c r="F397" s="516" t="n"/>
      <c r="G397" s="516" t="n"/>
      <c r="H397" s="516" t="n"/>
      <c r="I397" s="516" t="n"/>
      <c r="J397" s="516" t="n"/>
    </row>
    <row r="398">
      <c r="A398" s="516" t="n"/>
      <c r="B398" s="516" t="n"/>
      <c r="C398" s="516" t="n"/>
      <c r="D398" s="516" t="n"/>
      <c r="E398" s="516" t="n"/>
      <c r="F398" s="516" t="n"/>
      <c r="G398" s="516" t="n"/>
      <c r="H398" s="516" t="n"/>
      <c r="I398" s="516" t="n"/>
      <c r="J398" s="516" t="n"/>
    </row>
    <row r="399">
      <c r="A399" s="516" t="n"/>
      <c r="B399" s="516" t="n"/>
      <c r="C399" s="516" t="n"/>
      <c r="D399" s="516" t="n"/>
      <c r="E399" s="516" t="n"/>
      <c r="F399" s="516" t="n"/>
      <c r="G399" s="516" t="n"/>
      <c r="H399" s="516" t="n"/>
      <c r="I399" s="516" t="n"/>
      <c r="J399" s="516" t="n"/>
    </row>
    <row r="400">
      <c r="A400" s="516" t="n"/>
      <c r="B400" s="516" t="n"/>
      <c r="C400" s="516" t="n"/>
      <c r="D400" s="516" t="n"/>
      <c r="E400" s="516" t="n"/>
      <c r="F400" s="516" t="n"/>
      <c r="G400" s="516" t="n"/>
      <c r="H400" s="516" t="n"/>
      <c r="I400" s="516" t="n"/>
      <c r="J400" s="516" t="n"/>
    </row>
    <row r="401">
      <c r="A401" s="516" t="n"/>
      <c r="B401" s="516" t="n"/>
      <c r="C401" s="516" t="n"/>
      <c r="D401" s="516" t="n"/>
      <c r="E401" s="516" t="n"/>
      <c r="F401" s="516" t="n"/>
      <c r="G401" s="516" t="n"/>
      <c r="H401" s="516" t="n"/>
      <c r="I401" s="516" t="n"/>
      <c r="J401" s="516" t="n"/>
    </row>
    <row r="402">
      <c r="A402" s="516" t="n"/>
      <c r="B402" s="516" t="n"/>
      <c r="C402" s="516" t="n"/>
      <c r="D402" s="516" t="n"/>
      <c r="E402" s="516" t="n"/>
      <c r="F402" s="516" t="n"/>
      <c r="G402" s="516" t="n"/>
      <c r="H402" s="516" t="n"/>
      <c r="I402" s="516" t="n"/>
      <c r="J402" s="516" t="n"/>
    </row>
    <row r="403">
      <c r="A403" s="516" t="n"/>
      <c r="B403" s="516" t="n"/>
      <c r="C403" s="516" t="n"/>
      <c r="D403" s="516" t="n"/>
      <c r="E403" s="516" t="n"/>
      <c r="F403" s="516" t="n"/>
      <c r="G403" s="516" t="n"/>
      <c r="H403" s="516" t="n"/>
      <c r="I403" s="516" t="n"/>
      <c r="J403" s="516" t="n"/>
    </row>
    <row r="404">
      <c r="A404" s="516" t="n"/>
      <c r="B404" s="516" t="n"/>
      <c r="C404" s="516" t="n"/>
      <c r="D404" s="516" t="n"/>
      <c r="E404" s="516" t="n"/>
      <c r="F404" s="516" t="n"/>
      <c r="G404" s="516" t="n"/>
      <c r="H404" s="516" t="n"/>
      <c r="I404" s="516" t="n"/>
      <c r="J404" s="516" t="n"/>
    </row>
    <row r="405">
      <c r="A405" s="516" t="n"/>
      <c r="B405" s="516" t="n"/>
      <c r="C405" s="516" t="n"/>
      <c r="D405" s="516" t="n"/>
      <c r="E405" s="516" t="n"/>
      <c r="F405" s="516" t="n"/>
      <c r="G405" s="516" t="n"/>
      <c r="H405" s="516" t="n"/>
      <c r="I405" s="516" t="n"/>
      <c r="J405" s="516" t="n"/>
    </row>
    <row r="406">
      <c r="A406" s="516" t="n"/>
      <c r="B406" s="516" t="n"/>
      <c r="C406" s="516" t="n"/>
      <c r="D406" s="516" t="n"/>
      <c r="E406" s="516" t="n"/>
      <c r="F406" s="516" t="n"/>
      <c r="G406" s="516" t="n"/>
      <c r="H406" s="516" t="n"/>
      <c r="I406" s="516" t="n"/>
      <c r="J406" s="516" t="n"/>
    </row>
    <row r="407">
      <c r="A407" s="516" t="n"/>
      <c r="B407" s="516" t="n"/>
      <c r="C407" s="516" t="n"/>
      <c r="D407" s="516" t="n"/>
      <c r="E407" s="516" t="n"/>
      <c r="F407" s="516" t="n"/>
      <c r="G407" s="516" t="n"/>
      <c r="H407" s="516" t="n"/>
      <c r="I407" s="516" t="n"/>
      <c r="J407" s="516" t="n"/>
    </row>
    <row r="408">
      <c r="A408" s="516" t="n"/>
      <c r="B408" s="516" t="n"/>
      <c r="C408" s="516" t="n"/>
      <c r="D408" s="516" t="n"/>
      <c r="E408" s="516" t="n"/>
      <c r="F408" s="516" t="n"/>
      <c r="G408" s="516" t="n"/>
      <c r="H408" s="516" t="n"/>
      <c r="I408" s="516" t="n"/>
      <c r="J408" s="516" t="n"/>
    </row>
    <row r="409">
      <c r="A409" s="516" t="n"/>
      <c r="B409" s="516" t="n"/>
      <c r="C409" s="516" t="n"/>
      <c r="D409" s="516" t="n"/>
      <c r="E409" s="516" t="n"/>
      <c r="F409" s="516" t="n"/>
      <c r="G409" s="516" t="n"/>
      <c r="H409" s="516" t="n"/>
      <c r="I409" s="516" t="n"/>
      <c r="J409" s="516" t="n"/>
    </row>
    <row r="410">
      <c r="A410" s="516" t="n"/>
      <c r="B410" s="516" t="n"/>
      <c r="C410" s="516" t="n"/>
      <c r="D410" s="516" t="n"/>
      <c r="E410" s="516" t="n"/>
      <c r="F410" s="516" t="n"/>
      <c r="G410" s="516" t="n"/>
      <c r="H410" s="516" t="n"/>
      <c r="I410" s="516" t="n"/>
      <c r="J410" s="516" t="n"/>
    </row>
    <row r="411">
      <c r="A411" s="516" t="n"/>
      <c r="B411" s="516" t="n"/>
      <c r="C411" s="516" t="n"/>
      <c r="D411" s="516" t="n"/>
      <c r="E411" s="516" t="n"/>
      <c r="F411" s="516" t="n"/>
      <c r="G411" s="516" t="n"/>
      <c r="H411" s="516" t="n"/>
      <c r="I411" s="516" t="n"/>
      <c r="J411" s="516" t="n"/>
    </row>
    <row r="412">
      <c r="A412" s="516" t="n"/>
      <c r="B412" s="516" t="n"/>
      <c r="C412" s="516" t="n"/>
      <c r="D412" s="516" t="n"/>
      <c r="E412" s="516" t="n"/>
      <c r="F412" s="516" t="n"/>
      <c r="G412" s="516" t="n"/>
      <c r="H412" s="516" t="n"/>
      <c r="I412" s="516" t="n"/>
      <c r="J412" s="516" t="n"/>
    </row>
    <row r="413">
      <c r="A413" s="516" t="n"/>
      <c r="B413" s="516" t="n"/>
      <c r="C413" s="516" t="n"/>
      <c r="D413" s="516" t="n"/>
      <c r="E413" s="516" t="n"/>
      <c r="F413" s="516" t="n"/>
      <c r="G413" s="516" t="n"/>
      <c r="H413" s="516" t="n"/>
      <c r="I413" s="516" t="n"/>
      <c r="J413" s="516" t="n"/>
    </row>
    <row r="414">
      <c r="A414" s="516" t="n"/>
      <c r="B414" s="516" t="n"/>
      <c r="C414" s="516" t="n"/>
      <c r="D414" s="516" t="n"/>
      <c r="E414" s="516" t="n"/>
      <c r="F414" s="516" t="n"/>
      <c r="G414" s="516" t="n"/>
      <c r="H414" s="516" t="n"/>
      <c r="I414" s="516" t="n"/>
      <c r="J414" s="516" t="n"/>
    </row>
    <row r="415">
      <c r="A415" s="516" t="n"/>
      <c r="B415" s="516" t="n"/>
      <c r="C415" s="516" t="n"/>
      <c r="D415" s="516" t="n"/>
      <c r="E415" s="516" t="n"/>
      <c r="F415" s="516" t="n"/>
      <c r="G415" s="516" t="n"/>
      <c r="H415" s="516" t="n"/>
      <c r="I415" s="516" t="n"/>
      <c r="J415" s="516" t="n"/>
    </row>
    <row r="416">
      <c r="A416" s="516" t="n"/>
      <c r="B416" s="516" t="n"/>
      <c r="C416" s="516" t="n"/>
      <c r="D416" s="516" t="n"/>
      <c r="E416" s="516" t="n"/>
      <c r="F416" s="516" t="n"/>
      <c r="G416" s="516" t="n"/>
      <c r="H416" s="516" t="n"/>
      <c r="I416" s="516" t="n"/>
      <c r="J416" s="516" t="n"/>
    </row>
    <row r="417">
      <c r="A417" s="516" t="n"/>
      <c r="B417" s="516" t="n"/>
      <c r="C417" s="516" t="n"/>
      <c r="D417" s="516" t="n"/>
      <c r="E417" s="516" t="n"/>
      <c r="F417" s="516" t="n"/>
      <c r="G417" s="516" t="n"/>
      <c r="H417" s="516" t="n"/>
      <c r="I417" s="516" t="n"/>
      <c r="J417" s="516" t="n"/>
    </row>
    <row r="418">
      <c r="A418" s="516" t="n"/>
      <c r="B418" s="516" t="n"/>
      <c r="C418" s="516" t="n"/>
      <c r="D418" s="516" t="n"/>
      <c r="E418" s="516" t="n"/>
      <c r="F418" s="516" t="n"/>
      <c r="G418" s="516" t="n"/>
      <c r="H418" s="516" t="n"/>
      <c r="I418" s="516" t="n"/>
      <c r="J418" s="516" t="n"/>
    </row>
    <row r="419">
      <c r="A419" s="516" t="n"/>
      <c r="B419" s="516" t="n"/>
      <c r="C419" s="516" t="n"/>
      <c r="D419" s="516" t="n"/>
      <c r="E419" s="516" t="n"/>
      <c r="F419" s="516" t="n"/>
      <c r="G419" s="516" t="n"/>
      <c r="H419" s="516" t="n"/>
      <c r="I419" s="516" t="n"/>
      <c r="J419" s="516" t="n"/>
    </row>
    <row r="420">
      <c r="A420" s="516" t="n"/>
      <c r="B420" s="516" t="n"/>
      <c r="C420" s="516" t="n"/>
      <c r="D420" s="516" t="n"/>
      <c r="E420" s="516" t="n"/>
      <c r="F420" s="516" t="n"/>
      <c r="G420" s="516" t="n"/>
      <c r="H420" s="516" t="n"/>
      <c r="I420" s="516" t="n"/>
      <c r="J420" s="516" t="n"/>
    </row>
    <row r="421">
      <c r="A421" s="516" t="n"/>
      <c r="B421" s="516" t="n"/>
      <c r="C421" s="516" t="n"/>
      <c r="D421" s="516" t="n"/>
      <c r="E421" s="516" t="n"/>
      <c r="F421" s="516" t="n"/>
      <c r="G421" s="516" t="n"/>
      <c r="H421" s="516" t="n"/>
      <c r="I421" s="516" t="n"/>
      <c r="J421" s="516" t="n"/>
    </row>
    <row r="422">
      <c r="A422" s="516" t="n"/>
      <c r="B422" s="516" t="n"/>
      <c r="C422" s="516" t="n"/>
      <c r="D422" s="516" t="n"/>
      <c r="E422" s="516" t="n"/>
      <c r="F422" s="516" t="n"/>
      <c r="G422" s="516" t="n"/>
      <c r="H422" s="516" t="n"/>
      <c r="I422" s="516" t="n"/>
      <c r="J422" s="516" t="n"/>
    </row>
    <row r="423">
      <c r="A423" s="516" t="n"/>
      <c r="B423" s="516" t="n"/>
      <c r="C423" s="516" t="n"/>
      <c r="D423" s="516" t="n"/>
      <c r="E423" s="516" t="n"/>
      <c r="F423" s="516" t="n"/>
      <c r="G423" s="516" t="n"/>
      <c r="H423" s="516" t="n"/>
      <c r="I423" s="516" t="n"/>
      <c r="J423" s="516" t="n"/>
    </row>
    <row r="424">
      <c r="A424" s="516" t="n"/>
      <c r="B424" s="516" t="n"/>
      <c r="C424" s="516" t="n"/>
      <c r="D424" s="516" t="n"/>
      <c r="E424" s="516" t="n"/>
      <c r="F424" s="516" t="n"/>
      <c r="G424" s="516" t="n"/>
      <c r="H424" s="516" t="n"/>
      <c r="I424" s="516" t="n"/>
      <c r="J424" s="516" t="n"/>
    </row>
    <row r="425">
      <c r="A425" s="516" t="n"/>
      <c r="B425" s="516" t="n"/>
      <c r="C425" s="516" t="n"/>
      <c r="D425" s="516" t="n"/>
      <c r="E425" s="516" t="n"/>
      <c r="F425" s="516" t="n"/>
      <c r="G425" s="516" t="n"/>
      <c r="H425" s="516" t="n"/>
      <c r="I425" s="516" t="n"/>
      <c r="J425" s="516" t="n"/>
    </row>
    <row r="426">
      <c r="A426" s="516" t="n"/>
      <c r="B426" s="516" t="n"/>
      <c r="C426" s="516" t="n"/>
      <c r="D426" s="516" t="n"/>
      <c r="E426" s="516" t="n"/>
      <c r="F426" s="516" t="n"/>
      <c r="G426" s="516" t="n"/>
      <c r="H426" s="516" t="n"/>
      <c r="I426" s="516" t="n"/>
      <c r="J426" s="516" t="n"/>
    </row>
    <row r="427">
      <c r="A427" s="516" t="n"/>
      <c r="B427" s="516" t="n"/>
      <c r="C427" s="516" t="n"/>
      <c r="D427" s="516" t="n"/>
      <c r="E427" s="516" t="n"/>
      <c r="F427" s="516" t="n"/>
      <c r="G427" s="516" t="n"/>
      <c r="H427" s="516" t="n"/>
      <c r="I427" s="516" t="n"/>
      <c r="J427" s="516" t="n"/>
    </row>
    <row r="428">
      <c r="A428" s="516" t="n"/>
      <c r="B428" s="516" t="n"/>
      <c r="C428" s="516" t="n"/>
      <c r="D428" s="516" t="n"/>
      <c r="E428" s="516" t="n"/>
      <c r="F428" s="516" t="n"/>
      <c r="G428" s="516" t="n"/>
      <c r="H428" s="516" t="n"/>
      <c r="I428" s="516" t="n"/>
      <c r="J428" s="516" t="n"/>
    </row>
    <row r="429">
      <c r="A429" s="516" t="n"/>
      <c r="B429" s="516" t="n"/>
      <c r="C429" s="516" t="n"/>
      <c r="D429" s="516" t="n"/>
      <c r="E429" s="516" t="n"/>
      <c r="F429" s="516" t="n"/>
      <c r="G429" s="516" t="n"/>
      <c r="H429" s="516" t="n"/>
      <c r="I429" s="516" t="n"/>
      <c r="J429" s="516" t="n"/>
    </row>
    <row r="430">
      <c r="A430" s="516" t="n"/>
      <c r="B430" s="516" t="n"/>
      <c r="C430" s="516" t="n"/>
      <c r="D430" s="516" t="n"/>
      <c r="E430" s="516" t="n"/>
      <c r="F430" s="516" t="n"/>
      <c r="G430" s="516" t="n"/>
      <c r="H430" s="516" t="n"/>
      <c r="I430" s="516" t="n"/>
      <c r="J430" s="516" t="n"/>
    </row>
    <row r="431">
      <c r="A431" s="516" t="n"/>
      <c r="B431" s="516" t="n"/>
      <c r="C431" s="516" t="n"/>
      <c r="D431" s="516" t="n"/>
      <c r="E431" s="516" t="n"/>
      <c r="F431" s="516" t="n"/>
      <c r="G431" s="516" t="n"/>
      <c r="H431" s="516" t="n"/>
      <c r="I431" s="516" t="n"/>
      <c r="J431" s="516" t="n"/>
    </row>
    <row r="432">
      <c r="A432" s="516" t="n"/>
      <c r="B432" s="516" t="n"/>
      <c r="C432" s="516" t="n"/>
      <c r="D432" s="516" t="n"/>
      <c r="E432" s="516" t="n"/>
      <c r="F432" s="516" t="n"/>
      <c r="G432" s="516" t="n"/>
      <c r="H432" s="516" t="n"/>
      <c r="I432" s="516" t="n"/>
      <c r="J432" s="516" t="n"/>
    </row>
    <row r="433">
      <c r="A433" s="516" t="n"/>
      <c r="B433" s="516" t="n"/>
      <c r="C433" s="516" t="n"/>
      <c r="D433" s="516" t="n"/>
      <c r="E433" s="516" t="n"/>
      <c r="F433" s="516" t="n"/>
      <c r="G433" s="516" t="n"/>
      <c r="H433" s="516" t="n"/>
      <c r="I433" s="516" t="n"/>
      <c r="J433" s="516" t="n"/>
    </row>
    <row r="434">
      <c r="A434" s="516" t="n"/>
      <c r="B434" s="516" t="n"/>
      <c r="C434" s="516" t="n"/>
      <c r="D434" s="516" t="n"/>
      <c r="E434" s="516" t="n"/>
      <c r="F434" s="516" t="n"/>
      <c r="G434" s="516" t="n"/>
      <c r="H434" s="516" t="n"/>
      <c r="I434" s="516" t="n"/>
      <c r="J434" s="516" t="n"/>
    </row>
    <row r="435">
      <c r="A435" s="516" t="n"/>
      <c r="B435" s="516" t="n"/>
      <c r="C435" s="516" t="n"/>
      <c r="D435" s="516" t="n"/>
      <c r="E435" s="516" t="n"/>
      <c r="F435" s="516" t="n"/>
      <c r="G435" s="516" t="n"/>
      <c r="H435" s="516" t="n"/>
      <c r="I435" s="516" t="n"/>
      <c r="J435" s="516" t="n"/>
    </row>
    <row r="436">
      <c r="A436" s="516" t="n"/>
      <c r="B436" s="516" t="n"/>
      <c r="C436" s="516" t="n"/>
      <c r="D436" s="516" t="n"/>
      <c r="E436" s="516" t="n"/>
      <c r="F436" s="516" t="n"/>
      <c r="G436" s="516" t="n"/>
      <c r="H436" s="516" t="n"/>
      <c r="I436" s="516" t="n"/>
      <c r="J436" s="516" t="n"/>
    </row>
    <row r="437">
      <c r="A437" s="516" t="n"/>
      <c r="B437" s="516" t="n"/>
      <c r="C437" s="516" t="n"/>
      <c r="D437" s="516" t="n"/>
      <c r="E437" s="516" t="n"/>
      <c r="F437" s="516" t="n"/>
      <c r="G437" s="516" t="n"/>
      <c r="H437" s="516" t="n"/>
      <c r="I437" s="516" t="n"/>
      <c r="J437" s="516" t="n"/>
    </row>
    <row r="438">
      <c r="A438" s="516" t="n"/>
      <c r="B438" s="516" t="n"/>
      <c r="C438" s="516" t="n"/>
      <c r="D438" s="516" t="n"/>
      <c r="E438" s="516" t="n"/>
      <c r="F438" s="516" t="n"/>
      <c r="G438" s="516" t="n"/>
      <c r="H438" s="516" t="n"/>
      <c r="I438" s="516" t="n"/>
      <c r="J438" s="516" t="n"/>
    </row>
    <row r="439">
      <c r="A439" s="516" t="n"/>
      <c r="B439" s="516" t="n"/>
      <c r="C439" s="516" t="n"/>
      <c r="D439" s="516" t="n"/>
      <c r="E439" s="516" t="n"/>
      <c r="F439" s="516" t="n"/>
      <c r="G439" s="516" t="n"/>
      <c r="H439" s="516" t="n"/>
      <c r="I439" s="516" t="n"/>
      <c r="J439" s="516" t="n"/>
    </row>
    <row r="440">
      <c r="A440" s="516" t="n"/>
      <c r="B440" s="516" t="n"/>
      <c r="C440" s="516" t="n"/>
      <c r="D440" s="516" t="n"/>
      <c r="E440" s="516" t="n"/>
      <c r="F440" s="516" t="n"/>
      <c r="G440" s="516" t="n"/>
      <c r="H440" s="516" t="n"/>
      <c r="I440" s="516" t="n"/>
      <c r="J440" s="516" t="n"/>
    </row>
    <row r="441">
      <c r="A441" s="516" t="n"/>
      <c r="B441" s="516" t="n"/>
      <c r="C441" s="516" t="n"/>
      <c r="D441" s="516" t="n"/>
      <c r="E441" s="516" t="n"/>
      <c r="F441" s="516" t="n"/>
      <c r="G441" s="516" t="n"/>
      <c r="H441" s="516" t="n"/>
      <c r="I441" s="516" t="n"/>
      <c r="J441" s="516" t="n"/>
    </row>
    <row r="442">
      <c r="A442" s="516" t="n"/>
      <c r="B442" s="516" t="n"/>
      <c r="C442" s="516" t="n"/>
      <c r="D442" s="516" t="n"/>
      <c r="E442" s="516" t="n"/>
      <c r="F442" s="516" t="n"/>
      <c r="G442" s="516" t="n"/>
      <c r="H442" s="516" t="n"/>
      <c r="I442" s="516" t="n"/>
      <c r="J442" s="516" t="n"/>
    </row>
    <row r="443">
      <c r="A443" s="516" t="n"/>
      <c r="B443" s="516" t="n"/>
      <c r="C443" s="516" t="n"/>
      <c r="D443" s="516" t="n"/>
      <c r="E443" s="516" t="n"/>
      <c r="F443" s="516" t="n"/>
      <c r="G443" s="516" t="n"/>
      <c r="H443" s="516" t="n"/>
      <c r="I443" s="516" t="n"/>
      <c r="J443" s="516" t="n"/>
    </row>
    <row r="444">
      <c r="A444" s="516" t="n"/>
      <c r="B444" s="516" t="n"/>
      <c r="C444" s="516" t="n"/>
      <c r="D444" s="516" t="n"/>
      <c r="E444" s="516" t="n"/>
      <c r="F444" s="516" t="n"/>
      <c r="G444" s="516" t="n"/>
      <c r="H444" s="516" t="n"/>
      <c r="I444" s="516" t="n"/>
      <c r="J444" s="516" t="n"/>
    </row>
    <row r="445">
      <c r="A445" s="516" t="n"/>
      <c r="B445" s="516" t="n"/>
      <c r="C445" s="516" t="n"/>
      <c r="D445" s="516" t="n"/>
      <c r="E445" s="516" t="n"/>
      <c r="F445" s="516" t="n"/>
      <c r="G445" s="516" t="n"/>
      <c r="H445" s="516" t="n"/>
      <c r="I445" s="516" t="n"/>
      <c r="J445" s="516" t="n"/>
    </row>
    <row r="446">
      <c r="A446" s="516" t="n"/>
      <c r="B446" s="516" t="n"/>
      <c r="C446" s="516" t="n"/>
      <c r="D446" s="516" t="n"/>
      <c r="E446" s="516" t="n"/>
      <c r="F446" s="516" t="n"/>
      <c r="G446" s="516" t="n"/>
      <c r="H446" s="516" t="n"/>
      <c r="I446" s="516" t="n"/>
      <c r="J446" s="516" t="n"/>
    </row>
    <row r="447">
      <c r="A447" s="516" t="n"/>
      <c r="B447" s="516" t="n"/>
      <c r="C447" s="516" t="n"/>
      <c r="D447" s="516" t="n"/>
      <c r="E447" s="516" t="n"/>
      <c r="F447" s="516" t="n"/>
      <c r="G447" s="516" t="n"/>
      <c r="H447" s="516" t="n"/>
      <c r="I447" s="516" t="n"/>
      <c r="J447" s="516" t="n"/>
    </row>
    <row r="448">
      <c r="A448" s="516" t="n"/>
      <c r="B448" s="516" t="n"/>
      <c r="C448" s="516" t="n"/>
      <c r="D448" s="516" t="n"/>
      <c r="E448" s="516" t="n"/>
      <c r="F448" s="516" t="n"/>
      <c r="G448" s="516" t="n"/>
      <c r="H448" s="516" t="n"/>
      <c r="I448" s="516" t="n"/>
      <c r="J448" s="516" t="n"/>
    </row>
    <row r="449">
      <c r="A449" s="516" t="n"/>
      <c r="B449" s="516" t="n"/>
      <c r="C449" s="516" t="n"/>
      <c r="D449" s="516" t="n"/>
      <c r="E449" s="516" t="n"/>
      <c r="F449" s="516" t="n"/>
      <c r="G449" s="516" t="n"/>
      <c r="H449" s="516" t="n"/>
      <c r="I449" s="516" t="n"/>
      <c r="J449" s="516" t="n"/>
    </row>
    <row r="450">
      <c r="A450" s="516" t="n"/>
      <c r="B450" s="516" t="n"/>
      <c r="C450" s="516" t="n"/>
      <c r="D450" s="516" t="n"/>
      <c r="E450" s="516" t="n"/>
      <c r="F450" s="516" t="n"/>
      <c r="G450" s="516" t="n"/>
      <c r="H450" s="516" t="n"/>
      <c r="I450" s="516" t="n"/>
      <c r="J450" s="516" t="n"/>
    </row>
    <row r="451">
      <c r="A451" s="516" t="n"/>
      <c r="B451" s="516" t="n"/>
      <c r="C451" s="516" t="n"/>
      <c r="D451" s="516" t="n"/>
      <c r="E451" s="516" t="n"/>
      <c r="F451" s="516" t="n"/>
      <c r="G451" s="516" t="n"/>
      <c r="H451" s="516" t="n"/>
      <c r="I451" s="516" t="n"/>
      <c r="J451" s="516" t="n"/>
    </row>
    <row r="452">
      <c r="A452" s="516" t="n"/>
      <c r="B452" s="516" t="n"/>
      <c r="C452" s="516" t="n"/>
      <c r="D452" s="516" t="n"/>
      <c r="E452" s="516" t="n"/>
      <c r="F452" s="516" t="n"/>
      <c r="G452" s="516" t="n"/>
      <c r="H452" s="516" t="n"/>
      <c r="I452" s="516" t="n"/>
      <c r="J452" s="516" t="n"/>
    </row>
    <row r="453">
      <c r="A453" s="516" t="n"/>
      <c r="B453" s="516" t="n"/>
      <c r="C453" s="516" t="n"/>
      <c r="D453" s="516" t="n"/>
      <c r="E453" s="516" t="n"/>
      <c r="F453" s="516" t="n"/>
      <c r="G453" s="516" t="n"/>
      <c r="H453" s="516" t="n"/>
      <c r="I453" s="516" t="n"/>
      <c r="J453" s="516" t="n"/>
    </row>
    <row r="454">
      <c r="A454" s="516" t="n"/>
      <c r="B454" s="516" t="n"/>
      <c r="C454" s="516" t="n"/>
      <c r="D454" s="516" t="n"/>
      <c r="E454" s="516" t="n"/>
      <c r="F454" s="516" t="n"/>
      <c r="G454" s="516" t="n"/>
      <c r="H454" s="516" t="n"/>
      <c r="I454" s="516" t="n"/>
      <c r="J454" s="516" t="n"/>
    </row>
    <row r="455">
      <c r="A455" s="516" t="n"/>
      <c r="B455" s="516" t="n"/>
      <c r="C455" s="516" t="n"/>
      <c r="D455" s="516" t="n"/>
      <c r="E455" s="516" t="n"/>
      <c r="F455" s="516" t="n"/>
      <c r="G455" s="516" t="n"/>
      <c r="H455" s="516" t="n"/>
      <c r="I455" s="516" t="n"/>
      <c r="J455" s="516" t="n"/>
    </row>
    <row r="456">
      <c r="A456" s="516" t="n"/>
      <c r="B456" s="516" t="n"/>
      <c r="C456" s="516" t="n"/>
      <c r="D456" s="516" t="n"/>
      <c r="E456" s="516" t="n"/>
      <c r="F456" s="516" t="n"/>
      <c r="G456" s="516" t="n"/>
      <c r="H456" s="516" t="n"/>
      <c r="I456" s="516" t="n"/>
      <c r="J456" s="516" t="n"/>
    </row>
    <row r="457">
      <c r="A457" s="516" t="n"/>
      <c r="B457" s="516" t="n"/>
      <c r="C457" s="516" t="n"/>
      <c r="D457" s="516" t="n"/>
      <c r="E457" s="516" t="n"/>
      <c r="F457" s="516" t="n"/>
      <c r="G457" s="516" t="n"/>
      <c r="H457" s="516" t="n"/>
      <c r="I457" s="516" t="n"/>
      <c r="J457" s="516" t="n"/>
    </row>
    <row r="458">
      <c r="A458" s="516" t="n"/>
      <c r="B458" s="516" t="n"/>
      <c r="C458" s="516" t="n"/>
      <c r="D458" s="516" t="n"/>
      <c r="E458" s="516" t="n"/>
      <c r="F458" s="516" t="n"/>
      <c r="G458" s="516" t="n"/>
      <c r="H458" s="516" t="n"/>
      <c r="I458" s="516" t="n"/>
      <c r="J458" s="516" t="n"/>
    </row>
    <row r="459">
      <c r="A459" s="516" t="n"/>
      <c r="B459" s="516" t="n"/>
      <c r="C459" s="516" t="n"/>
      <c r="D459" s="516" t="n"/>
      <c r="E459" s="516" t="n"/>
      <c r="F459" s="516" t="n"/>
      <c r="G459" s="516" t="n"/>
      <c r="H459" s="516" t="n"/>
      <c r="I459" s="516" t="n"/>
      <c r="J459" s="516" t="n"/>
    </row>
    <row r="460">
      <c r="A460" s="516" t="n"/>
      <c r="B460" s="516" t="n"/>
      <c r="C460" s="516" t="n"/>
      <c r="D460" s="516" t="n"/>
      <c r="E460" s="516" t="n"/>
      <c r="F460" s="516" t="n"/>
      <c r="G460" s="516" t="n"/>
      <c r="H460" s="516" t="n"/>
      <c r="I460" s="516" t="n"/>
      <c r="J460" s="516" t="n"/>
    </row>
    <row r="461">
      <c r="A461" s="516" t="n"/>
      <c r="B461" s="516" t="n"/>
      <c r="C461" s="516" t="n"/>
      <c r="D461" s="516" t="n"/>
      <c r="E461" s="516" t="n"/>
      <c r="F461" s="516" t="n"/>
      <c r="G461" s="516" t="n"/>
      <c r="H461" s="516" t="n"/>
      <c r="I461" s="516" t="n"/>
      <c r="J461" s="516" t="n"/>
    </row>
    <row r="462">
      <c r="A462" s="516" t="n"/>
      <c r="B462" s="516" t="n"/>
      <c r="C462" s="516" t="n"/>
      <c r="D462" s="516" t="n"/>
      <c r="E462" s="516" t="n"/>
      <c r="F462" s="516" t="n"/>
      <c r="G462" s="516" t="n"/>
      <c r="H462" s="516" t="n"/>
      <c r="I462" s="516" t="n"/>
      <c r="J462" s="516" t="n"/>
    </row>
    <row r="463">
      <c r="A463" s="516" t="n"/>
      <c r="B463" s="516" t="n"/>
      <c r="C463" s="516" t="n"/>
      <c r="D463" s="516" t="n"/>
      <c r="E463" s="516" t="n"/>
      <c r="F463" s="516" t="n"/>
      <c r="G463" s="516" t="n"/>
      <c r="H463" s="516" t="n"/>
      <c r="I463" s="516" t="n"/>
      <c r="J463" s="516" t="n"/>
    </row>
    <row r="464">
      <c r="A464" s="516" t="n"/>
      <c r="B464" s="516" t="n"/>
      <c r="C464" s="516" t="n"/>
      <c r="D464" s="516" t="n"/>
      <c r="E464" s="516" t="n"/>
      <c r="F464" s="516" t="n"/>
      <c r="G464" s="516" t="n"/>
      <c r="H464" s="516" t="n"/>
      <c r="I464" s="516" t="n"/>
      <c r="J464" s="516" t="n"/>
    </row>
    <row r="465">
      <c r="A465" s="516" t="n"/>
      <c r="B465" s="516" t="n"/>
      <c r="C465" s="516" t="n"/>
      <c r="D465" s="516" t="n"/>
      <c r="E465" s="516" t="n"/>
      <c r="F465" s="516" t="n"/>
      <c r="G465" s="516" t="n"/>
      <c r="H465" s="516" t="n"/>
      <c r="I465" s="516" t="n"/>
      <c r="J465" s="516" t="n"/>
    </row>
    <row r="466">
      <c r="A466" s="516" t="n"/>
      <c r="B466" s="516" t="n"/>
      <c r="C466" s="516" t="n"/>
      <c r="D466" s="516" t="n"/>
      <c r="E466" s="516" t="n"/>
      <c r="F466" s="516" t="n"/>
      <c r="G466" s="516" t="n"/>
      <c r="H466" s="516" t="n"/>
      <c r="I466" s="516" t="n"/>
      <c r="J466" s="516" t="n"/>
    </row>
    <row r="467">
      <c r="A467" s="516" t="n"/>
      <c r="B467" s="516" t="n"/>
      <c r="C467" s="516" t="n"/>
      <c r="D467" s="516" t="n"/>
      <c r="E467" s="516" t="n"/>
      <c r="F467" s="516" t="n"/>
      <c r="G467" s="516" t="n"/>
      <c r="H467" s="516" t="n"/>
      <c r="I467" s="516" t="n"/>
      <c r="J467" s="516" t="n"/>
    </row>
    <row r="468">
      <c r="A468" s="516" t="n"/>
      <c r="B468" s="516" t="n"/>
      <c r="C468" s="516" t="n"/>
      <c r="D468" s="516" t="n"/>
      <c r="E468" s="516" t="n"/>
      <c r="F468" s="516" t="n"/>
      <c r="G468" s="516" t="n"/>
      <c r="H468" s="516" t="n"/>
      <c r="I468" s="516" t="n"/>
      <c r="J468" s="516" t="n"/>
    </row>
    <row r="469">
      <c r="A469" s="516" t="n"/>
      <c r="B469" s="516" t="n"/>
      <c r="C469" s="516" t="n"/>
      <c r="D469" s="516" t="n"/>
      <c r="E469" s="516" t="n"/>
      <c r="F469" s="516" t="n"/>
      <c r="G469" s="516" t="n"/>
      <c r="H469" s="516" t="n"/>
      <c r="I469" s="516" t="n"/>
      <c r="J469" s="516" t="n"/>
    </row>
    <row r="470">
      <c r="A470" s="516" t="n"/>
      <c r="B470" s="516" t="n"/>
      <c r="C470" s="516" t="n"/>
      <c r="D470" s="516" t="n"/>
      <c r="E470" s="516" t="n"/>
      <c r="F470" s="516" t="n"/>
      <c r="G470" s="516" t="n"/>
      <c r="H470" s="516" t="n"/>
      <c r="I470" s="516" t="n"/>
      <c r="J470" s="516" t="n"/>
    </row>
    <row r="471">
      <c r="A471" s="516" t="n"/>
      <c r="B471" s="516" t="n"/>
      <c r="C471" s="516" t="n"/>
      <c r="D471" s="516" t="n"/>
      <c r="E471" s="516" t="n"/>
      <c r="F471" s="516" t="n"/>
      <c r="G471" s="516" t="n"/>
      <c r="H471" s="516" t="n"/>
      <c r="I471" s="516" t="n"/>
      <c r="J471" s="516" t="n"/>
    </row>
    <row r="472">
      <c r="A472" s="516" t="n"/>
      <c r="B472" s="516" t="n"/>
      <c r="C472" s="516" t="n"/>
      <c r="D472" s="516" t="n"/>
      <c r="E472" s="516" t="n"/>
      <c r="F472" s="516" t="n"/>
      <c r="G472" s="516" t="n"/>
      <c r="H472" s="516" t="n"/>
      <c r="I472" s="516" t="n"/>
      <c r="J472" s="516" t="n"/>
    </row>
    <row r="473">
      <c r="A473" s="516" t="n"/>
      <c r="B473" s="516" t="n"/>
      <c r="C473" s="516" t="n"/>
      <c r="D473" s="516" t="n"/>
      <c r="E473" s="516" t="n"/>
      <c r="F473" s="516" t="n"/>
      <c r="G473" s="516" t="n"/>
      <c r="H473" s="516" t="n"/>
      <c r="I473" s="516" t="n"/>
      <c r="J473" s="516" t="n"/>
    </row>
    <row r="474">
      <c r="A474" s="516" t="n"/>
      <c r="B474" s="516" t="n"/>
      <c r="C474" s="516" t="n"/>
      <c r="D474" s="516" t="n"/>
      <c r="E474" s="516" t="n"/>
      <c r="F474" s="516" t="n"/>
      <c r="G474" s="516" t="n"/>
      <c r="H474" s="516" t="n"/>
      <c r="I474" s="516" t="n"/>
      <c r="J474" s="516" t="n"/>
    </row>
    <row r="475">
      <c r="A475" s="516" t="n"/>
      <c r="B475" s="516" t="n"/>
      <c r="C475" s="516" t="n"/>
      <c r="D475" s="516" t="n"/>
      <c r="E475" s="516" t="n"/>
      <c r="F475" s="516" t="n"/>
      <c r="G475" s="516" t="n"/>
      <c r="H475" s="516" t="n"/>
      <c r="I475" s="516" t="n"/>
      <c r="J475" s="516" t="n"/>
    </row>
    <row r="476">
      <c r="A476" s="516" t="n"/>
      <c r="B476" s="516" t="n"/>
      <c r="C476" s="516" t="n"/>
      <c r="D476" s="516" t="n"/>
      <c r="E476" s="516" t="n"/>
      <c r="F476" s="516" t="n"/>
      <c r="G476" s="516" t="n"/>
      <c r="H476" s="516" t="n"/>
      <c r="I476" s="516" t="n"/>
      <c r="J476" s="516" t="n"/>
    </row>
    <row r="477">
      <c r="A477" s="516" t="n"/>
      <c r="B477" s="516" t="n"/>
      <c r="C477" s="516" t="n"/>
      <c r="D477" s="516" t="n"/>
      <c r="E477" s="516" t="n"/>
      <c r="F477" s="516" t="n"/>
      <c r="G477" s="516" t="n"/>
      <c r="H477" s="516" t="n"/>
      <c r="I477" s="516" t="n"/>
      <c r="J477" s="516" t="n"/>
    </row>
    <row r="478">
      <c r="A478" s="516" t="n"/>
      <c r="B478" s="516" t="n"/>
      <c r="C478" s="516" t="n"/>
      <c r="D478" s="516" t="n"/>
      <c r="E478" s="516" t="n"/>
      <c r="F478" s="516" t="n"/>
      <c r="G478" s="516" t="n"/>
      <c r="H478" s="516" t="n"/>
      <c r="I478" s="516" t="n"/>
      <c r="J478" s="516" t="n"/>
    </row>
    <row r="479">
      <c r="A479" s="516" t="n"/>
      <c r="B479" s="516" t="n"/>
      <c r="C479" s="516" t="n"/>
      <c r="D479" s="516" t="n"/>
      <c r="E479" s="516" t="n"/>
      <c r="F479" s="516" t="n"/>
      <c r="G479" s="516" t="n"/>
      <c r="H479" s="516" t="n"/>
      <c r="I479" s="516" t="n"/>
      <c r="J479" s="516" t="n"/>
    </row>
    <row r="480">
      <c r="A480" s="516" t="n"/>
      <c r="B480" s="516" t="n"/>
      <c r="C480" s="516" t="n"/>
      <c r="D480" s="516" t="n"/>
      <c r="E480" s="516" t="n"/>
      <c r="F480" s="516" t="n"/>
      <c r="G480" s="516" t="n"/>
      <c r="H480" s="516" t="n"/>
      <c r="I480" s="516" t="n"/>
      <c r="J480" s="516" t="n"/>
    </row>
    <row r="481">
      <c r="A481" s="516" t="n"/>
      <c r="B481" s="516" t="n"/>
      <c r="C481" s="516" t="n"/>
      <c r="D481" s="516" t="n"/>
      <c r="E481" s="516" t="n"/>
      <c r="F481" s="516" t="n"/>
      <c r="G481" s="516" t="n"/>
      <c r="H481" s="516" t="n"/>
      <c r="I481" s="516" t="n"/>
      <c r="J481" s="516" t="n"/>
    </row>
    <row r="482">
      <c r="A482" s="516" t="n"/>
      <c r="B482" s="516" t="n"/>
      <c r="C482" s="516" t="n"/>
      <c r="D482" s="516" t="n"/>
      <c r="E482" s="516" t="n"/>
      <c r="F482" s="516" t="n"/>
      <c r="G482" s="516" t="n"/>
      <c r="H482" s="516" t="n"/>
      <c r="I482" s="516" t="n"/>
      <c r="J482" s="516" t="n"/>
    </row>
    <row r="483">
      <c r="A483" s="516" t="n"/>
      <c r="B483" s="516" t="n"/>
      <c r="C483" s="516" t="n"/>
      <c r="D483" s="516" t="n"/>
      <c r="E483" s="516" t="n"/>
      <c r="F483" s="516" t="n"/>
      <c r="G483" s="516" t="n"/>
      <c r="H483" s="516" t="n"/>
      <c r="I483" s="516" t="n"/>
      <c r="J483" s="516" t="n"/>
    </row>
    <row r="484">
      <c r="A484" s="516" t="n"/>
      <c r="B484" s="516" t="n"/>
      <c r="C484" s="516" t="n"/>
      <c r="D484" s="516" t="n"/>
      <c r="E484" s="516" t="n"/>
      <c r="F484" s="516" t="n"/>
      <c r="G484" s="516" t="n"/>
      <c r="H484" s="516" t="n"/>
      <c r="I484" s="516" t="n"/>
      <c r="J484" s="516" t="n"/>
    </row>
    <row r="485">
      <c r="A485" s="516" t="n"/>
      <c r="B485" s="516" t="n"/>
      <c r="C485" s="516" t="n"/>
      <c r="D485" s="516" t="n"/>
      <c r="E485" s="516" t="n"/>
      <c r="F485" s="516" t="n"/>
      <c r="G485" s="516" t="n"/>
      <c r="H485" s="516" t="n"/>
      <c r="I485" s="516" t="n"/>
      <c r="J485" s="516" t="n"/>
    </row>
    <row r="486">
      <c r="A486" s="516" t="n"/>
      <c r="B486" s="516" t="n"/>
      <c r="C486" s="516" t="n"/>
      <c r="D486" s="516" t="n"/>
      <c r="E486" s="516" t="n"/>
      <c r="F486" s="516" t="n"/>
      <c r="G486" s="516" t="n"/>
      <c r="H486" s="516" t="n"/>
      <c r="I486" s="516" t="n"/>
      <c r="J486" s="516" t="n"/>
    </row>
    <row r="487">
      <c r="A487" s="516" t="n"/>
      <c r="B487" s="516" t="n"/>
      <c r="C487" s="516" t="n"/>
      <c r="D487" s="516" t="n"/>
      <c r="E487" s="516" t="n"/>
      <c r="F487" s="516" t="n"/>
      <c r="G487" s="516" t="n"/>
      <c r="H487" s="516" t="n"/>
      <c r="I487" s="516" t="n"/>
      <c r="J487" s="516" t="n"/>
    </row>
    <row r="488">
      <c r="A488" s="516" t="n"/>
      <c r="B488" s="516" t="n"/>
      <c r="C488" s="516" t="n"/>
      <c r="D488" s="516" t="n"/>
      <c r="E488" s="516" t="n"/>
      <c r="F488" s="516" t="n"/>
      <c r="G488" s="516" t="n"/>
      <c r="H488" s="516" t="n"/>
      <c r="I488" s="516" t="n"/>
      <c r="J488" s="516" t="n"/>
    </row>
    <row r="489">
      <c r="A489" s="516" t="n"/>
      <c r="B489" s="516" t="n"/>
      <c r="C489" s="516" t="n"/>
      <c r="D489" s="516" t="n"/>
      <c r="E489" s="516" t="n"/>
      <c r="F489" s="516" t="n"/>
      <c r="G489" s="516" t="n"/>
      <c r="H489" s="516" t="n"/>
      <c r="I489" s="516" t="n"/>
      <c r="J489" s="516" t="n"/>
    </row>
    <row r="490">
      <c r="A490" s="516" t="n"/>
      <c r="B490" s="516" t="n"/>
      <c r="C490" s="516" t="n"/>
      <c r="D490" s="516" t="n"/>
      <c r="E490" s="516" t="n"/>
      <c r="F490" s="516" t="n"/>
      <c r="G490" s="516" t="n"/>
      <c r="H490" s="516" t="n"/>
      <c r="I490" s="516" t="n"/>
      <c r="J490" s="516" t="n"/>
    </row>
    <row r="491">
      <c r="A491" s="516" t="n"/>
      <c r="B491" s="516" t="n"/>
      <c r="C491" s="516" t="n"/>
      <c r="D491" s="516" t="n"/>
      <c r="E491" s="516" t="n"/>
      <c r="F491" s="516" t="n"/>
      <c r="G491" s="516" t="n"/>
      <c r="H491" s="516" t="n"/>
      <c r="I491" s="516" t="n"/>
      <c r="J491" s="516" t="n"/>
    </row>
    <row r="492">
      <c r="A492" s="516" t="n"/>
      <c r="B492" s="516" t="n"/>
      <c r="C492" s="516" t="n"/>
      <c r="D492" s="516" t="n"/>
      <c r="E492" s="516" t="n"/>
      <c r="F492" s="516" t="n"/>
      <c r="G492" s="516" t="n"/>
      <c r="H492" s="516" t="n"/>
      <c r="I492" s="516" t="n"/>
      <c r="J492" s="516" t="n"/>
    </row>
    <row r="493">
      <c r="A493" s="516" t="n"/>
      <c r="B493" s="516" t="n"/>
      <c r="C493" s="516" t="n"/>
      <c r="D493" s="516" t="n"/>
      <c r="E493" s="516" t="n"/>
      <c r="F493" s="516" t="n"/>
      <c r="G493" s="516" t="n"/>
      <c r="H493" s="516" t="n"/>
      <c r="I493" s="516" t="n"/>
      <c r="J493" s="516" t="n"/>
    </row>
    <row r="494">
      <c r="A494" s="516" t="n"/>
      <c r="B494" s="516" t="n"/>
      <c r="C494" s="516" t="n"/>
      <c r="D494" s="516" t="n"/>
      <c r="E494" s="516" t="n"/>
      <c r="F494" s="516" t="n"/>
      <c r="G494" s="516" t="n"/>
      <c r="H494" s="516" t="n"/>
      <c r="I494" s="516" t="n"/>
      <c r="J494" s="516" t="n"/>
    </row>
    <row r="495">
      <c r="A495" s="516" t="n"/>
      <c r="B495" s="516" t="n"/>
      <c r="C495" s="516" t="n"/>
      <c r="D495" s="516" t="n"/>
      <c r="E495" s="516" t="n"/>
      <c r="F495" s="516" t="n"/>
      <c r="G495" s="516" t="n"/>
      <c r="H495" s="516" t="n"/>
      <c r="I495" s="516" t="n"/>
      <c r="J495" s="516" t="n"/>
    </row>
    <row r="496">
      <c r="A496" s="516" t="n"/>
      <c r="B496" s="516" t="n"/>
      <c r="C496" s="516" t="n"/>
      <c r="D496" s="516" t="n"/>
      <c r="E496" s="516" t="n"/>
      <c r="F496" s="516" t="n"/>
      <c r="G496" s="516" t="n"/>
      <c r="H496" s="516" t="n"/>
      <c r="I496" s="516" t="n"/>
      <c r="J496" s="516" t="n"/>
    </row>
    <row r="497">
      <c r="A497" s="516" t="n"/>
      <c r="B497" s="516" t="n"/>
      <c r="C497" s="516" t="n"/>
      <c r="D497" s="516" t="n"/>
      <c r="E497" s="516" t="n"/>
      <c r="F497" s="516" t="n"/>
      <c r="G497" s="516" t="n"/>
      <c r="H497" s="516" t="n"/>
      <c r="I497" s="516" t="n"/>
      <c r="J497" s="516" t="n"/>
    </row>
    <row r="498">
      <c r="A498" s="516" t="n"/>
      <c r="B498" s="516" t="n"/>
      <c r="C498" s="516" t="n"/>
      <c r="D498" s="516" t="n"/>
      <c r="E498" s="516" t="n"/>
      <c r="F498" s="516" t="n"/>
      <c r="G498" s="516" t="n"/>
      <c r="H498" s="516" t="n"/>
      <c r="I498" s="516" t="n"/>
      <c r="J498" s="516" t="n"/>
    </row>
    <row r="499">
      <c r="A499" s="516" t="n"/>
      <c r="B499" s="516" t="n"/>
      <c r="C499" s="516" t="n"/>
      <c r="D499" s="516" t="n"/>
      <c r="E499" s="516" t="n"/>
      <c r="F499" s="516" t="n"/>
      <c r="G499" s="516" t="n"/>
      <c r="H499" s="516" t="n"/>
      <c r="I499" s="516" t="n"/>
      <c r="J499" s="516" t="n"/>
    </row>
    <row r="500">
      <c r="A500" s="516" t="n"/>
      <c r="B500" s="516" t="n"/>
      <c r="C500" s="516" t="n"/>
      <c r="D500" s="516" t="n"/>
      <c r="E500" s="516" t="n"/>
      <c r="F500" s="516" t="n"/>
      <c r="G500" s="516" t="n"/>
      <c r="H500" s="516" t="n"/>
      <c r="I500" s="516" t="n"/>
      <c r="J500" s="516" t="n"/>
    </row>
    <row r="501">
      <c r="A501" s="516" t="n"/>
      <c r="B501" s="516" t="n"/>
      <c r="C501" s="516" t="n"/>
      <c r="D501" s="516" t="n"/>
      <c r="E501" s="516" t="n"/>
      <c r="F501" s="516" t="n"/>
      <c r="G501" s="516" t="n"/>
      <c r="H501" s="516" t="n"/>
      <c r="I501" s="516" t="n"/>
      <c r="J501" s="516" t="n"/>
    </row>
    <row r="502">
      <c r="A502" s="516" t="n"/>
      <c r="B502" s="516" t="n"/>
      <c r="C502" s="516" t="n"/>
      <c r="D502" s="516" t="n"/>
      <c r="E502" s="516" t="n"/>
      <c r="F502" s="516" t="n"/>
      <c r="G502" s="516" t="n"/>
      <c r="H502" s="516" t="n"/>
      <c r="I502" s="516" t="n"/>
      <c r="J502" s="516" t="n"/>
    </row>
    <row r="503">
      <c r="A503" s="516" t="n"/>
      <c r="B503" s="516" t="n"/>
      <c r="C503" s="516" t="n"/>
      <c r="D503" s="516" t="n"/>
      <c r="E503" s="516" t="n"/>
      <c r="F503" s="516" t="n"/>
      <c r="G503" s="516" t="n"/>
      <c r="H503" s="516" t="n"/>
      <c r="I503" s="516" t="n"/>
      <c r="J503" s="516" t="n"/>
    </row>
    <row r="504">
      <c r="A504" s="516" t="n"/>
      <c r="B504" s="516" t="n"/>
      <c r="C504" s="516" t="n"/>
      <c r="D504" s="516" t="n"/>
      <c r="E504" s="516" t="n"/>
      <c r="F504" s="516" t="n"/>
      <c r="G504" s="516" t="n"/>
      <c r="H504" s="516" t="n"/>
      <c r="I504" s="516" t="n"/>
      <c r="J504" s="516" t="n"/>
    </row>
    <row r="505">
      <c r="A505" s="516" t="n"/>
      <c r="B505" s="516" t="n"/>
      <c r="C505" s="516" t="n"/>
      <c r="D505" s="516" t="n"/>
      <c r="E505" s="516" t="n"/>
      <c r="F505" s="516" t="n"/>
      <c r="G505" s="516" t="n"/>
      <c r="H505" s="516" t="n"/>
      <c r="I505" s="516" t="n"/>
      <c r="J505" s="516" t="n"/>
    </row>
    <row r="506">
      <c r="A506" s="516" t="n"/>
      <c r="B506" s="516" t="n"/>
      <c r="C506" s="516" t="n"/>
      <c r="D506" s="516" t="n"/>
      <c r="E506" s="516" t="n"/>
      <c r="F506" s="516" t="n"/>
      <c r="G506" s="516" t="n"/>
      <c r="H506" s="516" t="n"/>
      <c r="I506" s="516" t="n"/>
      <c r="J506" s="516" t="n"/>
    </row>
    <row r="507">
      <c r="A507" s="516" t="n"/>
      <c r="B507" s="516" t="n"/>
      <c r="C507" s="516" t="n"/>
      <c r="D507" s="516" t="n"/>
      <c r="E507" s="516" t="n"/>
      <c r="F507" s="516" t="n"/>
      <c r="G507" s="516" t="n"/>
      <c r="H507" s="516" t="n"/>
      <c r="I507" s="516" t="n"/>
      <c r="J507" s="516" t="n"/>
    </row>
    <row r="508">
      <c r="A508" s="516" t="n"/>
      <c r="B508" s="516" t="n"/>
      <c r="C508" s="516" t="n"/>
      <c r="D508" s="516" t="n"/>
      <c r="E508" s="516" t="n"/>
      <c r="F508" s="516" t="n"/>
      <c r="G508" s="516" t="n"/>
      <c r="H508" s="516" t="n"/>
      <c r="I508" s="516" t="n"/>
      <c r="J508" s="516" t="n"/>
    </row>
    <row r="509">
      <c r="A509" s="516" t="n"/>
      <c r="B509" s="516" t="n"/>
      <c r="C509" s="516" t="n"/>
      <c r="D509" s="516" t="n"/>
      <c r="E509" s="516" t="n"/>
      <c r="F509" s="516" t="n"/>
      <c r="G509" s="516" t="n"/>
      <c r="H509" s="516" t="n"/>
      <c r="I509" s="516" t="n"/>
      <c r="J509" s="516" t="n"/>
    </row>
    <row r="510">
      <c r="A510" s="516" t="n"/>
      <c r="B510" s="516" t="n"/>
      <c r="C510" s="516" t="n"/>
      <c r="D510" s="516" t="n"/>
      <c r="E510" s="516" t="n"/>
      <c r="F510" s="516" t="n"/>
      <c r="G510" s="516" t="n"/>
      <c r="H510" s="516" t="n"/>
      <c r="I510" s="516" t="n"/>
      <c r="J510" s="516" t="n"/>
    </row>
    <row r="511">
      <c r="A511" s="516" t="n"/>
      <c r="B511" s="516" t="n"/>
      <c r="C511" s="516" t="n"/>
      <c r="D511" s="516" t="n"/>
      <c r="E511" s="516" t="n"/>
      <c r="F511" s="516" t="n"/>
      <c r="G511" s="516" t="n"/>
      <c r="H511" s="516" t="n"/>
      <c r="I511" s="516" t="n"/>
      <c r="J511" s="516" t="n"/>
    </row>
    <row r="512">
      <c r="A512" s="516" t="n"/>
      <c r="B512" s="516" t="n"/>
      <c r="C512" s="516" t="n"/>
      <c r="D512" s="516" t="n"/>
      <c r="E512" s="516" t="n"/>
      <c r="F512" s="516" t="n"/>
      <c r="G512" s="516" t="n"/>
      <c r="H512" s="516" t="n"/>
      <c r="I512" s="516" t="n"/>
      <c r="J512" s="516" t="n"/>
    </row>
    <row r="513">
      <c r="A513" s="516" t="n"/>
      <c r="B513" s="516" t="n"/>
      <c r="C513" s="516" t="n"/>
      <c r="D513" s="516" t="n"/>
      <c r="E513" s="516" t="n"/>
      <c r="F513" s="516" t="n"/>
      <c r="G513" s="516" t="n"/>
      <c r="H513" s="516" t="n"/>
      <c r="I513" s="516" t="n"/>
      <c r="J513" s="516" t="n"/>
    </row>
    <row r="514">
      <c r="A514" s="516" t="n"/>
      <c r="B514" s="516" t="n"/>
      <c r="C514" s="516" t="n"/>
      <c r="D514" s="516" t="n"/>
      <c r="E514" s="516" t="n"/>
      <c r="F514" s="516" t="n"/>
      <c r="G514" s="516" t="n"/>
      <c r="H514" s="516" t="n"/>
      <c r="I514" s="516" t="n"/>
      <c r="J514" s="516" t="n"/>
    </row>
    <row r="515">
      <c r="A515" s="516" t="n"/>
      <c r="B515" s="516" t="n"/>
      <c r="C515" s="516" t="n"/>
      <c r="D515" s="516" t="n"/>
      <c r="E515" s="516" t="n"/>
      <c r="F515" s="516" t="n"/>
      <c r="G515" s="516" t="n"/>
      <c r="H515" s="516" t="n"/>
      <c r="I515" s="516" t="n"/>
      <c r="J515" s="516" t="n"/>
    </row>
    <row r="516">
      <c r="A516" s="516" t="n"/>
      <c r="B516" s="516" t="n"/>
      <c r="C516" s="516" t="n"/>
      <c r="D516" s="516" t="n"/>
      <c r="E516" s="516" t="n"/>
      <c r="F516" s="516" t="n"/>
      <c r="G516" s="516" t="n"/>
      <c r="H516" s="516" t="n"/>
      <c r="I516" s="516" t="n"/>
      <c r="J516" s="516" t="n"/>
    </row>
    <row r="517">
      <c r="A517" s="516" t="n"/>
      <c r="B517" s="516" t="n"/>
      <c r="C517" s="516" t="n"/>
      <c r="D517" s="516" t="n"/>
      <c r="E517" s="516" t="n"/>
      <c r="F517" s="516" t="n"/>
      <c r="G517" s="516" t="n"/>
      <c r="H517" s="516" t="n"/>
      <c r="I517" s="516" t="n"/>
      <c r="J517" s="516" t="n"/>
    </row>
    <row r="518">
      <c r="A518" s="516" t="n"/>
      <c r="B518" s="516" t="n"/>
      <c r="C518" s="516" t="n"/>
      <c r="D518" s="516" t="n"/>
      <c r="E518" s="516" t="n"/>
      <c r="F518" s="516" t="n"/>
      <c r="G518" s="516" t="n"/>
      <c r="H518" s="516" t="n"/>
      <c r="I518" s="516" t="n"/>
      <c r="J518" s="516" t="n"/>
    </row>
    <row r="519">
      <c r="A519" s="516" t="n"/>
      <c r="B519" s="516" t="n"/>
      <c r="C519" s="516" t="n"/>
      <c r="D519" s="516" t="n"/>
      <c r="E519" s="516" t="n"/>
      <c r="F519" s="516" t="n"/>
      <c r="G519" s="516" t="n"/>
      <c r="H519" s="516" t="n"/>
      <c r="I519" s="516" t="n"/>
      <c r="J519" s="516" t="n"/>
    </row>
    <row r="520">
      <c r="A520" s="516" t="n"/>
      <c r="B520" s="516" t="n"/>
      <c r="C520" s="516" t="n"/>
      <c r="D520" s="516" t="n"/>
      <c r="E520" s="516" t="n"/>
      <c r="F520" s="516" t="n"/>
      <c r="G520" s="516" t="n"/>
      <c r="H520" s="516" t="n"/>
      <c r="I520" s="516" t="n"/>
      <c r="J520" s="516" t="n"/>
    </row>
    <row r="521">
      <c r="A521" s="516" t="n"/>
      <c r="B521" s="516" t="n"/>
      <c r="C521" s="516" t="n"/>
      <c r="D521" s="516" t="n"/>
      <c r="E521" s="516" t="n"/>
      <c r="F521" s="516" t="n"/>
      <c r="G521" s="516" t="n"/>
      <c r="H521" s="516" t="n"/>
      <c r="I521" s="516" t="n"/>
      <c r="J521" s="516" t="n"/>
    </row>
    <row r="522">
      <c r="A522" s="516" t="n"/>
      <c r="B522" s="516" t="n"/>
      <c r="C522" s="516" t="n"/>
      <c r="D522" s="516" t="n"/>
      <c r="E522" s="516" t="n"/>
      <c r="F522" s="516" t="n"/>
      <c r="G522" s="516" t="n"/>
      <c r="H522" s="516" t="n"/>
      <c r="I522" s="516" t="n"/>
      <c r="J522" s="516" t="n"/>
    </row>
    <row r="523">
      <c r="A523" s="516" t="n"/>
      <c r="B523" s="516" t="n"/>
      <c r="C523" s="516" t="n"/>
      <c r="D523" s="516" t="n"/>
      <c r="E523" s="516" t="n"/>
      <c r="F523" s="516" t="n"/>
      <c r="G523" s="516" t="n"/>
      <c r="H523" s="516" t="n"/>
      <c r="I523" s="516" t="n"/>
      <c r="J523" s="516" t="n"/>
    </row>
    <row r="524">
      <c r="A524" s="516" t="n"/>
      <c r="B524" s="516" t="n"/>
      <c r="C524" s="516" t="n"/>
      <c r="D524" s="516" t="n"/>
      <c r="E524" s="516" t="n"/>
      <c r="F524" s="516" t="n"/>
      <c r="G524" s="516" t="n"/>
      <c r="H524" s="516" t="n"/>
      <c r="I524" s="516" t="n"/>
      <c r="J524" s="516" t="n"/>
    </row>
    <row r="525">
      <c r="A525" s="516" t="n"/>
      <c r="B525" s="516" t="n"/>
      <c r="C525" s="516" t="n"/>
      <c r="D525" s="516" t="n"/>
      <c r="E525" s="516" t="n"/>
      <c r="F525" s="516" t="n"/>
      <c r="G525" s="516" t="n"/>
      <c r="H525" s="516" t="n"/>
      <c r="I525" s="516" t="n"/>
      <c r="J525" s="516" t="n"/>
    </row>
    <row r="526">
      <c r="A526" s="516" t="n"/>
      <c r="B526" s="516" t="n"/>
      <c r="C526" s="516" t="n"/>
      <c r="D526" s="516" t="n"/>
      <c r="E526" s="516" t="n"/>
      <c r="F526" s="516" t="n"/>
      <c r="G526" s="516" t="n"/>
      <c r="H526" s="516" t="n"/>
      <c r="I526" s="516" t="n"/>
      <c r="J526" s="516" t="n"/>
    </row>
    <row r="527">
      <c r="A527" s="516" t="n"/>
      <c r="B527" s="516" t="n"/>
      <c r="C527" s="516" t="n"/>
      <c r="D527" s="516" t="n"/>
      <c r="E527" s="516" t="n"/>
      <c r="F527" s="516" t="n"/>
      <c r="G527" s="516" t="n"/>
      <c r="H527" s="516" t="n"/>
      <c r="I527" s="516" t="n"/>
      <c r="J527" s="516" t="n"/>
    </row>
    <row r="528">
      <c r="A528" s="516" t="n"/>
      <c r="B528" s="516" t="n"/>
      <c r="C528" s="516" t="n"/>
      <c r="D528" s="516" t="n"/>
      <c r="E528" s="516" t="n"/>
      <c r="F528" s="516" t="n"/>
      <c r="G528" s="516" t="n"/>
      <c r="H528" s="516" t="n"/>
      <c r="I528" s="516" t="n"/>
      <c r="J528" s="516" t="n"/>
    </row>
    <row r="529">
      <c r="A529" s="516" t="n"/>
      <c r="B529" s="516" t="n"/>
      <c r="C529" s="516" t="n"/>
      <c r="D529" s="516" t="n"/>
      <c r="E529" s="516" t="n"/>
      <c r="F529" s="516" t="n"/>
      <c r="G529" s="516" t="n"/>
      <c r="H529" s="516" t="n"/>
      <c r="I529" s="516" t="n"/>
      <c r="J529" s="516" t="n"/>
    </row>
    <row r="530">
      <c r="A530" s="516" t="n"/>
      <c r="B530" s="516" t="n"/>
      <c r="C530" s="516" t="n"/>
      <c r="D530" s="516" t="n"/>
      <c r="E530" s="516" t="n"/>
      <c r="F530" s="516" t="n"/>
      <c r="G530" s="516" t="n"/>
      <c r="H530" s="516" t="n"/>
      <c r="I530" s="516" t="n"/>
      <c r="J530" s="516" t="n"/>
    </row>
    <row r="531">
      <c r="A531" s="516" t="n"/>
      <c r="B531" s="516" t="n"/>
      <c r="C531" s="516" t="n"/>
      <c r="D531" s="516" t="n"/>
      <c r="E531" s="516" t="n"/>
      <c r="F531" s="516" t="n"/>
      <c r="G531" s="516" t="n"/>
      <c r="H531" s="516" t="n"/>
      <c r="I531" s="516" t="n"/>
      <c r="J531" s="516" t="n"/>
    </row>
    <row r="532">
      <c r="A532" s="516" t="n"/>
      <c r="B532" s="516" t="n"/>
      <c r="C532" s="516" t="n"/>
      <c r="D532" s="516" t="n"/>
      <c r="E532" s="516" t="n"/>
      <c r="F532" s="516" t="n"/>
      <c r="G532" s="516" t="n"/>
      <c r="H532" s="516" t="n"/>
      <c r="I532" s="516" t="n"/>
      <c r="J532" s="516" t="n"/>
    </row>
    <row r="533">
      <c r="A533" s="516" t="n"/>
      <c r="B533" s="516" t="n"/>
      <c r="C533" s="516" t="n"/>
      <c r="D533" s="516" t="n"/>
      <c r="E533" s="516" t="n"/>
      <c r="F533" s="516" t="n"/>
      <c r="G533" s="516" t="n"/>
      <c r="H533" s="516" t="n"/>
      <c r="I533" s="516" t="n"/>
      <c r="J533" s="516" t="n"/>
    </row>
    <row r="534">
      <c r="A534" s="516" t="n"/>
      <c r="B534" s="516" t="n"/>
      <c r="C534" s="516" t="n"/>
      <c r="D534" s="516" t="n"/>
      <c r="E534" s="516" t="n"/>
      <c r="F534" s="516" t="n"/>
      <c r="G534" s="516" t="n"/>
      <c r="H534" s="516" t="n"/>
      <c r="I534" s="516" t="n"/>
      <c r="J534" s="516" t="n"/>
    </row>
    <row r="535">
      <c r="A535" s="516" t="n"/>
      <c r="B535" s="516" t="n"/>
      <c r="C535" s="516" t="n"/>
      <c r="D535" s="516" t="n"/>
      <c r="E535" s="516" t="n"/>
      <c r="F535" s="516" t="n"/>
      <c r="G535" s="516" t="n"/>
      <c r="H535" s="516" t="n"/>
      <c r="I535" s="516" t="n"/>
      <c r="J535" s="516" t="n"/>
    </row>
    <row r="536">
      <c r="A536" s="516" t="n"/>
      <c r="B536" s="516" t="n"/>
      <c r="C536" s="516" t="n"/>
      <c r="D536" s="516" t="n"/>
      <c r="E536" s="516" t="n"/>
      <c r="F536" s="516" t="n"/>
      <c r="G536" s="516" t="n"/>
      <c r="H536" s="516" t="n"/>
      <c r="I536" s="516" t="n"/>
      <c r="J536" s="516" t="n"/>
    </row>
    <row r="537">
      <c r="A537" s="516" t="n"/>
      <c r="B537" s="516" t="n"/>
      <c r="C537" s="516" t="n"/>
      <c r="D537" s="516" t="n"/>
      <c r="E537" s="516" t="n"/>
      <c r="F537" s="516" t="n"/>
      <c r="G537" s="516" t="n"/>
      <c r="H537" s="516" t="n"/>
      <c r="I537" s="516" t="n"/>
      <c r="J537" s="516" t="n"/>
    </row>
    <row r="538">
      <c r="A538" s="516" t="n"/>
      <c r="B538" s="516" t="n"/>
      <c r="C538" s="516" t="n"/>
      <c r="D538" s="516" t="n"/>
      <c r="E538" s="516" t="n"/>
      <c r="F538" s="516" t="n"/>
      <c r="G538" s="516" t="n"/>
      <c r="H538" s="516" t="n"/>
      <c r="I538" s="516" t="n"/>
      <c r="J538" s="516" t="n"/>
    </row>
    <row r="539">
      <c r="A539" s="516" t="n"/>
      <c r="B539" s="516" t="n"/>
      <c r="C539" s="516" t="n"/>
      <c r="D539" s="516" t="n"/>
      <c r="E539" s="516" t="n"/>
      <c r="F539" s="516" t="n"/>
      <c r="G539" s="516" t="n"/>
      <c r="H539" s="516" t="n"/>
      <c r="I539" s="516" t="n"/>
      <c r="J539" s="516" t="n"/>
    </row>
    <row r="540">
      <c r="A540" s="516" t="n"/>
      <c r="B540" s="516" t="n"/>
      <c r="C540" s="516" t="n"/>
      <c r="D540" s="516" t="n"/>
      <c r="E540" s="516" t="n"/>
      <c r="F540" s="516" t="n"/>
      <c r="G540" s="516" t="n"/>
      <c r="H540" s="516" t="n"/>
      <c r="I540" s="516" t="n"/>
      <c r="J540" s="516" t="n"/>
    </row>
    <row r="541">
      <c r="A541" s="516" t="n"/>
      <c r="B541" s="516" t="n"/>
      <c r="C541" s="516" t="n"/>
      <c r="D541" s="516" t="n"/>
      <c r="E541" s="516" t="n"/>
      <c r="F541" s="516" t="n"/>
      <c r="G541" s="516" t="n"/>
      <c r="H541" s="516" t="n"/>
      <c r="I541" s="516" t="n"/>
      <c r="J541" s="516" t="n"/>
    </row>
    <row r="542">
      <c r="A542" s="516" t="n"/>
      <c r="B542" s="516" t="n"/>
      <c r="C542" s="516" t="n"/>
      <c r="D542" s="516" t="n"/>
      <c r="E542" s="516" t="n"/>
      <c r="F542" s="516" t="n"/>
      <c r="G542" s="516" t="n"/>
      <c r="H542" s="516" t="n"/>
      <c r="I542" s="516" t="n"/>
      <c r="J542" s="516" t="n"/>
    </row>
    <row r="543">
      <c r="A543" s="516" t="n"/>
      <c r="B543" s="516" t="n"/>
      <c r="C543" s="516" t="n"/>
      <c r="D543" s="516" t="n"/>
      <c r="E543" s="516" t="n"/>
      <c r="F543" s="516" t="n"/>
      <c r="G543" s="516" t="n"/>
      <c r="H543" s="516" t="n"/>
      <c r="I543" s="516" t="n"/>
      <c r="J543" s="516" t="n"/>
    </row>
    <row r="544">
      <c r="A544" s="516" t="n"/>
      <c r="B544" s="516" t="n"/>
      <c r="C544" s="516" t="n"/>
      <c r="D544" s="516" t="n"/>
      <c r="E544" s="516" t="n"/>
      <c r="F544" s="516" t="n"/>
      <c r="G544" s="516" t="n"/>
      <c r="H544" s="516" t="n"/>
      <c r="I544" s="516" t="n"/>
      <c r="J544" s="516" t="n"/>
    </row>
    <row r="545">
      <c r="A545" s="516" t="n"/>
      <c r="B545" s="516" t="n"/>
      <c r="C545" s="516" t="n"/>
      <c r="D545" s="516" t="n"/>
      <c r="E545" s="516" t="n"/>
      <c r="F545" s="516" t="n"/>
      <c r="G545" s="516" t="n"/>
      <c r="H545" s="516" t="n"/>
      <c r="I545" s="516" t="n"/>
      <c r="J545" s="516" t="n"/>
    </row>
    <row r="546">
      <c r="A546" s="516" t="n"/>
      <c r="B546" s="516" t="n"/>
      <c r="C546" s="516" t="n"/>
      <c r="D546" s="516" t="n"/>
      <c r="E546" s="516" t="n"/>
      <c r="F546" s="516" t="n"/>
      <c r="G546" s="516" t="n"/>
      <c r="H546" s="516" t="n"/>
      <c r="I546" s="516" t="n"/>
      <c r="J546" s="516" t="n"/>
    </row>
    <row r="547">
      <c r="A547" s="516" t="n"/>
      <c r="B547" s="516" t="n"/>
      <c r="C547" s="516" t="n"/>
      <c r="D547" s="516" t="n"/>
      <c r="E547" s="516" t="n"/>
      <c r="F547" s="516" t="n"/>
      <c r="G547" s="516" t="n"/>
      <c r="H547" s="516" t="n"/>
      <c r="I547" s="516" t="n"/>
      <c r="J547" s="516" t="n"/>
    </row>
    <row r="548">
      <c r="A548" s="516" t="n"/>
      <c r="B548" s="516" t="n"/>
      <c r="C548" s="516" t="n"/>
      <c r="D548" s="516" t="n"/>
      <c r="E548" s="516" t="n"/>
      <c r="F548" s="516" t="n"/>
      <c r="G548" s="516" t="n"/>
      <c r="H548" s="516" t="n"/>
      <c r="I548" s="516" t="n"/>
      <c r="J548" s="516" t="n"/>
    </row>
    <row r="549">
      <c r="A549" s="516" t="n"/>
      <c r="B549" s="516" t="n"/>
      <c r="C549" s="516" t="n"/>
      <c r="D549" s="516" t="n"/>
      <c r="E549" s="516" t="n"/>
      <c r="F549" s="516" t="n"/>
      <c r="G549" s="516" t="n"/>
      <c r="H549" s="516" t="n"/>
      <c r="I549" s="516" t="n"/>
      <c r="J549" s="516" t="n"/>
    </row>
    <row r="550">
      <c r="A550" s="516" t="n"/>
      <c r="B550" s="516" t="n"/>
      <c r="C550" s="516" t="n"/>
      <c r="D550" s="516" t="n"/>
      <c r="E550" s="516" t="n"/>
      <c r="F550" s="516" t="n"/>
      <c r="G550" s="516" t="n"/>
      <c r="H550" s="516" t="n"/>
      <c r="I550" s="516" t="n"/>
      <c r="J550" s="516" t="n"/>
    </row>
    <row r="551">
      <c r="A551" s="516" t="n"/>
      <c r="B551" s="516" t="n"/>
      <c r="C551" s="516" t="n"/>
      <c r="D551" s="516" t="n"/>
      <c r="E551" s="516" t="n"/>
      <c r="F551" s="516" t="n"/>
      <c r="G551" s="516" t="n"/>
      <c r="H551" s="516" t="n"/>
      <c r="I551" s="516" t="n"/>
      <c r="J551" s="516" t="n"/>
    </row>
    <row r="552">
      <c r="A552" s="516" t="n"/>
      <c r="B552" s="516" t="n"/>
      <c r="C552" s="516" t="n"/>
      <c r="D552" s="516" t="n"/>
      <c r="E552" s="516" t="n"/>
      <c r="F552" s="516" t="n"/>
      <c r="G552" s="516" t="n"/>
      <c r="H552" s="516" t="n"/>
      <c r="I552" s="516" t="n"/>
      <c r="J552" s="516" t="n"/>
    </row>
    <row r="553">
      <c r="A553" s="516" t="n"/>
      <c r="B553" s="516" t="n"/>
      <c r="C553" s="516" t="n"/>
      <c r="D553" s="516" t="n"/>
      <c r="E553" s="516" t="n"/>
      <c r="F553" s="516" t="n"/>
      <c r="G553" s="516" t="n"/>
      <c r="H553" s="516" t="n"/>
      <c r="I553" s="516" t="n"/>
      <c r="J553" s="516" t="n"/>
    </row>
    <row r="554">
      <c r="A554" s="516" t="n"/>
      <c r="B554" s="516" t="n"/>
      <c r="C554" s="516" t="n"/>
      <c r="D554" s="516" t="n"/>
      <c r="E554" s="516" t="n"/>
      <c r="F554" s="516" t="n"/>
      <c r="G554" s="516" t="n"/>
      <c r="H554" s="516" t="n"/>
      <c r="I554" s="516" t="n"/>
      <c r="J554" s="516" t="n"/>
    </row>
    <row r="555">
      <c r="A555" s="516" t="n"/>
      <c r="B555" s="516" t="n"/>
      <c r="C555" s="516" t="n"/>
      <c r="D555" s="516" t="n"/>
      <c r="E555" s="516" t="n"/>
      <c r="F555" s="516" t="n"/>
      <c r="G555" s="516" t="n"/>
      <c r="H555" s="516" t="n"/>
      <c r="I555" s="516" t="n"/>
      <c r="J555" s="516" t="n"/>
    </row>
    <row r="556">
      <c r="A556" s="516" t="n"/>
      <c r="B556" s="516" t="n"/>
      <c r="C556" s="516" t="n"/>
      <c r="D556" s="516" t="n"/>
      <c r="E556" s="516" t="n"/>
      <c r="F556" s="516" t="n"/>
      <c r="G556" s="516" t="n"/>
      <c r="H556" s="516" t="n"/>
      <c r="I556" s="516" t="n"/>
      <c r="J556" s="516" t="n"/>
    </row>
    <row r="557">
      <c r="A557" s="516" t="n"/>
      <c r="B557" s="516" t="n"/>
      <c r="C557" s="516" t="n"/>
      <c r="D557" s="516" t="n"/>
      <c r="E557" s="516" t="n"/>
      <c r="F557" s="516" t="n"/>
      <c r="G557" s="516" t="n"/>
      <c r="H557" s="516" t="n"/>
      <c r="I557" s="516" t="n"/>
      <c r="J557" s="516" t="n"/>
    </row>
    <row r="558">
      <c r="A558" s="516" t="n"/>
      <c r="B558" s="516" t="n"/>
      <c r="C558" s="516" t="n"/>
      <c r="D558" s="516" t="n"/>
      <c r="E558" s="516" t="n"/>
      <c r="F558" s="516" t="n"/>
      <c r="G558" s="516" t="n"/>
      <c r="H558" s="516" t="n"/>
      <c r="I558" s="516" t="n"/>
      <c r="J558" s="516" t="n"/>
    </row>
    <row r="559">
      <c r="A559" s="516" t="n"/>
      <c r="B559" s="516" t="n"/>
      <c r="C559" s="516" t="n"/>
      <c r="D559" s="516" t="n"/>
      <c r="E559" s="516" t="n"/>
      <c r="F559" s="516" t="n"/>
      <c r="G559" s="516" t="n"/>
      <c r="H559" s="516" t="n"/>
      <c r="I559" s="516" t="n"/>
      <c r="J559" s="516" t="n"/>
    </row>
    <row r="560">
      <c r="A560" s="516" t="n"/>
      <c r="B560" s="516" t="n"/>
      <c r="C560" s="516" t="n"/>
      <c r="D560" s="516" t="n"/>
      <c r="E560" s="516" t="n"/>
      <c r="F560" s="516" t="n"/>
      <c r="G560" s="516" t="n"/>
      <c r="H560" s="516" t="n"/>
      <c r="I560" s="516" t="n"/>
      <c r="J560" s="516" t="n"/>
    </row>
    <row r="561">
      <c r="A561" s="516" t="n"/>
      <c r="B561" s="516" t="n"/>
      <c r="C561" s="516" t="n"/>
      <c r="D561" s="516" t="n"/>
      <c r="E561" s="516" t="n"/>
      <c r="F561" s="516" t="n"/>
      <c r="G561" s="516" t="n"/>
      <c r="H561" s="516" t="n"/>
      <c r="I561" s="516" t="n"/>
      <c r="J561" s="516" t="n"/>
    </row>
    <row r="562">
      <c r="A562" s="516" t="n"/>
      <c r="B562" s="516" t="n"/>
      <c r="C562" s="516" t="n"/>
      <c r="D562" s="516" t="n"/>
      <c r="E562" s="516" t="n"/>
      <c r="F562" s="516" t="n"/>
      <c r="G562" s="516" t="n"/>
      <c r="H562" s="516" t="n"/>
      <c r="I562" s="516" t="n"/>
      <c r="J562" s="516" t="n"/>
    </row>
    <row r="563">
      <c r="A563" s="516" t="n"/>
      <c r="B563" s="516" t="n"/>
      <c r="C563" s="516" t="n"/>
      <c r="D563" s="516" t="n"/>
      <c r="E563" s="516" t="n"/>
      <c r="F563" s="516" t="n"/>
      <c r="G563" s="516" t="n"/>
      <c r="H563" s="516" t="n"/>
      <c r="I563" s="516" t="n"/>
      <c r="J563" s="516" t="n"/>
    </row>
    <row r="564">
      <c r="A564" s="516" t="n"/>
      <c r="B564" s="516" t="n"/>
      <c r="C564" s="516" t="n"/>
      <c r="D564" s="516" t="n"/>
      <c r="E564" s="516" t="n"/>
      <c r="F564" s="516" t="n"/>
      <c r="G564" s="516" t="n"/>
      <c r="H564" s="516" t="n"/>
      <c r="I564" s="516" t="n"/>
      <c r="J564" s="516" t="n"/>
    </row>
    <row r="565">
      <c r="A565" s="516" t="n"/>
      <c r="B565" s="516" t="n"/>
      <c r="C565" s="516" t="n"/>
      <c r="D565" s="516" t="n"/>
      <c r="E565" s="516" t="n"/>
      <c r="F565" s="516" t="n"/>
      <c r="G565" s="516" t="n"/>
      <c r="H565" s="516" t="n"/>
      <c r="I565" s="516" t="n"/>
      <c r="J565" s="516" t="n"/>
    </row>
    <row r="566">
      <c r="A566" s="516" t="n"/>
      <c r="B566" s="516" t="n"/>
      <c r="C566" s="516" t="n"/>
      <c r="D566" s="516" t="n"/>
      <c r="E566" s="516" t="n"/>
      <c r="F566" s="516" t="n"/>
      <c r="G566" s="516" t="n"/>
      <c r="H566" s="516" t="n"/>
      <c r="I566" s="516" t="n"/>
      <c r="J566" s="516" t="n"/>
    </row>
    <row r="567">
      <c r="A567" s="516" t="n"/>
      <c r="B567" s="516" t="n"/>
      <c r="C567" s="516" t="n"/>
      <c r="D567" s="516" t="n"/>
      <c r="E567" s="516" t="n"/>
      <c r="F567" s="516" t="n"/>
      <c r="G567" s="516" t="n"/>
      <c r="H567" s="516" t="n"/>
      <c r="I567" s="516" t="n"/>
      <c r="J567" s="516" t="n"/>
    </row>
    <row r="568">
      <c r="A568" s="516" t="n"/>
      <c r="B568" s="516" t="n"/>
      <c r="C568" s="516" t="n"/>
      <c r="D568" s="516" t="n"/>
      <c r="E568" s="516" t="n"/>
      <c r="F568" s="516" t="n"/>
      <c r="G568" s="516" t="n"/>
      <c r="H568" s="516" t="n"/>
      <c r="I568" s="516" t="n"/>
      <c r="J568" s="516" t="n"/>
    </row>
    <row r="569">
      <c r="A569" s="516" t="n"/>
      <c r="B569" s="516" t="n"/>
      <c r="C569" s="516" t="n"/>
      <c r="D569" s="516" t="n"/>
      <c r="E569" s="516" t="n"/>
      <c r="F569" s="516" t="n"/>
      <c r="G569" s="516" t="n"/>
      <c r="H569" s="516" t="n"/>
      <c r="I569" s="516" t="n"/>
      <c r="J569" s="516" t="n"/>
    </row>
    <row r="570">
      <c r="A570" s="516" t="n"/>
      <c r="B570" s="516" t="n"/>
      <c r="C570" s="516" t="n"/>
      <c r="D570" s="516" t="n"/>
      <c r="E570" s="516" t="n"/>
      <c r="F570" s="516" t="n"/>
      <c r="G570" s="516" t="n"/>
      <c r="H570" s="516" t="n"/>
      <c r="I570" s="516" t="n"/>
      <c r="J570" s="516" t="n"/>
    </row>
    <row r="571">
      <c r="A571" s="516" t="n"/>
      <c r="B571" s="516" t="n"/>
      <c r="C571" s="516" t="n"/>
      <c r="D571" s="516" t="n"/>
      <c r="E571" s="516" t="n"/>
      <c r="F571" s="516" t="n"/>
      <c r="G571" s="516" t="n"/>
      <c r="H571" s="516" t="n"/>
      <c r="I571" s="516" t="n"/>
      <c r="J571" s="516" t="n"/>
    </row>
    <row r="572">
      <c r="A572" s="516" t="n"/>
      <c r="B572" s="516" t="n"/>
      <c r="C572" s="516" t="n"/>
      <c r="D572" s="516" t="n"/>
      <c r="E572" s="516" t="n"/>
      <c r="F572" s="516" t="n"/>
      <c r="G572" s="516" t="n"/>
      <c r="H572" s="516" t="n"/>
      <c r="I572" s="516" t="n"/>
      <c r="J572" s="516" t="n"/>
    </row>
    <row r="573">
      <c r="A573" s="516" t="n"/>
      <c r="B573" s="516" t="n"/>
      <c r="C573" s="516" t="n"/>
      <c r="D573" s="516" t="n"/>
      <c r="E573" s="516" t="n"/>
      <c r="F573" s="516" t="n"/>
      <c r="G573" s="516" t="n"/>
      <c r="H573" s="516" t="n"/>
      <c r="I573" s="516" t="n"/>
      <c r="J573" s="516" t="n"/>
    </row>
    <row r="574">
      <c r="A574" s="516" t="n"/>
      <c r="B574" s="516" t="n"/>
      <c r="C574" s="516" t="n"/>
      <c r="D574" s="516" t="n"/>
      <c r="E574" s="516" t="n"/>
      <c r="F574" s="516" t="n"/>
      <c r="G574" s="516" t="n"/>
      <c r="H574" s="516" t="n"/>
      <c r="I574" s="516" t="n"/>
      <c r="J574" s="516" t="n"/>
    </row>
    <row r="575">
      <c r="A575" s="516" t="n"/>
      <c r="B575" s="516" t="n"/>
      <c r="C575" s="516" t="n"/>
      <c r="D575" s="516" t="n"/>
      <c r="E575" s="516" t="n"/>
      <c r="F575" s="516" t="n"/>
      <c r="G575" s="516" t="n"/>
      <c r="H575" s="516" t="n"/>
      <c r="I575" s="516" t="n"/>
      <c r="J575" s="516" t="n"/>
    </row>
    <row r="576">
      <c r="A576" s="516" t="n"/>
      <c r="B576" s="516" t="n"/>
      <c r="C576" s="516" t="n"/>
      <c r="D576" s="516" t="n"/>
      <c r="E576" s="516" t="n"/>
      <c r="F576" s="516" t="n"/>
      <c r="G576" s="516" t="n"/>
      <c r="H576" s="516" t="n"/>
      <c r="I576" s="516" t="n"/>
      <c r="J576" s="516" t="n"/>
    </row>
    <row r="577">
      <c r="A577" s="516" t="n"/>
      <c r="B577" s="516" t="n"/>
      <c r="C577" s="516" t="n"/>
      <c r="D577" s="516" t="n"/>
      <c r="E577" s="516" t="n"/>
      <c r="F577" s="516" t="n"/>
      <c r="G577" s="516" t="n"/>
      <c r="H577" s="516" t="n"/>
      <c r="I577" s="516" t="n"/>
      <c r="J577" s="516" t="n"/>
    </row>
    <row r="578">
      <c r="A578" s="516" t="n"/>
      <c r="B578" s="516" t="n"/>
      <c r="C578" s="516" t="n"/>
      <c r="D578" s="516" t="n"/>
      <c r="E578" s="516" t="n"/>
      <c r="F578" s="516" t="n"/>
      <c r="G578" s="516" t="n"/>
      <c r="H578" s="516" t="n"/>
      <c r="I578" s="516" t="n"/>
      <c r="J578" s="516" t="n"/>
    </row>
    <row r="579">
      <c r="A579" s="516" t="n"/>
      <c r="B579" s="516" t="n"/>
      <c r="C579" s="516" t="n"/>
      <c r="D579" s="516" t="n"/>
      <c r="E579" s="516" t="n"/>
      <c r="F579" s="516" t="n"/>
      <c r="G579" s="516" t="n"/>
      <c r="H579" s="516" t="n"/>
      <c r="I579" s="516" t="n"/>
      <c r="J579" s="516" t="n"/>
    </row>
    <row r="580">
      <c r="A580" s="516" t="n"/>
      <c r="B580" s="516" t="n"/>
      <c r="C580" s="516" t="n"/>
      <c r="D580" s="516" t="n"/>
      <c r="E580" s="516" t="n"/>
      <c r="F580" s="516" t="n"/>
      <c r="G580" s="516" t="n"/>
      <c r="H580" s="516" t="n"/>
      <c r="I580" s="516" t="n"/>
      <c r="J580" s="516" t="n"/>
    </row>
    <row r="581">
      <c r="A581" s="516" t="n"/>
      <c r="B581" s="516" t="n"/>
      <c r="C581" s="516" t="n"/>
      <c r="D581" s="516" t="n"/>
      <c r="E581" s="516" t="n"/>
      <c r="F581" s="516" t="n"/>
      <c r="G581" s="516" t="n"/>
      <c r="H581" s="516" t="n"/>
      <c r="I581" s="516" t="n"/>
      <c r="J581" s="516" t="n"/>
    </row>
    <row r="582">
      <c r="A582" s="516" t="n"/>
      <c r="B582" s="516" t="n"/>
      <c r="C582" s="516" t="n"/>
      <c r="D582" s="516" t="n"/>
      <c r="E582" s="516" t="n"/>
      <c r="F582" s="516" t="n"/>
      <c r="G582" s="516" t="n"/>
      <c r="H582" s="516" t="n"/>
      <c r="I582" s="516" t="n"/>
      <c r="J582" s="516" t="n"/>
    </row>
    <row r="583">
      <c r="A583" s="516" t="n"/>
      <c r="B583" s="516" t="n"/>
      <c r="C583" s="516" t="n"/>
      <c r="D583" s="516" t="n"/>
      <c r="E583" s="516" t="n"/>
      <c r="F583" s="516" t="n"/>
      <c r="G583" s="516" t="n"/>
      <c r="H583" s="516" t="n"/>
      <c r="I583" s="516" t="n"/>
      <c r="J583" s="516" t="n"/>
    </row>
    <row r="584">
      <c r="A584" s="516" t="n"/>
      <c r="B584" s="516" t="n"/>
      <c r="C584" s="516" t="n"/>
      <c r="D584" s="516" t="n"/>
      <c r="E584" s="516" t="n"/>
      <c r="F584" s="516" t="n"/>
      <c r="G584" s="516" t="n"/>
      <c r="H584" s="516" t="n"/>
      <c r="I584" s="516" t="n"/>
      <c r="J584" s="516" t="n"/>
    </row>
    <row r="585">
      <c r="A585" s="516" t="n"/>
      <c r="B585" s="516" t="n"/>
      <c r="C585" s="516" t="n"/>
      <c r="D585" s="516" t="n"/>
      <c r="E585" s="516" t="n"/>
      <c r="F585" s="516" t="n"/>
      <c r="G585" s="516" t="n"/>
      <c r="H585" s="516" t="n"/>
      <c r="I585" s="516" t="n"/>
      <c r="J585" s="516" t="n"/>
    </row>
    <row r="586">
      <c r="A586" s="516" t="n"/>
      <c r="B586" s="516" t="n"/>
      <c r="C586" s="516" t="n"/>
      <c r="D586" s="516" t="n"/>
      <c r="E586" s="516" t="n"/>
      <c r="F586" s="516" t="n"/>
      <c r="G586" s="516" t="n"/>
      <c r="H586" s="516" t="n"/>
      <c r="I586" s="516" t="n"/>
      <c r="J586" s="516" t="n"/>
    </row>
    <row r="587">
      <c r="A587" s="516" t="n"/>
      <c r="B587" s="516" t="n"/>
      <c r="C587" s="516" t="n"/>
      <c r="D587" s="516" t="n"/>
      <c r="E587" s="516" t="n"/>
      <c r="F587" s="516" t="n"/>
      <c r="G587" s="516" t="n"/>
      <c r="H587" s="516" t="n"/>
      <c r="I587" s="516" t="n"/>
      <c r="J587" s="516" t="n"/>
    </row>
    <row r="588">
      <c r="A588" s="516" t="n"/>
      <c r="B588" s="516" t="n"/>
      <c r="C588" s="516" t="n"/>
      <c r="D588" s="516" t="n"/>
      <c r="E588" s="516" t="n"/>
      <c r="F588" s="516" t="n"/>
      <c r="G588" s="516" t="n"/>
      <c r="H588" s="516" t="n"/>
      <c r="I588" s="516" t="n"/>
      <c r="J588" s="516" t="n"/>
    </row>
    <row r="589">
      <c r="A589" s="516" t="n"/>
      <c r="B589" s="516" t="n"/>
      <c r="C589" s="516" t="n"/>
      <c r="D589" s="516" t="n"/>
      <c r="E589" s="516" t="n"/>
      <c r="F589" s="516" t="n"/>
      <c r="G589" s="516" t="n"/>
      <c r="H589" s="516" t="n"/>
      <c r="I589" s="516" t="n"/>
      <c r="J589" s="516" t="n"/>
    </row>
    <row r="590">
      <c r="A590" s="516" t="n"/>
      <c r="B590" s="516" t="n"/>
      <c r="C590" s="516" t="n"/>
      <c r="D590" s="516" t="n"/>
      <c r="E590" s="516" t="n"/>
      <c r="F590" s="516" t="n"/>
      <c r="G590" s="516" t="n"/>
      <c r="H590" s="516" t="n"/>
      <c r="I590" s="516" t="n"/>
      <c r="J590" s="516" t="n"/>
    </row>
    <row r="591">
      <c r="A591" s="516" t="n"/>
      <c r="B591" s="516" t="n"/>
      <c r="C591" s="516" t="n"/>
      <c r="D591" s="516" t="n"/>
      <c r="E591" s="516" t="n"/>
      <c r="F591" s="516" t="n"/>
      <c r="G591" s="516" t="n"/>
      <c r="H591" s="516" t="n"/>
      <c r="I591" s="516" t="n"/>
      <c r="J591" s="516" t="n"/>
    </row>
    <row r="592">
      <c r="A592" s="516" t="n"/>
      <c r="B592" s="516" t="n"/>
      <c r="C592" s="516" t="n"/>
      <c r="D592" s="516" t="n"/>
      <c r="E592" s="516" t="n"/>
      <c r="F592" s="516" t="n"/>
      <c r="G592" s="516" t="n"/>
      <c r="H592" s="516" t="n"/>
      <c r="I592" s="516" t="n"/>
      <c r="J592" s="516" t="n"/>
    </row>
    <row r="593">
      <c r="A593" s="516" t="n"/>
      <c r="B593" s="516" t="n"/>
      <c r="C593" s="516" t="n"/>
      <c r="D593" s="516" t="n"/>
      <c r="E593" s="516" t="n"/>
      <c r="F593" s="516" t="n"/>
      <c r="G593" s="516" t="n"/>
      <c r="H593" s="516" t="n"/>
      <c r="I593" s="516" t="n"/>
      <c r="J593" s="516" t="n"/>
    </row>
    <row r="594">
      <c r="A594" s="516" t="n"/>
      <c r="B594" s="516" t="n"/>
      <c r="C594" s="516" t="n"/>
      <c r="D594" s="516" t="n"/>
      <c r="E594" s="516" t="n"/>
      <c r="F594" s="516" t="n"/>
      <c r="G594" s="516" t="n"/>
      <c r="H594" s="516" t="n"/>
      <c r="I594" s="516" t="n"/>
      <c r="J594" s="516" t="n"/>
    </row>
    <row r="595">
      <c r="A595" s="516" t="n"/>
      <c r="B595" s="516" t="n"/>
      <c r="C595" s="516" t="n"/>
      <c r="D595" s="516" t="n"/>
      <c r="E595" s="516" t="n"/>
      <c r="F595" s="516" t="n"/>
      <c r="G595" s="516" t="n"/>
      <c r="H595" s="516" t="n"/>
      <c r="I595" s="516" t="n"/>
      <c r="J595" s="516" t="n"/>
    </row>
    <row r="596">
      <c r="A596" s="516" t="n"/>
      <c r="B596" s="516" t="n"/>
      <c r="C596" s="516" t="n"/>
      <c r="D596" s="516" t="n"/>
      <c r="E596" s="516" t="n"/>
      <c r="F596" s="516" t="n"/>
      <c r="G596" s="516" t="n"/>
      <c r="H596" s="516" t="n"/>
      <c r="I596" s="516" t="n"/>
      <c r="J596" s="516" t="n"/>
    </row>
    <row r="597">
      <c r="A597" s="516" t="n"/>
      <c r="B597" s="516" t="n"/>
      <c r="C597" s="516" t="n"/>
      <c r="D597" s="516" t="n"/>
      <c r="E597" s="516" t="n"/>
      <c r="F597" s="516" t="n"/>
      <c r="G597" s="516" t="n"/>
      <c r="H597" s="516" t="n"/>
      <c r="I597" s="516" t="n"/>
      <c r="J597" s="516" t="n"/>
    </row>
    <row r="598">
      <c r="A598" s="516" t="n"/>
      <c r="B598" s="516" t="n"/>
      <c r="C598" s="516" t="n"/>
      <c r="D598" s="516" t="n"/>
      <c r="E598" s="516" t="n"/>
      <c r="F598" s="516" t="n"/>
      <c r="G598" s="516" t="n"/>
      <c r="H598" s="516" t="n"/>
      <c r="I598" s="516" t="n"/>
      <c r="J598" s="516" t="n"/>
    </row>
    <row r="599">
      <c r="A599" s="516" t="n"/>
      <c r="B599" s="516" t="n"/>
      <c r="C599" s="516" t="n"/>
      <c r="D599" s="516" t="n"/>
      <c r="E599" s="516" t="n"/>
      <c r="F599" s="516" t="n"/>
      <c r="G599" s="516" t="n"/>
      <c r="H599" s="516" t="n"/>
      <c r="I599" s="516" t="n"/>
      <c r="J599" s="516" t="n"/>
    </row>
    <row r="600">
      <c r="A600" s="516" t="n"/>
      <c r="B600" s="516" t="n"/>
      <c r="C600" s="516" t="n"/>
      <c r="D600" s="516" t="n"/>
      <c r="E600" s="516" t="n"/>
      <c r="F600" s="516" t="n"/>
      <c r="G600" s="516" t="n"/>
      <c r="H600" s="516" t="n"/>
      <c r="I600" s="516" t="n"/>
      <c r="J600" s="516" t="n"/>
    </row>
    <row r="601">
      <c r="A601" s="516" t="n"/>
      <c r="B601" s="516" t="n"/>
      <c r="C601" s="516" t="n"/>
      <c r="D601" s="516" t="n"/>
      <c r="E601" s="516" t="n"/>
      <c r="F601" s="516" t="n"/>
      <c r="G601" s="516" t="n"/>
      <c r="H601" s="516" t="n"/>
      <c r="I601" s="516" t="n"/>
      <c r="J601" s="516" t="n"/>
    </row>
    <row r="602">
      <c r="A602" s="516" t="n"/>
      <c r="B602" s="516" t="n"/>
      <c r="C602" s="516" t="n"/>
      <c r="D602" s="516" t="n"/>
      <c r="E602" s="516" t="n"/>
      <c r="F602" s="516" t="n"/>
      <c r="G602" s="516" t="n"/>
      <c r="H602" s="516" t="n"/>
      <c r="I602" s="516" t="n"/>
      <c r="J602" s="516" t="n"/>
    </row>
    <row r="603">
      <c r="A603" s="516" t="n"/>
      <c r="B603" s="516" t="n"/>
      <c r="C603" s="516" t="n"/>
      <c r="D603" s="516" t="n"/>
      <c r="E603" s="516" t="n"/>
      <c r="F603" s="516" t="n"/>
      <c r="G603" s="516" t="n"/>
      <c r="H603" s="516" t="n"/>
      <c r="I603" s="516" t="n"/>
      <c r="J603" s="516" t="n"/>
    </row>
    <row r="604">
      <c r="A604" s="516" t="n"/>
      <c r="B604" s="516" t="n"/>
      <c r="C604" s="516" t="n"/>
      <c r="D604" s="516" t="n"/>
      <c r="E604" s="516" t="n"/>
      <c r="F604" s="516" t="n"/>
      <c r="G604" s="516" t="n"/>
      <c r="H604" s="516" t="n"/>
      <c r="I604" s="516" t="n"/>
      <c r="J604" s="516" t="n"/>
    </row>
    <row r="605">
      <c r="A605" s="516" t="n"/>
      <c r="B605" s="516" t="n"/>
      <c r="C605" s="516" t="n"/>
      <c r="D605" s="516" t="n"/>
      <c r="E605" s="516" t="n"/>
      <c r="F605" s="516" t="n"/>
      <c r="G605" s="516" t="n"/>
      <c r="H605" s="516" t="n"/>
      <c r="I605" s="516" t="n"/>
      <c r="J605" s="516" t="n"/>
    </row>
    <row r="606">
      <c r="A606" s="516" t="n"/>
      <c r="B606" s="516" t="n"/>
      <c r="C606" s="516" t="n"/>
      <c r="D606" s="516" t="n"/>
      <c r="E606" s="516" t="n"/>
      <c r="F606" s="516" t="n"/>
      <c r="G606" s="516" t="n"/>
      <c r="H606" s="516" t="n"/>
      <c r="I606" s="516" t="n"/>
      <c r="J606" s="516" t="n"/>
    </row>
    <row r="607">
      <c r="A607" s="516" t="n"/>
      <c r="B607" s="516" t="n"/>
      <c r="C607" s="516" t="n"/>
      <c r="D607" s="516" t="n"/>
      <c r="E607" s="516" t="n"/>
      <c r="F607" s="516" t="n"/>
      <c r="G607" s="516" t="n"/>
      <c r="H607" s="516" t="n"/>
      <c r="I607" s="516" t="n"/>
      <c r="J607" s="516" t="n"/>
    </row>
    <row r="608">
      <c r="A608" s="516" t="n"/>
      <c r="B608" s="516" t="n"/>
      <c r="C608" s="516" t="n"/>
      <c r="D608" s="516" t="n"/>
      <c r="E608" s="516" t="n"/>
      <c r="F608" s="516" t="n"/>
      <c r="G608" s="516" t="n"/>
      <c r="H608" s="516" t="n"/>
      <c r="I608" s="516" t="n"/>
      <c r="J608" s="516" t="n"/>
    </row>
    <row r="609">
      <c r="A609" s="516" t="n"/>
      <c r="B609" s="516" t="n"/>
      <c r="C609" s="516" t="n"/>
      <c r="D609" s="516" t="n"/>
      <c r="E609" s="516" t="n"/>
      <c r="F609" s="516" t="n"/>
      <c r="G609" s="516" t="n"/>
      <c r="H609" s="516" t="n"/>
      <c r="I609" s="516" t="n"/>
      <c r="J609" s="516" t="n"/>
    </row>
    <row r="610">
      <c r="A610" s="516" t="n"/>
      <c r="B610" s="516" t="n"/>
      <c r="C610" s="516" t="n"/>
      <c r="D610" s="516" t="n"/>
      <c r="E610" s="516" t="n"/>
      <c r="F610" s="516" t="n"/>
      <c r="G610" s="516" t="n"/>
      <c r="H610" s="516" t="n"/>
      <c r="I610" s="516" t="n"/>
      <c r="J610" s="516" t="n"/>
    </row>
    <row r="611">
      <c r="A611" s="516" t="n"/>
      <c r="B611" s="516" t="n"/>
      <c r="C611" s="516" t="n"/>
      <c r="D611" s="516" t="n"/>
      <c r="E611" s="516" t="n"/>
      <c r="F611" s="516" t="n"/>
      <c r="G611" s="516" t="n"/>
      <c r="H611" s="516" t="n"/>
      <c r="I611" s="516" t="n"/>
      <c r="J611" s="516" t="n"/>
    </row>
    <row r="612">
      <c r="A612" s="516" t="n"/>
      <c r="B612" s="516" t="n"/>
      <c r="C612" s="516" t="n"/>
      <c r="D612" s="516" t="n"/>
      <c r="E612" s="516" t="n"/>
      <c r="F612" s="516" t="n"/>
      <c r="G612" s="516" t="n"/>
      <c r="H612" s="516" t="n"/>
      <c r="I612" s="516" t="n"/>
      <c r="J612" s="516" t="n"/>
    </row>
    <row r="613">
      <c r="A613" s="516" t="n"/>
      <c r="B613" s="516" t="n"/>
      <c r="C613" s="516" t="n"/>
      <c r="D613" s="516" t="n"/>
      <c r="E613" s="516" t="n"/>
      <c r="F613" s="516" t="n"/>
      <c r="G613" s="516" t="n"/>
      <c r="H613" s="516" t="n"/>
      <c r="I613" s="516" t="n"/>
      <c r="J613" s="516" t="n"/>
    </row>
    <row r="614">
      <c r="A614" s="516" t="n"/>
      <c r="B614" s="516" t="n"/>
      <c r="C614" s="516" t="n"/>
      <c r="D614" s="516" t="n"/>
      <c r="E614" s="516" t="n"/>
      <c r="F614" s="516" t="n"/>
      <c r="G614" s="516" t="n"/>
      <c r="H614" s="516" t="n"/>
      <c r="I614" s="516" t="n"/>
      <c r="J614" s="516" t="n"/>
    </row>
    <row r="615">
      <c r="A615" s="516" t="n"/>
      <c r="B615" s="516" t="n"/>
      <c r="C615" s="516" t="n"/>
      <c r="D615" s="516" t="n"/>
      <c r="E615" s="516" t="n"/>
      <c r="F615" s="516" t="n"/>
      <c r="G615" s="516" t="n"/>
      <c r="H615" s="516" t="n"/>
      <c r="I615" s="516" t="n"/>
      <c r="J615" s="516" t="n"/>
    </row>
    <row r="616">
      <c r="A616" s="516" t="n"/>
      <c r="B616" s="516" t="n"/>
      <c r="C616" s="516" t="n"/>
      <c r="D616" s="516" t="n"/>
      <c r="E616" s="516" t="n"/>
      <c r="F616" s="516" t="n"/>
      <c r="G616" s="516" t="n"/>
      <c r="H616" s="516" t="n"/>
      <c r="I616" s="516" t="n"/>
      <c r="J616" s="516" t="n"/>
    </row>
    <row r="617">
      <c r="A617" s="516" t="n"/>
      <c r="B617" s="516" t="n"/>
      <c r="C617" s="516" t="n"/>
      <c r="D617" s="516" t="n"/>
      <c r="E617" s="516" t="n"/>
      <c r="F617" s="516" t="n"/>
      <c r="G617" s="516" t="n"/>
      <c r="H617" s="516" t="n"/>
      <c r="I617" s="516" t="n"/>
      <c r="J617" s="516" t="n"/>
    </row>
    <row r="618">
      <c r="A618" s="516" t="n"/>
      <c r="B618" s="516" t="n"/>
      <c r="C618" s="516" t="n"/>
      <c r="D618" s="516" t="n"/>
      <c r="E618" s="516" t="n"/>
      <c r="F618" s="516" t="n"/>
      <c r="G618" s="516" t="n"/>
      <c r="H618" s="516" t="n"/>
      <c r="I618" s="516" t="n"/>
      <c r="J618" s="516" t="n"/>
    </row>
    <row r="619">
      <c r="A619" s="516" t="n"/>
      <c r="B619" s="516" t="n"/>
      <c r="C619" s="516" t="n"/>
      <c r="D619" s="516" t="n"/>
      <c r="E619" s="516" t="n"/>
      <c r="F619" s="516" t="n"/>
      <c r="G619" s="516" t="n"/>
      <c r="H619" s="516" t="n"/>
      <c r="I619" s="516" t="n"/>
      <c r="J619" s="516" t="n"/>
    </row>
    <row r="620">
      <c r="A620" s="516" t="n"/>
      <c r="B620" s="516" t="n"/>
      <c r="C620" s="516" t="n"/>
      <c r="D620" s="516" t="n"/>
      <c r="E620" s="516" t="n"/>
      <c r="F620" s="516" t="n"/>
      <c r="G620" s="516" t="n"/>
      <c r="H620" s="516" t="n"/>
      <c r="I620" s="516" t="n"/>
      <c r="J620" s="516" t="n"/>
    </row>
    <row r="621">
      <c r="A621" s="516" t="n"/>
      <c r="B621" s="516" t="n"/>
      <c r="C621" s="516" t="n"/>
      <c r="D621" s="516" t="n"/>
      <c r="E621" s="516" t="n"/>
      <c r="F621" s="516" t="n"/>
      <c r="G621" s="516" t="n"/>
      <c r="H621" s="516" t="n"/>
      <c r="I621" s="516" t="n"/>
      <c r="J621" s="516" t="n"/>
    </row>
    <row r="622">
      <c r="A622" s="516" t="n"/>
      <c r="B622" s="516" t="n"/>
      <c r="C622" s="516" t="n"/>
      <c r="D622" s="516" t="n"/>
      <c r="E622" s="516" t="n"/>
      <c r="F622" s="516" t="n"/>
      <c r="G622" s="516" t="n"/>
      <c r="H622" s="516" t="n"/>
      <c r="I622" s="516" t="n"/>
      <c r="J622" s="516" t="n"/>
    </row>
    <row r="623">
      <c r="A623" s="516" t="n"/>
      <c r="B623" s="516" t="n"/>
      <c r="C623" s="516" t="n"/>
      <c r="D623" s="516" t="n"/>
      <c r="E623" s="516" t="n"/>
      <c r="F623" s="516" t="n"/>
      <c r="G623" s="516" t="n"/>
      <c r="H623" s="516" t="n"/>
      <c r="I623" s="516" t="n"/>
      <c r="J623" s="516" t="n"/>
    </row>
    <row r="624">
      <c r="A624" s="516" t="n"/>
      <c r="B624" s="516" t="n"/>
      <c r="C624" s="516" t="n"/>
      <c r="D624" s="516" t="n"/>
      <c r="E624" s="516" t="n"/>
      <c r="F624" s="516" t="n"/>
      <c r="G624" s="516" t="n"/>
      <c r="H624" s="516" t="n"/>
      <c r="I624" s="516" t="n"/>
      <c r="J624" s="516" t="n"/>
    </row>
    <row r="625">
      <c r="A625" s="516" t="n"/>
      <c r="B625" s="516" t="n"/>
      <c r="C625" s="516" t="n"/>
      <c r="D625" s="516" t="n"/>
      <c r="E625" s="516" t="n"/>
      <c r="F625" s="516" t="n"/>
      <c r="G625" s="516" t="n"/>
      <c r="H625" s="516" t="n"/>
      <c r="I625" s="516" t="n"/>
      <c r="J625" s="516" t="n"/>
    </row>
    <row r="626">
      <c r="A626" s="516" t="n"/>
      <c r="B626" s="516" t="n"/>
      <c r="C626" s="516" t="n"/>
      <c r="D626" s="516" t="n"/>
      <c r="E626" s="516" t="n"/>
      <c r="F626" s="516" t="n"/>
      <c r="G626" s="516" t="n"/>
      <c r="H626" s="516" t="n"/>
      <c r="I626" s="516" t="n"/>
      <c r="J626" s="516" t="n"/>
    </row>
    <row r="627">
      <c r="A627" s="516" t="n"/>
      <c r="B627" s="516" t="n"/>
      <c r="C627" s="516" t="n"/>
      <c r="D627" s="516" t="n"/>
      <c r="E627" s="516" t="n"/>
      <c r="F627" s="516" t="n"/>
      <c r="G627" s="516" t="n"/>
      <c r="H627" s="516" t="n"/>
      <c r="I627" s="516" t="n"/>
      <c r="J627" s="516" t="n"/>
    </row>
    <row r="628">
      <c r="A628" s="516" t="n"/>
      <c r="B628" s="516" t="n"/>
      <c r="C628" s="516" t="n"/>
      <c r="D628" s="516" t="n"/>
      <c r="E628" s="516" t="n"/>
      <c r="F628" s="516" t="n"/>
      <c r="G628" s="516" t="n"/>
      <c r="H628" s="516" t="n"/>
      <c r="I628" s="516" t="n"/>
      <c r="J628" s="516" t="n"/>
    </row>
    <row r="629">
      <c r="A629" s="516" t="n"/>
      <c r="B629" s="516" t="n"/>
      <c r="C629" s="516" t="n"/>
      <c r="D629" s="516" t="n"/>
      <c r="E629" s="516" t="n"/>
      <c r="F629" s="516" t="n"/>
      <c r="G629" s="516" t="n"/>
      <c r="H629" s="516" t="n"/>
      <c r="I629" s="516" t="n"/>
      <c r="J629" s="516" t="n"/>
    </row>
    <row r="630">
      <c r="A630" s="516" t="n"/>
      <c r="B630" s="516" t="n"/>
      <c r="C630" s="516" t="n"/>
      <c r="D630" s="516" t="n"/>
      <c r="E630" s="516" t="n"/>
      <c r="F630" s="516" t="n"/>
      <c r="G630" s="516" t="n"/>
      <c r="H630" s="516" t="n"/>
      <c r="I630" s="516" t="n"/>
      <c r="J630" s="516" t="n"/>
    </row>
    <row r="631">
      <c r="A631" s="516" t="n"/>
      <c r="B631" s="516" t="n"/>
      <c r="C631" s="516" t="n"/>
      <c r="D631" s="516" t="n"/>
      <c r="E631" s="516" t="n"/>
      <c r="F631" s="516" t="n"/>
      <c r="G631" s="516" t="n"/>
      <c r="H631" s="516" t="n"/>
      <c r="I631" s="516" t="n"/>
      <c r="J631" s="516" t="n"/>
    </row>
    <row r="632">
      <c r="A632" s="516" t="n"/>
      <c r="B632" s="516" t="n"/>
      <c r="C632" s="516" t="n"/>
      <c r="D632" s="516" t="n"/>
      <c r="E632" s="516" t="n"/>
      <c r="F632" s="516" t="n"/>
      <c r="G632" s="516" t="n"/>
      <c r="H632" s="516" t="n"/>
      <c r="I632" s="516" t="n"/>
      <c r="J632" s="516" t="n"/>
    </row>
    <row r="633">
      <c r="A633" s="516" t="n"/>
      <c r="B633" s="516" t="n"/>
      <c r="C633" s="516" t="n"/>
      <c r="D633" s="516" t="n"/>
      <c r="E633" s="516" t="n"/>
      <c r="F633" s="516" t="n"/>
      <c r="G633" s="516" t="n"/>
      <c r="H633" s="516" t="n"/>
      <c r="I633" s="516" t="n"/>
      <c r="J633" s="516" t="n"/>
    </row>
    <row r="634">
      <c r="A634" s="516" t="n"/>
      <c r="B634" s="516" t="n"/>
      <c r="C634" s="516" t="n"/>
      <c r="D634" s="516" t="n"/>
      <c r="E634" s="516" t="n"/>
      <c r="F634" s="516" t="n"/>
      <c r="G634" s="516" t="n"/>
      <c r="H634" s="516" t="n"/>
      <c r="I634" s="516" t="n"/>
      <c r="J634" s="516" t="n"/>
    </row>
    <row r="635">
      <c r="A635" s="516" t="n"/>
      <c r="B635" s="516" t="n"/>
      <c r="C635" s="516" t="n"/>
      <c r="D635" s="516" t="n"/>
      <c r="E635" s="516" t="n"/>
      <c r="F635" s="516" t="n"/>
      <c r="G635" s="516" t="n"/>
      <c r="H635" s="516" t="n"/>
      <c r="I635" s="516" t="n"/>
      <c r="J635" s="516" t="n"/>
    </row>
    <row r="636">
      <c r="A636" s="516" t="n"/>
      <c r="B636" s="516" t="n"/>
      <c r="C636" s="516" t="n"/>
      <c r="D636" s="516" t="n"/>
      <c r="E636" s="516" t="n"/>
      <c r="F636" s="516" t="n"/>
      <c r="G636" s="516" t="n"/>
      <c r="H636" s="516" t="n"/>
      <c r="I636" s="516" t="n"/>
      <c r="J636" s="516" t="n"/>
    </row>
    <row r="637">
      <c r="A637" s="516" t="n"/>
      <c r="B637" s="516" t="n"/>
      <c r="C637" s="516" t="n"/>
      <c r="D637" s="516" t="n"/>
      <c r="E637" s="516" t="n"/>
      <c r="F637" s="516" t="n"/>
      <c r="G637" s="516" t="n"/>
      <c r="H637" s="516" t="n"/>
      <c r="I637" s="516" t="n"/>
      <c r="J637" s="516" t="n"/>
    </row>
    <row r="638">
      <c r="A638" s="516" t="n"/>
      <c r="B638" s="516" t="n"/>
      <c r="C638" s="516" t="n"/>
      <c r="D638" s="516" t="n"/>
      <c r="E638" s="516" t="n"/>
      <c r="F638" s="516" t="n"/>
      <c r="G638" s="516" t="n"/>
      <c r="H638" s="516" t="n"/>
      <c r="I638" s="516" t="n"/>
      <c r="J638" s="516" t="n"/>
    </row>
    <row r="639">
      <c r="A639" s="516" t="n"/>
      <c r="B639" s="516" t="n"/>
      <c r="C639" s="516" t="n"/>
      <c r="D639" s="516" t="n"/>
      <c r="E639" s="516" t="n"/>
      <c r="F639" s="516" t="n"/>
      <c r="G639" s="516" t="n"/>
      <c r="H639" s="516" t="n"/>
      <c r="I639" s="516" t="n"/>
      <c r="J639" s="516" t="n"/>
    </row>
    <row r="640">
      <c r="A640" s="516" t="n"/>
      <c r="B640" s="516" t="n"/>
      <c r="C640" s="516" t="n"/>
      <c r="D640" s="516" t="n"/>
      <c r="E640" s="516" t="n"/>
      <c r="F640" s="516" t="n"/>
      <c r="G640" s="516" t="n"/>
      <c r="H640" s="516" t="n"/>
      <c r="I640" s="516" t="n"/>
      <c r="J640" s="516" t="n"/>
    </row>
    <row r="641">
      <c r="A641" s="516" t="n"/>
      <c r="B641" s="516" t="n"/>
      <c r="C641" s="516" t="n"/>
      <c r="D641" s="516" t="n"/>
      <c r="E641" s="516" t="n"/>
      <c r="F641" s="516" t="n"/>
      <c r="G641" s="516" t="n"/>
      <c r="H641" s="516" t="n"/>
      <c r="I641" s="516" t="n"/>
      <c r="J641" s="516" t="n"/>
    </row>
    <row r="642">
      <c r="A642" s="516" t="n"/>
      <c r="B642" s="516" t="n"/>
      <c r="C642" s="516" t="n"/>
      <c r="D642" s="516" t="n"/>
      <c r="E642" s="516" t="n"/>
      <c r="F642" s="516" t="n"/>
      <c r="G642" s="516" t="n"/>
      <c r="H642" s="516" t="n"/>
      <c r="I642" s="516" t="n"/>
      <c r="J642" s="516" t="n"/>
    </row>
    <row r="643">
      <c r="A643" s="516" t="n"/>
      <c r="B643" s="516" t="n"/>
      <c r="C643" s="516" t="n"/>
      <c r="D643" s="516" t="n"/>
      <c r="E643" s="516" t="n"/>
      <c r="F643" s="516" t="n"/>
      <c r="G643" s="516" t="n"/>
      <c r="H643" s="516" t="n"/>
      <c r="I643" s="516" t="n"/>
      <c r="J643" s="516" t="n"/>
    </row>
    <row r="644">
      <c r="A644" s="516" t="n"/>
      <c r="B644" s="516" t="n"/>
      <c r="C644" s="516" t="n"/>
      <c r="D644" s="516" t="n"/>
      <c r="E644" s="516" t="n"/>
      <c r="F644" s="516" t="n"/>
      <c r="G644" s="516" t="n"/>
      <c r="H644" s="516" t="n"/>
      <c r="I644" s="516" t="n"/>
      <c r="J644" s="516" t="n"/>
    </row>
    <row r="645">
      <c r="A645" s="516" t="n"/>
      <c r="B645" s="516" t="n"/>
      <c r="C645" s="516" t="n"/>
      <c r="D645" s="516" t="n"/>
      <c r="E645" s="516" t="n"/>
      <c r="F645" s="516" t="n"/>
      <c r="G645" s="516" t="n"/>
      <c r="H645" s="516" t="n"/>
      <c r="I645" s="516" t="n"/>
      <c r="J645" s="516" t="n"/>
    </row>
    <row r="646">
      <c r="A646" s="516" t="n"/>
      <c r="B646" s="516" t="n"/>
      <c r="C646" s="516" t="n"/>
      <c r="D646" s="516" t="n"/>
      <c r="E646" s="516" t="n"/>
      <c r="F646" s="516" t="n"/>
      <c r="G646" s="516" t="n"/>
      <c r="H646" s="516" t="n"/>
      <c r="I646" s="516" t="n"/>
      <c r="J646" s="516" t="n"/>
    </row>
    <row r="647">
      <c r="A647" s="516" t="n"/>
      <c r="B647" s="516" t="n"/>
      <c r="C647" s="516" t="n"/>
      <c r="D647" s="516" t="n"/>
      <c r="E647" s="516" t="n"/>
      <c r="F647" s="516" t="n"/>
      <c r="G647" s="516" t="n"/>
      <c r="H647" s="516" t="n"/>
      <c r="I647" s="516" t="n"/>
      <c r="J647" s="516" t="n"/>
    </row>
    <row r="648">
      <c r="A648" s="516" t="n"/>
      <c r="B648" s="516" t="n"/>
      <c r="C648" s="516" t="n"/>
      <c r="D648" s="516" t="n"/>
      <c r="E648" s="516" t="n"/>
      <c r="F648" s="516" t="n"/>
      <c r="G648" s="516" t="n"/>
      <c r="H648" s="516" t="n"/>
      <c r="I648" s="516" t="n"/>
      <c r="J648" s="516" t="n"/>
    </row>
    <row r="649">
      <c r="A649" s="516" t="n"/>
      <c r="B649" s="516" t="n"/>
      <c r="C649" s="516" t="n"/>
      <c r="D649" s="516" t="n"/>
      <c r="E649" s="516" t="n"/>
      <c r="F649" s="516" t="n"/>
      <c r="G649" s="516" t="n"/>
      <c r="H649" s="516" t="n"/>
      <c r="I649" s="516" t="n"/>
      <c r="J649" s="516" t="n"/>
    </row>
    <row r="650">
      <c r="A650" s="516" t="n"/>
      <c r="B650" s="516" t="n"/>
      <c r="C650" s="516" t="n"/>
      <c r="D650" s="516" t="n"/>
      <c r="E650" s="516" t="n"/>
      <c r="F650" s="516" t="n"/>
      <c r="G650" s="516" t="n"/>
      <c r="H650" s="516" t="n"/>
      <c r="I650" s="516" t="n"/>
      <c r="J650" s="516" t="n"/>
    </row>
    <row r="651">
      <c r="A651" s="516" t="n"/>
      <c r="B651" s="516" t="n"/>
      <c r="C651" s="516" t="n"/>
      <c r="D651" s="516" t="n"/>
      <c r="E651" s="516" t="n"/>
      <c r="F651" s="516" t="n"/>
      <c r="G651" s="516" t="n"/>
      <c r="H651" s="516" t="n"/>
      <c r="I651" s="516" t="n"/>
      <c r="J651" s="516" t="n"/>
    </row>
    <row r="652">
      <c r="A652" s="516" t="n"/>
      <c r="B652" s="516" t="n"/>
      <c r="C652" s="516" t="n"/>
      <c r="D652" s="516" t="n"/>
      <c r="E652" s="516" t="n"/>
      <c r="F652" s="516" t="n"/>
      <c r="G652" s="516" t="n"/>
      <c r="H652" s="516" t="n"/>
      <c r="I652" s="516" t="n"/>
      <c r="J652" s="516" t="n"/>
    </row>
    <row r="653">
      <c r="A653" s="516" t="n"/>
      <c r="B653" s="516" t="n"/>
      <c r="C653" s="516" t="n"/>
      <c r="D653" s="516" t="n"/>
      <c r="E653" s="516" t="n"/>
      <c r="F653" s="516" t="n"/>
      <c r="G653" s="516" t="n"/>
      <c r="H653" s="516" t="n"/>
      <c r="I653" s="516" t="n"/>
      <c r="J653" s="516" t="n"/>
    </row>
    <row r="654">
      <c r="A654" s="516" t="n"/>
      <c r="B654" s="516" t="n"/>
      <c r="C654" s="516" t="n"/>
      <c r="D654" s="516" t="n"/>
      <c r="E654" s="516" t="n"/>
      <c r="F654" s="516" t="n"/>
      <c r="G654" s="516" t="n"/>
      <c r="H654" s="516" t="n"/>
      <c r="I654" s="516" t="n"/>
      <c r="J654" s="516" t="n"/>
    </row>
    <row r="655">
      <c r="A655" s="516" t="n"/>
      <c r="B655" s="516" t="n"/>
      <c r="C655" s="516" t="n"/>
      <c r="D655" s="516" t="n"/>
      <c r="E655" s="516" t="n"/>
      <c r="F655" s="516" t="n"/>
      <c r="G655" s="516" t="n"/>
      <c r="H655" s="516" t="n"/>
      <c r="I655" s="516" t="n"/>
      <c r="J655" s="516" t="n"/>
    </row>
    <row r="656">
      <c r="A656" s="516" t="n"/>
      <c r="B656" s="516" t="n"/>
      <c r="C656" s="516" t="n"/>
      <c r="D656" s="516" t="n"/>
      <c r="E656" s="516" t="n"/>
      <c r="F656" s="516" t="n"/>
      <c r="G656" s="516" t="n"/>
      <c r="H656" s="516" t="n"/>
      <c r="I656" s="516" t="n"/>
      <c r="J656" s="516" t="n"/>
    </row>
    <row r="657">
      <c r="A657" s="516" t="n"/>
      <c r="B657" s="516" t="n"/>
      <c r="C657" s="516" t="n"/>
      <c r="D657" s="516" t="n"/>
      <c r="E657" s="516" t="n"/>
      <c r="F657" s="516" t="n"/>
      <c r="G657" s="516" t="n"/>
      <c r="H657" s="516" t="n"/>
      <c r="I657" s="516" t="n"/>
      <c r="J657" s="516" t="n"/>
    </row>
    <row r="658">
      <c r="A658" s="516" t="n"/>
      <c r="B658" s="516" t="n"/>
      <c r="C658" s="516" t="n"/>
      <c r="D658" s="516" t="n"/>
      <c r="E658" s="516" t="n"/>
      <c r="F658" s="516" t="n"/>
      <c r="G658" s="516" t="n"/>
      <c r="H658" s="516" t="n"/>
      <c r="I658" s="516" t="n"/>
      <c r="J658" s="516" t="n"/>
    </row>
    <row r="659">
      <c r="A659" s="516" t="n"/>
      <c r="B659" s="516" t="n"/>
      <c r="C659" s="516" t="n"/>
      <c r="D659" s="516" t="n"/>
      <c r="E659" s="516" t="n"/>
      <c r="F659" s="516" t="n"/>
      <c r="G659" s="516" t="n"/>
      <c r="H659" s="516" t="n"/>
      <c r="I659" s="516" t="n"/>
      <c r="J659" s="516" t="n"/>
    </row>
    <row r="660">
      <c r="A660" s="516" t="n"/>
      <c r="B660" s="516" t="n"/>
      <c r="C660" s="516" t="n"/>
      <c r="D660" s="516" t="n"/>
      <c r="E660" s="516" t="n"/>
      <c r="F660" s="516" t="n"/>
      <c r="G660" s="516" t="n"/>
      <c r="H660" s="516" t="n"/>
      <c r="I660" s="516" t="n"/>
      <c r="J660" s="516" t="n"/>
    </row>
    <row r="661">
      <c r="A661" s="516" t="n"/>
      <c r="B661" s="516" t="n"/>
      <c r="C661" s="516" t="n"/>
      <c r="D661" s="516" t="n"/>
      <c r="E661" s="516" t="n"/>
      <c r="F661" s="516" t="n"/>
      <c r="G661" s="516" t="n"/>
      <c r="H661" s="516" t="n"/>
      <c r="I661" s="516" t="n"/>
      <c r="J661" s="516" t="n"/>
    </row>
    <row r="662">
      <c r="A662" s="516" t="n"/>
      <c r="B662" s="516" t="n"/>
      <c r="C662" s="516" t="n"/>
      <c r="D662" s="516" t="n"/>
      <c r="E662" s="516" t="n"/>
      <c r="F662" s="516" t="n"/>
      <c r="G662" s="516" t="n"/>
      <c r="H662" s="516" t="n"/>
      <c r="I662" s="516" t="n"/>
      <c r="J662" s="516" t="n"/>
    </row>
    <row r="663">
      <c r="A663" s="516" t="n"/>
      <c r="B663" s="516" t="n"/>
      <c r="C663" s="516" t="n"/>
      <c r="D663" s="516" t="n"/>
      <c r="E663" s="516" t="n"/>
      <c r="F663" s="516" t="n"/>
      <c r="G663" s="516" t="n"/>
      <c r="H663" s="516" t="n"/>
      <c r="I663" s="516" t="n"/>
      <c r="J663" s="516" t="n"/>
    </row>
    <row r="664">
      <c r="A664" s="516" t="n"/>
      <c r="B664" s="516" t="n"/>
      <c r="C664" s="516" t="n"/>
      <c r="D664" s="516" t="n"/>
      <c r="E664" s="516" t="n"/>
      <c r="F664" s="516" t="n"/>
      <c r="G664" s="516" t="n"/>
      <c r="H664" s="516" t="n"/>
      <c r="I664" s="516" t="n"/>
      <c r="J664" s="516" t="n"/>
    </row>
    <row r="665">
      <c r="A665" s="516" t="n"/>
      <c r="B665" s="516" t="n"/>
      <c r="C665" s="516" t="n"/>
      <c r="D665" s="516" t="n"/>
      <c r="E665" s="516" t="n"/>
      <c r="F665" s="516" t="n"/>
      <c r="G665" s="516" t="n"/>
      <c r="H665" s="516" t="n"/>
      <c r="I665" s="516" t="n"/>
      <c r="J665" s="516" t="n"/>
    </row>
    <row r="666">
      <c r="A666" s="516" t="n"/>
      <c r="B666" s="516" t="n"/>
      <c r="C666" s="516" t="n"/>
      <c r="D666" s="516" t="n"/>
      <c r="E666" s="516" t="n"/>
      <c r="F666" s="516" t="n"/>
      <c r="G666" s="516" t="n"/>
      <c r="H666" s="516" t="n"/>
      <c r="I666" s="516" t="n"/>
      <c r="J666" s="516" t="n"/>
    </row>
    <row r="667">
      <c r="A667" s="516" t="n"/>
      <c r="B667" s="516" t="n"/>
      <c r="C667" s="516" t="n"/>
      <c r="D667" s="516" t="n"/>
      <c r="E667" s="516" t="n"/>
      <c r="F667" s="516" t="n"/>
      <c r="G667" s="516" t="n"/>
      <c r="H667" s="516" t="n"/>
      <c r="I667" s="516" t="n"/>
      <c r="J667" s="516" t="n"/>
    </row>
    <row r="668">
      <c r="A668" s="516" t="n"/>
      <c r="B668" s="516" t="n"/>
      <c r="C668" s="516" t="n"/>
      <c r="D668" s="516" t="n"/>
      <c r="E668" s="516" t="n"/>
      <c r="F668" s="516" t="n"/>
      <c r="G668" s="516" t="n"/>
      <c r="H668" s="516" t="n"/>
      <c r="I668" s="516" t="n"/>
      <c r="J668" s="516" t="n"/>
    </row>
    <row r="669">
      <c r="A669" s="516" t="n"/>
      <c r="B669" s="516" t="n"/>
      <c r="C669" s="516" t="n"/>
      <c r="D669" s="516" t="n"/>
      <c r="E669" s="516" t="n"/>
      <c r="F669" s="516" t="n"/>
      <c r="G669" s="516" t="n"/>
      <c r="H669" s="516" t="n"/>
      <c r="I669" s="516" t="n"/>
      <c r="J669" s="516" t="n"/>
    </row>
    <row r="670">
      <c r="A670" s="516" t="n"/>
      <c r="B670" s="516" t="n"/>
      <c r="C670" s="516" t="n"/>
      <c r="D670" s="516" t="n"/>
      <c r="E670" s="516" t="n"/>
      <c r="F670" s="516" t="n"/>
      <c r="G670" s="516" t="n"/>
      <c r="H670" s="516" t="n"/>
      <c r="I670" s="516" t="n"/>
      <c r="J670" s="516" t="n"/>
    </row>
    <row r="671">
      <c r="A671" s="516" t="n"/>
      <c r="B671" s="516" t="n"/>
      <c r="C671" s="516" t="n"/>
      <c r="D671" s="516" t="n"/>
      <c r="E671" s="516" t="n"/>
      <c r="F671" s="516" t="n"/>
      <c r="G671" s="516" t="n"/>
      <c r="H671" s="516" t="n"/>
      <c r="I671" s="516" t="n"/>
      <c r="J671" s="516" t="n"/>
    </row>
    <row r="672">
      <c r="A672" s="516" t="n"/>
      <c r="B672" s="516" t="n"/>
      <c r="C672" s="516" t="n"/>
      <c r="D672" s="516" t="n"/>
      <c r="E672" s="516" t="n"/>
      <c r="F672" s="516" t="n"/>
      <c r="G672" s="516" t="n"/>
      <c r="H672" s="516" t="n"/>
      <c r="I672" s="516" t="n"/>
      <c r="J672" s="516" t="n"/>
    </row>
    <row r="673">
      <c r="A673" s="516" t="n"/>
      <c r="B673" s="516" t="n"/>
      <c r="C673" s="516" t="n"/>
      <c r="D673" s="516" t="n"/>
      <c r="E673" s="516" t="n"/>
      <c r="F673" s="516" t="n"/>
      <c r="G673" s="516" t="n"/>
      <c r="H673" s="516" t="n"/>
      <c r="I673" s="516" t="n"/>
      <c r="J673" s="516" t="n"/>
    </row>
    <row r="674">
      <c r="A674" s="516" t="n"/>
      <c r="B674" s="516" t="n"/>
      <c r="C674" s="516" t="n"/>
      <c r="D674" s="516" t="n"/>
      <c r="E674" s="516" t="n"/>
      <c r="F674" s="516" t="n"/>
      <c r="G674" s="516" t="n"/>
      <c r="H674" s="516" t="n"/>
      <c r="I674" s="516" t="n"/>
      <c r="J674" s="516" t="n"/>
    </row>
    <row r="675">
      <c r="A675" s="516" t="n"/>
      <c r="B675" s="516" t="n"/>
      <c r="C675" s="516" t="n"/>
      <c r="D675" s="516" t="n"/>
      <c r="E675" s="516" t="n"/>
      <c r="F675" s="516" t="n"/>
      <c r="G675" s="516" t="n"/>
      <c r="H675" s="516" t="n"/>
      <c r="I675" s="516" t="n"/>
      <c r="J675" s="516" t="n"/>
    </row>
    <row r="676">
      <c r="A676" s="516" t="n"/>
      <c r="B676" s="516" t="n"/>
      <c r="C676" s="516" t="n"/>
      <c r="D676" s="516" t="n"/>
      <c r="E676" s="516" t="n"/>
      <c r="F676" s="516" t="n"/>
      <c r="G676" s="516" t="n"/>
      <c r="H676" s="516" t="n"/>
      <c r="I676" s="516" t="n"/>
      <c r="J676" s="516" t="n"/>
    </row>
    <row r="677">
      <c r="A677" s="516" t="n"/>
      <c r="B677" s="516" t="n"/>
      <c r="C677" s="516" t="n"/>
      <c r="D677" s="516" t="n"/>
      <c r="E677" s="516" t="n"/>
      <c r="F677" s="516" t="n"/>
      <c r="G677" s="516" t="n"/>
      <c r="H677" s="516" t="n"/>
      <c r="I677" s="516" t="n"/>
      <c r="J677" s="516" t="n"/>
    </row>
    <row r="678">
      <c r="A678" s="516" t="n"/>
      <c r="B678" s="516" t="n"/>
      <c r="C678" s="516" t="n"/>
      <c r="D678" s="516" t="n"/>
      <c r="E678" s="516" t="n"/>
      <c r="F678" s="516" t="n"/>
      <c r="G678" s="516" t="n"/>
      <c r="H678" s="516" t="n"/>
      <c r="I678" s="516" t="n"/>
      <c r="J678" s="516" t="n"/>
    </row>
    <row r="679">
      <c r="A679" s="516" t="n"/>
      <c r="B679" s="516" t="n"/>
      <c r="C679" s="516" t="n"/>
      <c r="D679" s="516" t="n"/>
      <c r="E679" s="516" t="n"/>
      <c r="F679" s="516" t="n"/>
      <c r="G679" s="516" t="n"/>
      <c r="H679" s="516" t="n"/>
      <c r="I679" s="516" t="n"/>
      <c r="J679" s="516" t="n"/>
    </row>
    <row r="680">
      <c r="A680" s="516" t="n"/>
      <c r="B680" s="516" t="n"/>
      <c r="C680" s="516" t="n"/>
      <c r="D680" s="516" t="n"/>
      <c r="E680" s="516" t="n"/>
      <c r="F680" s="516" t="n"/>
      <c r="G680" s="516" t="n"/>
      <c r="H680" s="516" t="n"/>
      <c r="I680" s="516" t="n"/>
      <c r="J680" s="516" t="n"/>
    </row>
    <row r="681">
      <c r="A681" s="516" t="n"/>
      <c r="B681" s="516" t="n"/>
      <c r="C681" s="516" t="n"/>
      <c r="D681" s="516" t="n"/>
      <c r="E681" s="516" t="n"/>
      <c r="F681" s="516" t="n"/>
      <c r="G681" s="516" t="n"/>
      <c r="H681" s="516" t="n"/>
      <c r="I681" s="516" t="n"/>
      <c r="J681" s="516" t="n"/>
    </row>
    <row r="682">
      <c r="A682" s="516" t="n"/>
      <c r="B682" s="516" t="n"/>
      <c r="C682" s="516" t="n"/>
      <c r="D682" s="516" t="n"/>
      <c r="E682" s="516" t="n"/>
      <c r="F682" s="516" t="n"/>
      <c r="G682" s="516" t="n"/>
      <c r="H682" s="516" t="n"/>
      <c r="I682" s="516" t="n"/>
      <c r="J682" s="516" t="n"/>
    </row>
    <row r="683">
      <c r="A683" s="516" t="n"/>
      <c r="B683" s="516" t="n"/>
      <c r="C683" s="516" t="n"/>
      <c r="D683" s="516" t="n"/>
      <c r="E683" s="516" t="n"/>
      <c r="F683" s="516" t="n"/>
      <c r="G683" s="516" t="n"/>
      <c r="H683" s="516" t="n"/>
      <c r="I683" s="516" t="n"/>
      <c r="J683" s="516" t="n"/>
    </row>
    <row r="684">
      <c r="A684" s="516" t="n"/>
      <c r="B684" s="516" t="n"/>
      <c r="C684" s="516" t="n"/>
      <c r="D684" s="516" t="n"/>
      <c r="E684" s="516" t="n"/>
      <c r="F684" s="516" t="n"/>
      <c r="G684" s="516" t="n"/>
      <c r="H684" s="516" t="n"/>
      <c r="I684" s="516" t="n"/>
      <c r="J684" s="516" t="n"/>
    </row>
    <row r="685">
      <c r="A685" s="516" t="n"/>
      <c r="B685" s="516" t="n"/>
      <c r="C685" s="516" t="n"/>
      <c r="D685" s="516" t="n"/>
      <c r="E685" s="516" t="n"/>
      <c r="F685" s="516" t="n"/>
      <c r="G685" s="516" t="n"/>
      <c r="H685" s="516" t="n"/>
      <c r="I685" s="516" t="n"/>
      <c r="J685" s="516" t="n"/>
    </row>
    <row r="686">
      <c r="A686" s="516" t="n"/>
      <c r="B686" s="516" t="n"/>
      <c r="C686" s="516" t="n"/>
      <c r="D686" s="516" t="n"/>
      <c r="E686" s="516" t="n"/>
      <c r="F686" s="516" t="n"/>
      <c r="G686" s="516" t="n"/>
      <c r="H686" s="516" t="n"/>
      <c r="I686" s="516" t="n"/>
      <c r="J686" s="516" t="n"/>
    </row>
    <row r="687">
      <c r="A687" s="516" t="n"/>
      <c r="B687" s="516" t="n"/>
      <c r="C687" s="516" t="n"/>
      <c r="D687" s="516" t="n"/>
      <c r="E687" s="516" t="n"/>
      <c r="F687" s="516" t="n"/>
      <c r="G687" s="516" t="n"/>
      <c r="H687" s="516" t="n"/>
      <c r="I687" s="516" t="n"/>
      <c r="J687" s="516" t="n"/>
    </row>
    <row r="688">
      <c r="A688" s="516" t="n"/>
      <c r="B688" s="516" t="n"/>
      <c r="C688" s="516" t="n"/>
      <c r="D688" s="516" t="n"/>
      <c r="E688" s="516" t="n"/>
      <c r="F688" s="516" t="n"/>
      <c r="G688" s="516" t="n"/>
      <c r="H688" s="516" t="n"/>
      <c r="I688" s="516" t="n"/>
      <c r="J688" s="516" t="n"/>
    </row>
    <row r="689">
      <c r="A689" s="516" t="n"/>
      <c r="B689" s="516" t="n"/>
      <c r="C689" s="516" t="n"/>
      <c r="D689" s="516" t="n"/>
      <c r="E689" s="516" t="n"/>
      <c r="F689" s="516" t="n"/>
      <c r="G689" s="516" t="n"/>
      <c r="H689" s="516" t="n"/>
      <c r="I689" s="516" t="n"/>
      <c r="J689" s="516" t="n"/>
    </row>
    <row r="690">
      <c r="A690" s="516" t="n"/>
      <c r="B690" s="516" t="n"/>
      <c r="C690" s="516" t="n"/>
      <c r="D690" s="516" t="n"/>
      <c r="E690" s="516" t="n"/>
      <c r="F690" s="516" t="n"/>
      <c r="G690" s="516" t="n"/>
      <c r="H690" s="516" t="n"/>
      <c r="I690" s="516" t="n"/>
      <c r="J690" s="516" t="n"/>
    </row>
    <row r="691">
      <c r="A691" s="516" t="n"/>
      <c r="B691" s="516" t="n"/>
      <c r="C691" s="516" t="n"/>
      <c r="D691" s="516" t="n"/>
      <c r="E691" s="516" t="n"/>
      <c r="F691" s="516" t="n"/>
      <c r="G691" s="516" t="n"/>
      <c r="H691" s="516" t="n"/>
      <c r="I691" s="516" t="n"/>
      <c r="J691" s="516" t="n"/>
    </row>
    <row r="692">
      <c r="A692" s="516" t="n"/>
      <c r="B692" s="516" t="n"/>
      <c r="C692" s="516" t="n"/>
      <c r="D692" s="516" t="n"/>
      <c r="E692" s="516" t="n"/>
      <c r="F692" s="516" t="n"/>
      <c r="G692" s="516" t="n"/>
      <c r="H692" s="516" t="n"/>
      <c r="I692" s="516" t="n"/>
      <c r="J692" s="516" t="n"/>
    </row>
    <row r="693">
      <c r="A693" s="516" t="n"/>
      <c r="B693" s="516" t="n"/>
      <c r="C693" s="516" t="n"/>
      <c r="D693" s="516" t="n"/>
      <c r="E693" s="516" t="n"/>
      <c r="F693" s="516" t="n"/>
      <c r="G693" s="516" t="n"/>
      <c r="H693" s="516" t="n"/>
      <c r="I693" s="516" t="n"/>
      <c r="J693" s="516" t="n"/>
    </row>
    <row r="694">
      <c r="A694" s="516" t="n"/>
      <c r="B694" s="516" t="n"/>
      <c r="C694" s="516" t="n"/>
      <c r="D694" s="516" t="n"/>
      <c r="E694" s="516" t="n"/>
      <c r="F694" s="516" t="n"/>
      <c r="G694" s="516" t="n"/>
      <c r="H694" s="516" t="n"/>
      <c r="I694" s="516" t="n"/>
      <c r="J694" s="516" t="n"/>
    </row>
    <row r="695">
      <c r="A695" s="516" t="n"/>
      <c r="B695" s="516" t="n"/>
      <c r="C695" s="516" t="n"/>
      <c r="D695" s="516" t="n"/>
      <c r="E695" s="516" t="n"/>
      <c r="F695" s="516" t="n"/>
      <c r="G695" s="516" t="n"/>
      <c r="H695" s="516" t="n"/>
      <c r="I695" s="516" t="n"/>
      <c r="J695" s="516" t="n"/>
    </row>
    <row r="696">
      <c r="A696" s="516" t="n"/>
      <c r="B696" s="516" t="n"/>
      <c r="C696" s="516" t="n"/>
      <c r="D696" s="516" t="n"/>
      <c r="E696" s="516" t="n"/>
      <c r="F696" s="516" t="n"/>
      <c r="G696" s="516" t="n"/>
      <c r="H696" s="516" t="n"/>
      <c r="I696" s="516" t="n"/>
      <c r="J696" s="516" t="n"/>
    </row>
    <row r="697">
      <c r="A697" s="516" t="n"/>
      <c r="B697" s="516" t="n"/>
      <c r="C697" s="516" t="n"/>
      <c r="D697" s="516" t="n"/>
      <c r="E697" s="516" t="n"/>
      <c r="F697" s="516" t="n"/>
      <c r="G697" s="516" t="n"/>
      <c r="H697" s="516" t="n"/>
      <c r="I697" s="516" t="n"/>
      <c r="J697" s="516" t="n"/>
    </row>
    <row r="698">
      <c r="A698" s="516" t="n"/>
      <c r="B698" s="516" t="n"/>
      <c r="C698" s="516" t="n"/>
      <c r="D698" s="516" t="n"/>
      <c r="E698" s="516" t="n"/>
      <c r="F698" s="516" t="n"/>
      <c r="G698" s="516" t="n"/>
      <c r="H698" s="516" t="n"/>
      <c r="I698" s="516" t="n"/>
      <c r="J698" s="516" t="n"/>
    </row>
    <row r="699">
      <c r="A699" s="516" t="n"/>
      <c r="B699" s="516" t="n"/>
      <c r="C699" s="516" t="n"/>
      <c r="D699" s="516" t="n"/>
      <c r="E699" s="516" t="n"/>
      <c r="F699" s="516" t="n"/>
      <c r="G699" s="516" t="n"/>
      <c r="H699" s="516" t="n"/>
      <c r="I699" s="516" t="n"/>
      <c r="J699" s="516" t="n"/>
    </row>
    <row r="700">
      <c r="A700" s="516" t="n"/>
      <c r="B700" s="516" t="n"/>
      <c r="C700" s="516" t="n"/>
      <c r="D700" s="516" t="n"/>
      <c r="E700" s="516" t="n"/>
      <c r="F700" s="516" t="n"/>
      <c r="G700" s="516" t="n"/>
      <c r="H700" s="516" t="n"/>
      <c r="I700" s="516" t="n"/>
      <c r="J700" s="516" t="n"/>
    </row>
    <row r="701">
      <c r="A701" s="516" t="n"/>
      <c r="B701" s="516" t="n"/>
      <c r="C701" s="516" t="n"/>
      <c r="D701" s="516" t="n"/>
      <c r="E701" s="516" t="n"/>
      <c r="F701" s="516" t="n"/>
      <c r="G701" s="516" t="n"/>
      <c r="H701" s="516" t="n"/>
      <c r="I701" s="516" t="n"/>
      <c r="J701" s="516" t="n"/>
    </row>
    <row r="702">
      <c r="A702" s="516" t="n"/>
      <c r="B702" s="516" t="n"/>
      <c r="C702" s="516" t="n"/>
      <c r="D702" s="516" t="n"/>
      <c r="E702" s="516" t="n"/>
      <c r="F702" s="516" t="n"/>
      <c r="G702" s="516" t="n"/>
      <c r="H702" s="516" t="n"/>
      <c r="I702" s="516" t="n"/>
      <c r="J702" s="516" t="n"/>
    </row>
    <row r="703">
      <c r="A703" s="516" t="n"/>
      <c r="B703" s="516" t="n"/>
      <c r="C703" s="516" t="n"/>
      <c r="D703" s="516" t="n"/>
      <c r="E703" s="516" t="n"/>
      <c r="F703" s="516" t="n"/>
      <c r="G703" s="516" t="n"/>
      <c r="H703" s="516" t="n"/>
      <c r="I703" s="516" t="n"/>
      <c r="J703" s="516" t="n"/>
    </row>
    <row r="704">
      <c r="A704" s="516" t="n"/>
      <c r="B704" s="516" t="n"/>
      <c r="C704" s="516" t="n"/>
      <c r="D704" s="516" t="n"/>
      <c r="E704" s="516" t="n"/>
      <c r="F704" s="516" t="n"/>
      <c r="G704" s="516" t="n"/>
      <c r="H704" s="516" t="n"/>
      <c r="I704" s="516" t="n"/>
      <c r="J704" s="516" t="n"/>
    </row>
    <row r="705">
      <c r="A705" s="516" t="n"/>
      <c r="B705" s="516" t="n"/>
      <c r="C705" s="516" t="n"/>
      <c r="D705" s="516" t="n"/>
      <c r="E705" s="516" t="n"/>
      <c r="F705" s="516" t="n"/>
      <c r="G705" s="516" t="n"/>
      <c r="H705" s="516" t="n"/>
      <c r="I705" s="516" t="n"/>
      <c r="J705" s="516" t="n"/>
    </row>
    <row r="706">
      <c r="A706" s="516" t="n"/>
      <c r="B706" s="516" t="n"/>
      <c r="C706" s="516" t="n"/>
      <c r="D706" s="516" t="n"/>
      <c r="E706" s="516" t="n"/>
      <c r="F706" s="516" t="n"/>
      <c r="G706" s="516" t="n"/>
      <c r="H706" s="516" t="n"/>
      <c r="I706" s="516" t="n"/>
      <c r="J706" s="516" t="n"/>
    </row>
    <row r="707">
      <c r="A707" s="516" t="n"/>
      <c r="B707" s="516" t="n"/>
      <c r="C707" s="516" t="n"/>
      <c r="D707" s="516" t="n"/>
      <c r="E707" s="516" t="n"/>
      <c r="F707" s="516" t="n"/>
      <c r="G707" s="516" t="n"/>
      <c r="H707" s="516" t="n"/>
      <c r="I707" s="516" t="n"/>
      <c r="J707" s="516" t="n"/>
    </row>
    <row r="708">
      <c r="A708" s="516" t="n"/>
      <c r="B708" s="516" t="n"/>
      <c r="C708" s="516" t="n"/>
      <c r="D708" s="516" t="n"/>
      <c r="E708" s="516" t="n"/>
      <c r="F708" s="516" t="n"/>
      <c r="G708" s="516" t="n"/>
      <c r="H708" s="516" t="n"/>
      <c r="I708" s="516" t="n"/>
      <c r="J708" s="516" t="n"/>
    </row>
    <row r="709">
      <c r="A709" s="516" t="n"/>
      <c r="B709" s="516" t="n"/>
      <c r="C709" s="516" t="n"/>
      <c r="D709" s="516" t="n"/>
      <c r="E709" s="516" t="n"/>
      <c r="F709" s="516" t="n"/>
      <c r="G709" s="516" t="n"/>
      <c r="H709" s="516" t="n"/>
      <c r="I709" s="516" t="n"/>
      <c r="J709" s="516" t="n"/>
    </row>
    <row r="710">
      <c r="A710" s="516" t="n"/>
      <c r="B710" s="516" t="n"/>
      <c r="C710" s="516" t="n"/>
      <c r="D710" s="516" t="n"/>
      <c r="E710" s="516" t="n"/>
      <c r="F710" s="516" t="n"/>
      <c r="G710" s="516" t="n"/>
      <c r="H710" s="516" t="n"/>
      <c r="I710" s="516" t="n"/>
      <c r="J710" s="516" t="n"/>
    </row>
    <row r="711">
      <c r="A711" s="516" t="n"/>
      <c r="B711" s="516" t="n"/>
      <c r="C711" s="516" t="n"/>
      <c r="D711" s="516" t="n"/>
      <c r="E711" s="516" t="n"/>
      <c r="F711" s="516" t="n"/>
      <c r="G711" s="516" t="n"/>
      <c r="H711" s="516" t="n"/>
      <c r="I711" s="516" t="n"/>
      <c r="J711" s="516" t="n"/>
    </row>
    <row r="712">
      <c r="A712" s="516" t="n"/>
      <c r="B712" s="516" t="n"/>
      <c r="C712" s="516" t="n"/>
      <c r="D712" s="516" t="n"/>
      <c r="E712" s="516" t="n"/>
      <c r="F712" s="516" t="n"/>
      <c r="G712" s="516" t="n"/>
      <c r="H712" s="516" t="n"/>
      <c r="I712" s="516" t="n"/>
      <c r="J712" s="516" t="n"/>
    </row>
    <row r="713">
      <c r="A713" s="516" t="n"/>
      <c r="B713" s="516" t="n"/>
      <c r="C713" s="516" t="n"/>
      <c r="D713" s="516" t="n"/>
      <c r="E713" s="516" t="n"/>
      <c r="F713" s="516" t="n"/>
      <c r="G713" s="516" t="n"/>
      <c r="H713" s="516" t="n"/>
      <c r="I713" s="516" t="n"/>
      <c r="J713" s="516" t="n"/>
    </row>
    <row r="714">
      <c r="A714" s="516" t="n"/>
      <c r="B714" s="516" t="n"/>
      <c r="C714" s="516" t="n"/>
      <c r="D714" s="516" t="n"/>
      <c r="E714" s="516" t="n"/>
      <c r="F714" s="516" t="n"/>
      <c r="G714" s="516" t="n"/>
      <c r="H714" s="516" t="n"/>
      <c r="I714" s="516" t="n"/>
      <c r="J714" s="516" t="n"/>
    </row>
    <row r="715">
      <c r="A715" s="516" t="n"/>
      <c r="B715" s="516" t="n"/>
      <c r="C715" s="516" t="n"/>
      <c r="D715" s="516" t="n"/>
      <c r="E715" s="516" t="n"/>
      <c r="F715" s="516" t="n"/>
      <c r="G715" s="516" t="n"/>
      <c r="H715" s="516" t="n"/>
      <c r="I715" s="516" t="n"/>
      <c r="J715" s="516" t="n"/>
    </row>
    <row r="716">
      <c r="A716" s="516" t="n"/>
      <c r="B716" s="516" t="n"/>
      <c r="C716" s="516" t="n"/>
      <c r="D716" s="516" t="n"/>
      <c r="E716" s="516" t="n"/>
      <c r="F716" s="516" t="n"/>
      <c r="G716" s="516" t="n"/>
      <c r="H716" s="516" t="n"/>
      <c r="I716" s="516" t="n"/>
      <c r="J716" s="516" t="n"/>
    </row>
    <row r="717">
      <c r="A717" s="516" t="n"/>
      <c r="B717" s="516" t="n"/>
      <c r="C717" s="516" t="n"/>
      <c r="D717" s="516" t="n"/>
      <c r="E717" s="516" t="n"/>
      <c r="F717" s="516" t="n"/>
      <c r="G717" s="516" t="n"/>
      <c r="H717" s="516" t="n"/>
      <c r="I717" s="516" t="n"/>
      <c r="J717" s="516" t="n"/>
    </row>
    <row r="718">
      <c r="A718" s="516" t="n"/>
      <c r="B718" s="516" t="n"/>
      <c r="C718" s="516" t="n"/>
      <c r="D718" s="516" t="n"/>
      <c r="E718" s="516" t="n"/>
      <c r="F718" s="516" t="n"/>
      <c r="G718" s="516" t="n"/>
      <c r="H718" s="516" t="n"/>
      <c r="I718" s="516" t="n"/>
      <c r="J718" s="516" t="n"/>
    </row>
    <row r="719">
      <c r="A719" s="516" t="n"/>
      <c r="B719" s="516" t="n"/>
      <c r="C719" s="516" t="n"/>
      <c r="D719" s="516" t="n"/>
      <c r="E719" s="516" t="n"/>
      <c r="F719" s="516" t="n"/>
      <c r="G719" s="516" t="n"/>
      <c r="H719" s="516" t="n"/>
      <c r="I719" s="516" t="n"/>
      <c r="J719" s="516" t="n"/>
    </row>
    <row r="720">
      <c r="A720" s="516" t="n"/>
      <c r="B720" s="516" t="n"/>
      <c r="C720" s="516" t="n"/>
      <c r="D720" s="516" t="n"/>
      <c r="E720" s="516" t="n"/>
      <c r="F720" s="516" t="n"/>
      <c r="G720" s="516" t="n"/>
      <c r="H720" s="516" t="n"/>
      <c r="I720" s="516" t="n"/>
      <c r="J720" s="516" t="n"/>
    </row>
    <row r="721">
      <c r="A721" s="516" t="n"/>
      <c r="B721" s="516" t="n"/>
      <c r="C721" s="516" t="n"/>
      <c r="D721" s="516" t="n"/>
      <c r="E721" s="516" t="n"/>
      <c r="F721" s="516" t="n"/>
      <c r="G721" s="516" t="n"/>
      <c r="H721" s="516" t="n"/>
      <c r="I721" s="516" t="n"/>
      <c r="J721" s="516" t="n"/>
    </row>
    <row r="722">
      <c r="A722" s="516" t="n"/>
      <c r="B722" s="516" t="n"/>
      <c r="C722" s="516" t="n"/>
      <c r="D722" s="516" t="n"/>
      <c r="E722" s="516" t="n"/>
      <c r="F722" s="516" t="n"/>
      <c r="G722" s="516" t="n"/>
      <c r="H722" s="516" t="n"/>
      <c r="I722" s="516" t="n"/>
      <c r="J722" s="516" t="n"/>
    </row>
    <row r="723">
      <c r="A723" s="516" t="n"/>
      <c r="B723" s="516" t="n"/>
      <c r="C723" s="516" t="n"/>
      <c r="D723" s="516" t="n"/>
      <c r="E723" s="516" t="n"/>
      <c r="F723" s="516" t="n"/>
      <c r="G723" s="516" t="n"/>
      <c r="H723" s="516" t="n"/>
      <c r="I723" s="516" t="n"/>
      <c r="J723" s="516" t="n"/>
    </row>
    <row r="724">
      <c r="A724" s="516" t="n"/>
      <c r="B724" s="516" t="n"/>
      <c r="C724" s="516" t="n"/>
      <c r="D724" s="516" t="n"/>
      <c r="E724" s="516" t="n"/>
      <c r="F724" s="516" t="n"/>
      <c r="G724" s="516" t="n"/>
      <c r="H724" s="516" t="n"/>
      <c r="I724" s="516" t="n"/>
      <c r="J724" s="516" t="n"/>
    </row>
    <row r="725">
      <c r="A725" s="516" t="n"/>
      <c r="B725" s="516" t="n"/>
      <c r="C725" s="516" t="n"/>
      <c r="D725" s="516" t="n"/>
      <c r="E725" s="516" t="n"/>
      <c r="F725" s="516" t="n"/>
      <c r="G725" s="516" t="n"/>
      <c r="H725" s="516" t="n"/>
      <c r="I725" s="516" t="n"/>
      <c r="J725" s="516" t="n"/>
    </row>
    <row r="726">
      <c r="A726" s="516" t="n"/>
      <c r="B726" s="516" t="n"/>
      <c r="C726" s="516" t="n"/>
      <c r="D726" s="516" t="n"/>
      <c r="E726" s="516" t="n"/>
      <c r="F726" s="516" t="n"/>
      <c r="G726" s="516" t="n"/>
      <c r="H726" s="516" t="n"/>
      <c r="I726" s="516" t="n"/>
      <c r="J726" s="516" t="n"/>
    </row>
    <row r="727">
      <c r="A727" s="516" t="n"/>
      <c r="B727" s="516" t="n"/>
      <c r="C727" s="516" t="n"/>
      <c r="D727" s="516" t="n"/>
      <c r="E727" s="516" t="n"/>
      <c r="F727" s="516" t="n"/>
      <c r="G727" s="516" t="n"/>
      <c r="H727" s="516" t="n"/>
      <c r="I727" s="516" t="n"/>
      <c r="J727" s="516" t="n"/>
    </row>
    <row r="728">
      <c r="A728" s="516" t="n"/>
      <c r="B728" s="516" t="n"/>
      <c r="C728" s="516" t="n"/>
      <c r="D728" s="516" t="n"/>
      <c r="E728" s="516" t="n"/>
      <c r="F728" s="516" t="n"/>
      <c r="G728" s="516" t="n"/>
      <c r="H728" s="516" t="n"/>
      <c r="I728" s="516" t="n"/>
      <c r="J728" s="516" t="n"/>
    </row>
    <row r="729">
      <c r="A729" s="516" t="n"/>
      <c r="B729" s="516" t="n"/>
      <c r="C729" s="516" t="n"/>
      <c r="D729" s="516" t="n"/>
      <c r="E729" s="516" t="n"/>
      <c r="F729" s="516" t="n"/>
      <c r="G729" s="516" t="n"/>
      <c r="H729" s="516" t="n"/>
      <c r="I729" s="516" t="n"/>
      <c r="J729" s="516" t="n"/>
    </row>
    <row r="730">
      <c r="A730" s="516" t="n"/>
      <c r="B730" s="516" t="n"/>
      <c r="C730" s="516" t="n"/>
      <c r="D730" s="516" t="n"/>
      <c r="E730" s="516" t="n"/>
      <c r="F730" s="516" t="n"/>
      <c r="G730" s="516" t="n"/>
      <c r="H730" s="516" t="n"/>
      <c r="I730" s="516" t="n"/>
      <c r="J730" s="516" t="n"/>
    </row>
    <row r="731">
      <c r="A731" s="516" t="n"/>
      <c r="B731" s="516" t="n"/>
      <c r="C731" s="516" t="n"/>
      <c r="D731" s="516" t="n"/>
      <c r="E731" s="516" t="n"/>
      <c r="F731" s="516" t="n"/>
      <c r="G731" s="516" t="n"/>
      <c r="H731" s="516" t="n"/>
      <c r="I731" s="516" t="n"/>
      <c r="J731" s="516" t="n"/>
    </row>
    <row r="732">
      <c r="A732" s="516" t="n"/>
      <c r="B732" s="516" t="n"/>
      <c r="C732" s="516" t="n"/>
      <c r="D732" s="516" t="n"/>
      <c r="E732" s="516" t="n"/>
      <c r="F732" s="516" t="n"/>
      <c r="G732" s="516" t="n"/>
      <c r="H732" s="516" t="n"/>
      <c r="I732" s="516" t="n"/>
      <c r="J732" s="516" t="n"/>
    </row>
    <row r="733">
      <c r="A733" s="516" t="n"/>
      <c r="B733" s="516" t="n"/>
      <c r="C733" s="516" t="n"/>
      <c r="D733" s="516" t="n"/>
      <c r="E733" s="516" t="n"/>
      <c r="F733" s="516" t="n"/>
      <c r="G733" s="516" t="n"/>
      <c r="H733" s="516" t="n"/>
      <c r="I733" s="516" t="n"/>
      <c r="J733" s="516" t="n"/>
    </row>
    <row r="734">
      <c r="A734" s="516" t="n"/>
      <c r="B734" s="516" t="n"/>
      <c r="C734" s="516" t="n"/>
      <c r="D734" s="516" t="n"/>
      <c r="E734" s="516" t="n"/>
      <c r="F734" s="516" t="n"/>
      <c r="G734" s="516" t="n"/>
      <c r="H734" s="516" t="n"/>
      <c r="I734" s="516" t="n"/>
      <c r="J734" s="516" t="n"/>
    </row>
    <row r="735">
      <c r="A735" s="516" t="n"/>
      <c r="B735" s="516" t="n"/>
      <c r="C735" s="516" t="n"/>
      <c r="D735" s="516" t="n"/>
      <c r="E735" s="516" t="n"/>
      <c r="F735" s="516" t="n"/>
      <c r="G735" s="516" t="n"/>
      <c r="H735" s="516" t="n"/>
      <c r="I735" s="516" t="n"/>
      <c r="J735" s="516" t="n"/>
    </row>
    <row r="736">
      <c r="A736" s="516" t="n"/>
      <c r="B736" s="516" t="n"/>
      <c r="C736" s="516" t="n"/>
      <c r="D736" s="516" t="n"/>
      <c r="E736" s="516" t="n"/>
      <c r="F736" s="516" t="n"/>
      <c r="G736" s="516" t="n"/>
      <c r="H736" s="516" t="n"/>
      <c r="I736" s="516" t="n"/>
      <c r="J736" s="516" t="n"/>
    </row>
    <row r="737">
      <c r="A737" s="516" t="n"/>
      <c r="B737" s="516" t="n"/>
      <c r="C737" s="516" t="n"/>
      <c r="D737" s="516" t="n"/>
      <c r="E737" s="516" t="n"/>
      <c r="F737" s="516" t="n"/>
      <c r="G737" s="516" t="n"/>
      <c r="H737" s="516" t="n"/>
      <c r="I737" s="516" t="n"/>
      <c r="J737" s="516" t="n"/>
    </row>
    <row r="738">
      <c r="A738" s="516" t="n"/>
      <c r="B738" s="516" t="n"/>
      <c r="C738" s="516" t="n"/>
      <c r="D738" s="516" t="n"/>
      <c r="E738" s="516" t="n"/>
      <c r="F738" s="516" t="n"/>
      <c r="G738" s="516" t="n"/>
      <c r="H738" s="516" t="n"/>
      <c r="I738" s="516" t="n"/>
      <c r="J738" s="516" t="n"/>
    </row>
    <row r="739">
      <c r="A739" s="516" t="n"/>
      <c r="B739" s="516" t="n"/>
      <c r="C739" s="516" t="n"/>
      <c r="D739" s="516" t="n"/>
      <c r="E739" s="516" t="n"/>
      <c r="F739" s="516" t="n"/>
      <c r="G739" s="516" t="n"/>
      <c r="H739" s="516" t="n"/>
      <c r="I739" s="516" t="n"/>
      <c r="J739" s="516" t="n"/>
    </row>
    <row r="740">
      <c r="A740" s="516" t="n"/>
      <c r="B740" s="516" t="n"/>
      <c r="C740" s="516" t="n"/>
      <c r="D740" s="516" t="n"/>
      <c r="E740" s="516" t="n"/>
      <c r="F740" s="516" t="n"/>
      <c r="G740" s="516" t="n"/>
      <c r="H740" s="516" t="n"/>
      <c r="I740" s="516" t="n"/>
      <c r="J740" s="516" t="n"/>
    </row>
    <row r="741">
      <c r="A741" s="516" t="n"/>
      <c r="B741" s="516" t="n"/>
      <c r="C741" s="516" t="n"/>
      <c r="D741" s="516" t="n"/>
      <c r="E741" s="516" t="n"/>
      <c r="F741" s="516" t="n"/>
      <c r="G741" s="516" t="n"/>
      <c r="H741" s="516" t="n"/>
      <c r="I741" s="516" t="n"/>
      <c r="J741" s="516" t="n"/>
    </row>
    <row r="742">
      <c r="A742" s="516" t="n"/>
      <c r="B742" s="516" t="n"/>
      <c r="C742" s="516" t="n"/>
      <c r="D742" s="516" t="n"/>
      <c r="E742" s="516" t="n"/>
      <c r="F742" s="516" t="n"/>
      <c r="G742" s="516" t="n"/>
      <c r="H742" s="516" t="n"/>
      <c r="I742" s="516" t="n"/>
      <c r="J742" s="516" t="n"/>
    </row>
    <row r="743">
      <c r="A743" s="516" t="n"/>
      <c r="B743" s="516" t="n"/>
      <c r="C743" s="516" t="n"/>
      <c r="D743" s="516" t="n"/>
      <c r="E743" s="516" t="n"/>
      <c r="F743" s="516" t="n"/>
      <c r="G743" s="516" t="n"/>
      <c r="H743" s="516" t="n"/>
      <c r="I743" s="516" t="n"/>
      <c r="J743" s="516" t="n"/>
    </row>
    <row r="744">
      <c r="A744" s="516" t="n"/>
      <c r="B744" s="516" t="n"/>
      <c r="C744" s="516" t="n"/>
      <c r="D744" s="516" t="n"/>
      <c r="E744" s="516" t="n"/>
      <c r="F744" s="516" t="n"/>
      <c r="G744" s="516" t="n"/>
      <c r="H744" s="516" t="n"/>
      <c r="I744" s="516" t="n"/>
      <c r="J744" s="516" t="n"/>
    </row>
    <row r="745">
      <c r="A745" s="516" t="n"/>
      <c r="B745" s="516" t="n"/>
      <c r="C745" s="516" t="n"/>
      <c r="D745" s="516" t="n"/>
      <c r="E745" s="516" t="n"/>
      <c r="F745" s="516" t="n"/>
      <c r="G745" s="516" t="n"/>
      <c r="H745" s="516" t="n"/>
      <c r="I745" s="516" t="n"/>
      <c r="J745" s="516" t="n"/>
    </row>
    <row r="746">
      <c r="A746" s="516" t="n"/>
      <c r="B746" s="516" t="n"/>
      <c r="C746" s="516" t="n"/>
      <c r="D746" s="516" t="n"/>
      <c r="E746" s="516" t="n"/>
      <c r="F746" s="516" t="n"/>
      <c r="G746" s="516" t="n"/>
      <c r="H746" s="516" t="n"/>
      <c r="I746" s="516" t="n"/>
      <c r="J746" s="516" t="n"/>
    </row>
    <row r="747">
      <c r="A747" s="516" t="n"/>
      <c r="B747" s="516" t="n"/>
      <c r="C747" s="516" t="n"/>
      <c r="D747" s="516" t="n"/>
      <c r="E747" s="516" t="n"/>
      <c r="F747" s="516" t="n"/>
      <c r="G747" s="516" t="n"/>
      <c r="H747" s="516" t="n"/>
      <c r="I747" s="516" t="n"/>
      <c r="J747" s="516" t="n"/>
    </row>
    <row r="748">
      <c r="A748" s="516" t="n"/>
      <c r="B748" s="516" t="n"/>
      <c r="C748" s="516" t="n"/>
      <c r="D748" s="516" t="n"/>
      <c r="E748" s="516" t="n"/>
      <c r="F748" s="516" t="n"/>
      <c r="G748" s="516" t="n"/>
      <c r="H748" s="516" t="n"/>
      <c r="I748" s="516" t="n"/>
      <c r="J748" s="516" t="n"/>
    </row>
    <row r="749">
      <c r="A749" s="516" t="n"/>
      <c r="B749" s="516" t="n"/>
      <c r="C749" s="516" t="n"/>
      <c r="D749" s="516" t="n"/>
      <c r="E749" s="516" t="n"/>
      <c r="F749" s="516" t="n"/>
      <c r="G749" s="516" t="n"/>
      <c r="H749" s="516" t="n"/>
      <c r="I749" s="516" t="n"/>
      <c r="J749" s="516" t="n"/>
    </row>
    <row r="750">
      <c r="A750" s="516" t="n"/>
      <c r="B750" s="516" t="n"/>
      <c r="C750" s="516" t="n"/>
      <c r="D750" s="516" t="n"/>
      <c r="E750" s="516" t="n"/>
      <c r="F750" s="516" t="n"/>
      <c r="G750" s="516" t="n"/>
      <c r="H750" s="516" t="n"/>
      <c r="I750" s="516" t="n"/>
      <c r="J750" s="516" t="n"/>
    </row>
    <row r="751">
      <c r="A751" s="516" t="n"/>
      <c r="B751" s="516" t="n"/>
      <c r="C751" s="516" t="n"/>
      <c r="D751" s="516" t="n"/>
      <c r="E751" s="516" t="n"/>
      <c r="F751" s="516" t="n"/>
      <c r="G751" s="516" t="n"/>
      <c r="H751" s="516" t="n"/>
      <c r="I751" s="516" t="n"/>
      <c r="J751" s="516" t="n"/>
    </row>
    <row r="752">
      <c r="A752" s="516" t="n"/>
      <c r="B752" s="516" t="n"/>
      <c r="C752" s="516" t="n"/>
      <c r="D752" s="516" t="n"/>
      <c r="E752" s="516" t="n"/>
      <c r="F752" s="516" t="n"/>
      <c r="G752" s="516" t="n"/>
      <c r="H752" s="516" t="n"/>
      <c r="I752" s="516" t="n"/>
      <c r="J752" s="516" t="n"/>
    </row>
    <row r="753">
      <c r="A753" s="516" t="n"/>
      <c r="B753" s="516" t="n"/>
      <c r="C753" s="516" t="n"/>
      <c r="D753" s="516" t="n"/>
      <c r="E753" s="516" t="n"/>
      <c r="F753" s="516" t="n"/>
      <c r="G753" s="516" t="n"/>
      <c r="H753" s="516" t="n"/>
      <c r="I753" s="516" t="n"/>
      <c r="J753" s="516" t="n"/>
    </row>
    <row r="754">
      <c r="A754" s="516" t="n"/>
      <c r="B754" s="516" t="n"/>
      <c r="C754" s="516" t="n"/>
      <c r="D754" s="516" t="n"/>
      <c r="E754" s="516" t="n"/>
      <c r="F754" s="516" t="n"/>
      <c r="G754" s="516" t="n"/>
      <c r="H754" s="516" t="n"/>
      <c r="I754" s="516" t="n"/>
      <c r="J754" s="516" t="n"/>
    </row>
    <row r="755">
      <c r="A755" s="516" t="n"/>
      <c r="B755" s="516" t="n"/>
      <c r="C755" s="516" t="n"/>
      <c r="D755" s="516" t="n"/>
      <c r="E755" s="516" t="n"/>
      <c r="F755" s="516" t="n"/>
      <c r="G755" s="516" t="n"/>
      <c r="H755" s="516" t="n"/>
      <c r="I755" s="516" t="n"/>
      <c r="J755" s="516" t="n"/>
    </row>
    <row r="756">
      <c r="A756" s="516" t="n"/>
      <c r="B756" s="516" t="n"/>
      <c r="C756" s="516" t="n"/>
      <c r="D756" s="516" t="n"/>
      <c r="E756" s="516" t="n"/>
      <c r="F756" s="516" t="n"/>
      <c r="G756" s="516" t="n"/>
      <c r="H756" s="516" t="n"/>
      <c r="I756" s="516" t="n"/>
      <c r="J756" s="516" t="n"/>
    </row>
    <row r="757">
      <c r="A757" s="516" t="n"/>
      <c r="B757" s="516" t="n"/>
      <c r="C757" s="516" t="n"/>
      <c r="D757" s="516" t="n"/>
      <c r="E757" s="516" t="n"/>
      <c r="F757" s="516" t="n"/>
      <c r="G757" s="516" t="n"/>
      <c r="H757" s="516" t="n"/>
      <c r="I757" s="516" t="n"/>
      <c r="J757" s="516" t="n"/>
    </row>
    <row r="758">
      <c r="A758" s="516" t="n"/>
      <c r="B758" s="516" t="n"/>
      <c r="C758" s="516" t="n"/>
      <c r="D758" s="516" t="n"/>
      <c r="E758" s="516" t="n"/>
      <c r="F758" s="516" t="n"/>
      <c r="G758" s="516" t="n"/>
      <c r="H758" s="516" t="n"/>
      <c r="I758" s="516" t="n"/>
      <c r="J758" s="516" t="n"/>
    </row>
    <row r="759">
      <c r="A759" s="516" t="n"/>
      <c r="B759" s="516" t="n"/>
      <c r="C759" s="516" t="n"/>
      <c r="D759" s="516" t="n"/>
      <c r="E759" s="516" t="n"/>
      <c r="F759" s="516" t="n"/>
      <c r="G759" s="516" t="n"/>
      <c r="H759" s="516" t="n"/>
      <c r="I759" s="516" t="n"/>
      <c r="J759" s="516" t="n"/>
    </row>
    <row r="760">
      <c r="A760" s="516" t="n"/>
      <c r="B760" s="516" t="n"/>
      <c r="C760" s="516" t="n"/>
      <c r="D760" s="516" t="n"/>
      <c r="E760" s="516" t="n"/>
      <c r="F760" s="516" t="n"/>
      <c r="G760" s="516" t="n"/>
      <c r="H760" s="516" t="n"/>
      <c r="I760" s="516" t="n"/>
      <c r="J760" s="516" t="n"/>
    </row>
    <row r="761">
      <c r="A761" s="516" t="n"/>
      <c r="B761" s="516" t="n"/>
      <c r="C761" s="516" t="n"/>
      <c r="D761" s="516" t="n"/>
      <c r="E761" s="516" t="n"/>
      <c r="F761" s="516" t="n"/>
      <c r="G761" s="516" t="n"/>
      <c r="H761" s="516" t="n"/>
      <c r="I761" s="516" t="n"/>
      <c r="J761" s="516" t="n"/>
    </row>
    <row r="762">
      <c r="A762" s="516" t="n"/>
      <c r="B762" s="516" t="n"/>
      <c r="C762" s="516" t="n"/>
      <c r="D762" s="516" t="n"/>
      <c r="E762" s="516" t="n"/>
      <c r="F762" s="516" t="n"/>
      <c r="G762" s="516" t="n"/>
      <c r="H762" s="516" t="n"/>
      <c r="I762" s="516" t="n"/>
      <c r="J762" s="516" t="n"/>
    </row>
    <row r="763">
      <c r="A763" s="516" t="n"/>
      <c r="B763" s="516" t="n"/>
      <c r="C763" s="516" t="n"/>
      <c r="D763" s="516" t="n"/>
      <c r="E763" s="516" t="n"/>
      <c r="F763" s="516" t="n"/>
      <c r="G763" s="516" t="n"/>
      <c r="H763" s="516" t="n"/>
      <c r="I763" s="516" t="n"/>
      <c r="J763" s="516" t="n"/>
    </row>
    <row r="764">
      <c r="A764" s="516" t="n"/>
      <c r="B764" s="516" t="n"/>
      <c r="C764" s="516" t="n"/>
      <c r="D764" s="516" t="n"/>
      <c r="E764" s="516" t="n"/>
      <c r="F764" s="516" t="n"/>
      <c r="G764" s="516" t="n"/>
      <c r="H764" s="516" t="n"/>
      <c r="I764" s="516" t="n"/>
      <c r="J764" s="516" t="n"/>
    </row>
    <row r="765">
      <c r="A765" s="516" t="n"/>
      <c r="B765" s="516" t="n"/>
      <c r="C765" s="516" t="n"/>
      <c r="D765" s="516" t="n"/>
      <c r="E765" s="516" t="n"/>
      <c r="F765" s="516" t="n"/>
      <c r="G765" s="516" t="n"/>
      <c r="H765" s="516" t="n"/>
      <c r="I765" s="516" t="n"/>
      <c r="J765" s="516" t="n"/>
    </row>
    <row r="766">
      <c r="A766" s="516" t="n"/>
      <c r="B766" s="516" t="n"/>
      <c r="C766" s="516" t="n"/>
      <c r="D766" s="516" t="n"/>
      <c r="E766" s="516" t="n"/>
      <c r="F766" s="516" t="n"/>
      <c r="G766" s="516" t="n"/>
      <c r="H766" s="516" t="n"/>
      <c r="I766" s="516" t="n"/>
      <c r="J766" s="516" t="n"/>
    </row>
    <row r="767">
      <c r="A767" s="516" t="n"/>
      <c r="B767" s="516" t="n"/>
      <c r="C767" s="516" t="n"/>
      <c r="D767" s="516" t="n"/>
      <c r="E767" s="516" t="n"/>
      <c r="F767" s="516" t="n"/>
      <c r="G767" s="516" t="n"/>
      <c r="H767" s="516" t="n"/>
      <c r="I767" s="516" t="n"/>
      <c r="J767" s="516" t="n"/>
    </row>
    <row r="768">
      <c r="A768" s="516" t="n"/>
      <c r="B768" s="516" t="n"/>
      <c r="C768" s="516" t="n"/>
      <c r="D768" s="516" t="n"/>
      <c r="E768" s="516" t="n"/>
      <c r="F768" s="516" t="n"/>
      <c r="G768" s="516" t="n"/>
      <c r="H768" s="516" t="n"/>
      <c r="I768" s="516" t="n"/>
      <c r="J768" s="516" t="n"/>
    </row>
    <row r="769">
      <c r="A769" s="516" t="n"/>
      <c r="B769" s="516" t="n"/>
      <c r="C769" s="516" t="n"/>
      <c r="D769" s="516" t="n"/>
      <c r="E769" s="516" t="n"/>
      <c r="F769" s="516" t="n"/>
      <c r="G769" s="516" t="n"/>
      <c r="H769" s="516" t="n"/>
      <c r="I769" s="516" t="n"/>
      <c r="J769" s="516" t="n"/>
    </row>
    <row r="770">
      <c r="A770" s="516" t="n"/>
      <c r="B770" s="516" t="n"/>
      <c r="C770" s="516" t="n"/>
      <c r="D770" s="516" t="n"/>
      <c r="E770" s="516" t="n"/>
      <c r="F770" s="516" t="n"/>
      <c r="G770" s="516" t="n"/>
      <c r="H770" s="516" t="n"/>
      <c r="I770" s="516" t="n"/>
      <c r="J770" s="516" t="n"/>
    </row>
    <row r="771">
      <c r="A771" s="516" t="n"/>
      <c r="B771" s="516" t="n"/>
      <c r="C771" s="516" t="n"/>
      <c r="D771" s="516" t="n"/>
      <c r="E771" s="516" t="n"/>
      <c r="F771" s="516" t="n"/>
      <c r="G771" s="516" t="n"/>
      <c r="H771" s="516" t="n"/>
      <c r="I771" s="516" t="n"/>
      <c r="J771" s="516" t="n"/>
    </row>
    <row r="772">
      <c r="A772" s="516" t="n"/>
      <c r="B772" s="516" t="n"/>
      <c r="C772" s="516" t="n"/>
      <c r="D772" s="516" t="n"/>
      <c r="E772" s="516" t="n"/>
      <c r="F772" s="516" t="n"/>
      <c r="G772" s="516" t="n"/>
      <c r="H772" s="516" t="n"/>
      <c r="I772" s="516" t="n"/>
      <c r="J772" s="516" t="n"/>
    </row>
    <row r="773">
      <c r="A773" s="516" t="n"/>
      <c r="B773" s="516" t="n"/>
      <c r="C773" s="516" t="n"/>
      <c r="D773" s="516" t="n"/>
      <c r="E773" s="516" t="n"/>
      <c r="F773" s="516" t="n"/>
      <c r="G773" s="516" t="n"/>
      <c r="H773" s="516" t="n"/>
      <c r="I773" s="516" t="n"/>
      <c r="J773" s="516" t="n"/>
    </row>
    <row r="774">
      <c r="A774" s="516" t="n"/>
      <c r="B774" s="516" t="n"/>
      <c r="C774" s="516" t="n"/>
      <c r="D774" s="516" t="n"/>
      <c r="E774" s="516" t="n"/>
      <c r="F774" s="516" t="n"/>
      <c r="G774" s="516" t="n"/>
      <c r="H774" s="516" t="n"/>
      <c r="I774" s="516" t="n"/>
      <c r="J774" s="516" t="n"/>
    </row>
    <row r="775">
      <c r="A775" s="516" t="n"/>
      <c r="B775" s="516" t="n"/>
      <c r="C775" s="516" t="n"/>
      <c r="D775" s="516" t="n"/>
      <c r="E775" s="516" t="n"/>
      <c r="F775" s="516" t="n"/>
      <c r="G775" s="516" t="n"/>
      <c r="H775" s="516" t="n"/>
      <c r="I775" s="516" t="n"/>
      <c r="J775" s="516" t="n"/>
    </row>
    <row r="776">
      <c r="A776" s="516" t="n"/>
      <c r="B776" s="516" t="n"/>
      <c r="C776" s="516" t="n"/>
      <c r="D776" s="516" t="n"/>
      <c r="E776" s="516" t="n"/>
      <c r="F776" s="516" t="n"/>
      <c r="G776" s="516" t="n"/>
      <c r="H776" s="516" t="n"/>
      <c r="I776" s="516" t="n"/>
      <c r="J776" s="516" t="n"/>
    </row>
    <row r="777">
      <c r="A777" s="516" t="n"/>
      <c r="B777" s="516" t="n"/>
      <c r="C777" s="516" t="n"/>
      <c r="D777" s="516" t="n"/>
      <c r="E777" s="516" t="n"/>
      <c r="F777" s="516" t="n"/>
      <c r="G777" s="516" t="n"/>
      <c r="H777" s="516" t="n"/>
      <c r="I777" s="516" t="n"/>
      <c r="J777" s="516" t="n"/>
    </row>
    <row r="778">
      <c r="A778" s="516" t="n"/>
      <c r="B778" s="516" t="n"/>
      <c r="C778" s="516" t="n"/>
      <c r="D778" s="516" t="n"/>
      <c r="E778" s="516" t="n"/>
      <c r="F778" s="516" t="n"/>
      <c r="G778" s="516" t="n"/>
      <c r="H778" s="516" t="n"/>
      <c r="I778" s="516" t="n"/>
      <c r="J778" s="516" t="n"/>
    </row>
    <row r="779">
      <c r="A779" s="516" t="n"/>
      <c r="B779" s="516" t="n"/>
      <c r="C779" s="516" t="n"/>
      <c r="D779" s="516" t="n"/>
      <c r="E779" s="516" t="n"/>
      <c r="F779" s="516" t="n"/>
      <c r="G779" s="516" t="n"/>
      <c r="H779" s="516" t="n"/>
      <c r="I779" s="516" t="n"/>
      <c r="J779" s="516" t="n"/>
    </row>
    <row r="780">
      <c r="A780" s="516" t="n"/>
      <c r="B780" s="516" t="n"/>
      <c r="C780" s="516" t="n"/>
      <c r="D780" s="516" t="n"/>
      <c r="E780" s="516" t="n"/>
      <c r="F780" s="516" t="n"/>
      <c r="G780" s="516" t="n"/>
      <c r="H780" s="516" t="n"/>
      <c r="I780" s="516" t="n"/>
      <c r="J780" s="516" t="n"/>
    </row>
    <row r="781">
      <c r="A781" s="516" t="n"/>
      <c r="B781" s="516" t="n"/>
      <c r="C781" s="516" t="n"/>
      <c r="D781" s="516" t="n"/>
      <c r="E781" s="516" t="n"/>
      <c r="F781" s="516" t="n"/>
      <c r="G781" s="516" t="n"/>
      <c r="H781" s="516" t="n"/>
      <c r="I781" s="516" t="n"/>
      <c r="J781" s="516" t="n"/>
    </row>
    <row r="782">
      <c r="A782" s="516" t="n"/>
      <c r="B782" s="516" t="n"/>
      <c r="C782" s="516" t="n"/>
      <c r="D782" s="516" t="n"/>
      <c r="E782" s="516" t="n"/>
      <c r="F782" s="516" t="n"/>
      <c r="G782" s="516" t="n"/>
      <c r="H782" s="516" t="n"/>
      <c r="I782" s="516" t="n"/>
      <c r="J782" s="516" t="n"/>
    </row>
    <row r="783">
      <c r="A783" s="516" t="n"/>
      <c r="B783" s="516" t="n"/>
      <c r="C783" s="516" t="n"/>
      <c r="D783" s="516" t="n"/>
      <c r="E783" s="516" t="n"/>
      <c r="F783" s="516" t="n"/>
      <c r="G783" s="516" t="n"/>
      <c r="H783" s="516" t="n"/>
      <c r="I783" s="516" t="n"/>
      <c r="J783" s="516" t="n"/>
    </row>
    <row r="784">
      <c r="A784" s="516" t="n"/>
      <c r="B784" s="516" t="n"/>
      <c r="C784" s="516" t="n"/>
      <c r="D784" s="516" t="n"/>
      <c r="E784" s="516" t="n"/>
      <c r="F784" s="516" t="n"/>
      <c r="G784" s="516" t="n"/>
      <c r="H784" s="516" t="n"/>
      <c r="I784" s="516" t="n"/>
      <c r="J784" s="516" t="n"/>
    </row>
    <row r="785">
      <c r="A785" s="516" t="n"/>
      <c r="B785" s="516" t="n"/>
      <c r="C785" s="516" t="n"/>
      <c r="D785" s="516" t="n"/>
      <c r="E785" s="516" t="n"/>
      <c r="F785" s="516" t="n"/>
      <c r="G785" s="516" t="n"/>
      <c r="H785" s="516" t="n"/>
      <c r="I785" s="516" t="n"/>
      <c r="J785" s="516" t="n"/>
    </row>
    <row r="786">
      <c r="A786" s="516" t="n"/>
      <c r="B786" s="516" t="n"/>
      <c r="C786" s="516" t="n"/>
      <c r="D786" s="516" t="n"/>
      <c r="E786" s="516" t="n"/>
      <c r="F786" s="516" t="n"/>
      <c r="G786" s="516" t="n"/>
      <c r="H786" s="516" t="n"/>
      <c r="I786" s="516" t="n"/>
      <c r="J786" s="516" t="n"/>
    </row>
    <row r="787">
      <c r="A787" s="516" t="n"/>
      <c r="B787" s="516" t="n"/>
      <c r="C787" s="516" t="n"/>
      <c r="D787" s="516" t="n"/>
      <c r="E787" s="516" t="n"/>
      <c r="F787" s="516" t="n"/>
      <c r="G787" s="516" t="n"/>
      <c r="H787" s="516" t="n"/>
      <c r="I787" s="516" t="n"/>
      <c r="J787" s="516" t="n"/>
    </row>
    <row r="788">
      <c r="A788" s="516" t="n"/>
      <c r="B788" s="516" t="n"/>
      <c r="C788" s="516" t="n"/>
      <c r="D788" s="516" t="n"/>
      <c r="E788" s="516" t="n"/>
      <c r="F788" s="516" t="n"/>
      <c r="G788" s="516" t="n"/>
      <c r="H788" s="516" t="n"/>
      <c r="I788" s="516" t="n"/>
      <c r="J788" s="516" t="n"/>
    </row>
    <row r="789">
      <c r="A789" s="516" t="n"/>
      <c r="B789" s="516" t="n"/>
      <c r="C789" s="516" t="n"/>
      <c r="D789" s="516" t="n"/>
      <c r="E789" s="516" t="n"/>
      <c r="F789" s="516" t="n"/>
      <c r="G789" s="516" t="n"/>
      <c r="H789" s="516" t="n"/>
      <c r="I789" s="516" t="n"/>
      <c r="J789" s="516" t="n"/>
    </row>
    <row r="790">
      <c r="A790" s="516" t="n"/>
      <c r="B790" s="516" t="n"/>
      <c r="C790" s="516" t="n"/>
      <c r="D790" s="516" t="n"/>
      <c r="E790" s="516" t="n"/>
      <c r="F790" s="516" t="n"/>
      <c r="G790" s="516" t="n"/>
      <c r="H790" s="516" t="n"/>
      <c r="I790" s="516" t="n"/>
      <c r="J790" s="516" t="n"/>
    </row>
    <row r="791">
      <c r="A791" s="516" t="n"/>
      <c r="B791" s="516" t="n"/>
      <c r="C791" s="516" t="n"/>
      <c r="D791" s="516" t="n"/>
      <c r="E791" s="516" t="n"/>
      <c r="F791" s="516" t="n"/>
      <c r="G791" s="516" t="n"/>
      <c r="H791" s="516" t="n"/>
      <c r="I791" s="516" t="n"/>
      <c r="J791" s="516" t="n"/>
    </row>
    <row r="792">
      <c r="A792" s="516" t="n"/>
      <c r="B792" s="516" t="n"/>
      <c r="C792" s="516" t="n"/>
      <c r="D792" s="516" t="n"/>
      <c r="E792" s="516" t="n"/>
      <c r="F792" s="516" t="n"/>
      <c r="G792" s="516" t="n"/>
      <c r="H792" s="516" t="n"/>
      <c r="I792" s="516" t="n"/>
      <c r="J792" s="516" t="n"/>
    </row>
    <row r="793">
      <c r="A793" s="516" t="n"/>
      <c r="B793" s="516" t="n"/>
      <c r="C793" s="516" t="n"/>
      <c r="D793" s="516" t="n"/>
      <c r="E793" s="516" t="n"/>
      <c r="F793" s="516" t="n"/>
      <c r="G793" s="516" t="n"/>
      <c r="H793" s="516" t="n"/>
      <c r="I793" s="516" t="n"/>
      <c r="J793" s="516" t="n"/>
    </row>
    <row r="794">
      <c r="A794" s="516" t="n"/>
      <c r="B794" s="516" t="n"/>
      <c r="C794" s="516" t="n"/>
      <c r="D794" s="516" t="n"/>
      <c r="E794" s="516" t="n"/>
      <c r="F794" s="516" t="n"/>
      <c r="G794" s="516" t="n"/>
      <c r="H794" s="516" t="n"/>
      <c r="I794" s="516" t="n"/>
      <c r="J794" s="516" t="n"/>
    </row>
    <row r="795">
      <c r="A795" s="516" t="n"/>
      <c r="B795" s="516" t="n"/>
      <c r="C795" s="516" t="n"/>
      <c r="D795" s="516" t="n"/>
      <c r="E795" s="516" t="n"/>
      <c r="F795" s="516" t="n"/>
      <c r="G795" s="516" t="n"/>
      <c r="H795" s="516" t="n"/>
      <c r="I795" s="516" t="n"/>
      <c r="J795" s="516" t="n"/>
    </row>
    <row r="796">
      <c r="A796" s="516" t="n"/>
      <c r="B796" s="516" t="n"/>
      <c r="C796" s="516" t="n"/>
      <c r="D796" s="516" t="n"/>
      <c r="E796" s="516" t="n"/>
      <c r="F796" s="516" t="n"/>
      <c r="G796" s="516" t="n"/>
      <c r="H796" s="516" t="n"/>
      <c r="I796" s="516" t="n"/>
      <c r="J796" s="516" t="n"/>
    </row>
    <row r="797">
      <c r="A797" s="516" t="n"/>
      <c r="B797" s="516" t="n"/>
      <c r="C797" s="516" t="n"/>
      <c r="D797" s="516" t="n"/>
      <c r="E797" s="516" t="n"/>
      <c r="F797" s="516" t="n"/>
      <c r="G797" s="516" t="n"/>
      <c r="H797" s="516" t="n"/>
      <c r="I797" s="516" t="n"/>
      <c r="J797" s="516" t="n"/>
    </row>
    <row r="798">
      <c r="A798" s="516" t="n"/>
      <c r="B798" s="516" t="n"/>
      <c r="C798" s="516" t="n"/>
      <c r="D798" s="516" t="n"/>
      <c r="E798" s="516" t="n"/>
      <c r="F798" s="516" t="n"/>
      <c r="G798" s="516" t="n"/>
      <c r="H798" s="516" t="n"/>
      <c r="I798" s="516" t="n"/>
      <c r="J798" s="516" t="n"/>
    </row>
    <row r="799">
      <c r="A799" s="516" t="n"/>
      <c r="B799" s="516" t="n"/>
      <c r="C799" s="516" t="n"/>
      <c r="D799" s="516" t="n"/>
      <c r="E799" s="516" t="n"/>
      <c r="F799" s="516" t="n"/>
      <c r="G799" s="516" t="n"/>
      <c r="H799" s="516" t="n"/>
      <c r="I799" s="516" t="n"/>
      <c r="J799" s="516" t="n"/>
    </row>
    <row r="800">
      <c r="A800" s="516" t="n"/>
      <c r="B800" s="516" t="n"/>
      <c r="C800" s="516" t="n"/>
      <c r="D800" s="516" t="n"/>
      <c r="E800" s="516" t="n"/>
      <c r="F800" s="516" t="n"/>
      <c r="G800" s="516" t="n"/>
      <c r="H800" s="516" t="n"/>
      <c r="I800" s="516" t="n"/>
      <c r="J800" s="516" t="n"/>
    </row>
    <row r="801">
      <c r="A801" s="516" t="n"/>
      <c r="B801" s="516" t="n"/>
      <c r="C801" s="516" t="n"/>
      <c r="D801" s="516" t="n"/>
      <c r="E801" s="516" t="n"/>
      <c r="F801" s="516" t="n"/>
      <c r="G801" s="516" t="n"/>
      <c r="H801" s="516" t="n"/>
      <c r="I801" s="516" t="n"/>
      <c r="J801" s="516" t="n"/>
    </row>
    <row r="802">
      <c r="A802" s="516" t="n"/>
      <c r="B802" s="516" t="n"/>
      <c r="C802" s="516" t="n"/>
      <c r="D802" s="516" t="n"/>
      <c r="E802" s="516" t="n"/>
      <c r="F802" s="516" t="n"/>
      <c r="G802" s="516" t="n"/>
      <c r="H802" s="516" t="n"/>
      <c r="I802" s="516" t="n"/>
      <c r="J802" s="516" t="n"/>
    </row>
    <row r="803">
      <c r="A803" s="516" t="n"/>
      <c r="B803" s="516" t="n"/>
      <c r="C803" s="516" t="n"/>
      <c r="D803" s="516" t="n"/>
      <c r="E803" s="516" t="n"/>
      <c r="F803" s="516" t="n"/>
      <c r="G803" s="516" t="n"/>
      <c r="H803" s="516" t="n"/>
      <c r="I803" s="516" t="n"/>
      <c r="J803" s="516" t="n"/>
    </row>
    <row r="804">
      <c r="A804" s="516" t="n"/>
      <c r="B804" s="516" t="n"/>
      <c r="C804" s="516" t="n"/>
      <c r="D804" s="516" t="n"/>
      <c r="E804" s="516" t="n"/>
      <c r="F804" s="516" t="n"/>
      <c r="G804" s="516" t="n"/>
      <c r="H804" s="516" t="n"/>
      <c r="I804" s="516" t="n"/>
      <c r="J804" s="516" t="n"/>
    </row>
    <row r="805">
      <c r="A805" s="516" t="n"/>
      <c r="B805" s="516" t="n"/>
      <c r="C805" s="516" t="n"/>
      <c r="D805" s="516" t="n"/>
      <c r="E805" s="516" t="n"/>
      <c r="F805" s="516" t="n"/>
      <c r="G805" s="516" t="n"/>
      <c r="H805" s="516" t="n"/>
      <c r="I805" s="516" t="n"/>
      <c r="J805" s="516" t="n"/>
    </row>
    <row r="806">
      <c r="A806" s="516" t="n"/>
      <c r="B806" s="516" t="n"/>
      <c r="C806" s="516" t="n"/>
      <c r="D806" s="516" t="n"/>
      <c r="E806" s="516" t="n"/>
      <c r="F806" s="516" t="n"/>
      <c r="G806" s="516" t="n"/>
      <c r="H806" s="516" t="n"/>
      <c r="I806" s="516" t="n"/>
      <c r="J806" s="516" t="n"/>
    </row>
    <row r="807">
      <c r="A807" s="516" t="n"/>
      <c r="B807" s="516" t="n"/>
      <c r="C807" s="516" t="n"/>
      <c r="D807" s="516" t="n"/>
      <c r="E807" s="516" t="n"/>
      <c r="F807" s="516" t="n"/>
      <c r="G807" s="516" t="n"/>
      <c r="H807" s="516" t="n"/>
      <c r="I807" s="516" t="n"/>
      <c r="J807" s="516" t="n"/>
    </row>
    <row r="808">
      <c r="A808" s="516" t="n"/>
      <c r="B808" s="516" t="n"/>
      <c r="C808" s="516" t="n"/>
      <c r="D808" s="516" t="n"/>
      <c r="E808" s="516" t="n"/>
      <c r="F808" s="516" t="n"/>
      <c r="G808" s="516" t="n"/>
      <c r="H808" s="516" t="n"/>
      <c r="I808" s="516" t="n"/>
      <c r="J808" s="516" t="n"/>
    </row>
    <row r="809">
      <c r="A809" s="516" t="n"/>
      <c r="B809" s="516" t="n"/>
      <c r="C809" s="516" t="n"/>
      <c r="D809" s="516" t="n"/>
      <c r="E809" s="516" t="n"/>
      <c r="F809" s="516" t="n"/>
      <c r="G809" s="516" t="n"/>
      <c r="H809" s="516" t="n"/>
      <c r="I809" s="516" t="n"/>
      <c r="J809" s="516" t="n"/>
    </row>
    <row r="810">
      <c r="A810" s="516" t="n"/>
      <c r="B810" s="516" t="n"/>
      <c r="C810" s="516" t="n"/>
      <c r="D810" s="516" t="n"/>
      <c r="E810" s="516" t="n"/>
      <c r="F810" s="516" t="n"/>
      <c r="G810" s="516" t="n"/>
      <c r="H810" s="516" t="n"/>
      <c r="I810" s="516" t="n"/>
      <c r="J810" s="516" t="n"/>
    </row>
    <row r="811">
      <c r="A811" s="516" t="n"/>
      <c r="B811" s="516" t="n"/>
      <c r="C811" s="516" t="n"/>
      <c r="D811" s="516" t="n"/>
      <c r="E811" s="516" t="n"/>
      <c r="F811" s="516" t="n"/>
      <c r="G811" s="516" t="n"/>
      <c r="H811" s="516" t="n"/>
      <c r="I811" s="516" t="n"/>
      <c r="J811" s="516" t="n"/>
    </row>
    <row r="812">
      <c r="A812" s="516" t="n"/>
      <c r="B812" s="516" t="n"/>
      <c r="C812" s="516" t="n"/>
      <c r="D812" s="516" t="n"/>
      <c r="E812" s="516" t="n"/>
      <c r="F812" s="516" t="n"/>
      <c r="G812" s="516" t="n"/>
      <c r="H812" s="516" t="n"/>
      <c r="I812" s="516" t="n"/>
      <c r="J812" s="516" t="n"/>
    </row>
    <row r="813">
      <c r="A813" s="516" t="n"/>
      <c r="B813" s="516" t="n"/>
      <c r="C813" s="516" t="n"/>
      <c r="D813" s="516" t="n"/>
      <c r="E813" s="516" t="n"/>
      <c r="F813" s="516" t="n"/>
      <c r="G813" s="516" t="n"/>
      <c r="H813" s="516" t="n"/>
      <c r="I813" s="516" t="n"/>
      <c r="J813" s="516" t="n"/>
    </row>
    <row r="814">
      <c r="A814" s="516" t="n"/>
      <c r="B814" s="516" t="n"/>
      <c r="C814" s="516" t="n"/>
      <c r="D814" s="516" t="n"/>
      <c r="E814" s="516" t="n"/>
      <c r="F814" s="516" t="n"/>
      <c r="G814" s="516" t="n"/>
      <c r="H814" s="516" t="n"/>
      <c r="I814" s="516" t="n"/>
      <c r="J814" s="516" t="n"/>
    </row>
    <row r="815">
      <c r="A815" s="516" t="n"/>
      <c r="B815" s="516" t="n"/>
      <c r="C815" s="516" t="n"/>
      <c r="D815" s="516" t="n"/>
      <c r="E815" s="516" t="n"/>
      <c r="F815" s="516" t="n"/>
      <c r="G815" s="516" t="n"/>
      <c r="H815" s="516" t="n"/>
      <c r="I815" s="516" t="n"/>
      <c r="J815" s="516" t="n"/>
    </row>
    <row r="816">
      <c r="A816" s="516" t="n"/>
      <c r="B816" s="516" t="n"/>
      <c r="C816" s="516" t="n"/>
      <c r="D816" s="516" t="n"/>
      <c r="E816" s="516" t="n"/>
      <c r="F816" s="516" t="n"/>
      <c r="G816" s="516" t="n"/>
      <c r="H816" s="516" t="n"/>
      <c r="I816" s="516" t="n"/>
      <c r="J816" s="516" t="n"/>
    </row>
    <row r="817">
      <c r="A817" s="516" t="n"/>
      <c r="B817" s="516" t="n"/>
      <c r="C817" s="516" t="n"/>
      <c r="D817" s="516" t="n"/>
      <c r="E817" s="516" t="n"/>
      <c r="F817" s="516" t="n"/>
      <c r="G817" s="516" t="n"/>
      <c r="H817" s="516" t="n"/>
      <c r="I817" s="516" t="n"/>
      <c r="J817" s="516" t="n"/>
    </row>
    <row r="818">
      <c r="A818" s="516" t="n"/>
      <c r="B818" s="516" t="n"/>
      <c r="C818" s="516" t="n"/>
      <c r="D818" s="516" t="n"/>
      <c r="E818" s="516" t="n"/>
      <c r="F818" s="516" t="n"/>
      <c r="G818" s="516" t="n"/>
      <c r="H818" s="516" t="n"/>
      <c r="I818" s="516" t="n"/>
      <c r="J818" s="516" t="n"/>
    </row>
    <row r="819">
      <c r="A819" s="516" t="n"/>
      <c r="B819" s="516" t="n"/>
      <c r="C819" s="516" t="n"/>
      <c r="D819" s="516" t="n"/>
      <c r="E819" s="516" t="n"/>
      <c r="F819" s="516" t="n"/>
      <c r="G819" s="516" t="n"/>
      <c r="H819" s="516" t="n"/>
      <c r="I819" s="516" t="n"/>
      <c r="J819" s="516" t="n"/>
    </row>
    <row r="820">
      <c r="A820" s="516" t="n"/>
      <c r="B820" s="516" t="n"/>
      <c r="C820" s="516" t="n"/>
      <c r="D820" s="516" t="n"/>
      <c r="E820" s="516" t="n"/>
      <c r="F820" s="516" t="n"/>
      <c r="G820" s="516" t="n"/>
      <c r="H820" s="516" t="n"/>
      <c r="I820" s="516" t="n"/>
      <c r="J820" s="516" t="n"/>
    </row>
    <row r="821">
      <c r="A821" s="516" t="n"/>
      <c r="B821" s="516" t="n"/>
      <c r="C821" s="516" t="n"/>
      <c r="D821" s="516" t="n"/>
      <c r="E821" s="516" t="n"/>
      <c r="F821" s="516" t="n"/>
      <c r="G821" s="516" t="n"/>
      <c r="H821" s="516" t="n"/>
      <c r="I821" s="516" t="n"/>
      <c r="J821" s="516" t="n"/>
    </row>
    <row r="822">
      <c r="A822" s="516" t="n"/>
      <c r="B822" s="516" t="n"/>
      <c r="C822" s="516" t="n"/>
      <c r="D822" s="516" t="n"/>
      <c r="E822" s="516" t="n"/>
      <c r="F822" s="516" t="n"/>
      <c r="G822" s="516" t="n"/>
      <c r="H822" s="516" t="n"/>
      <c r="I822" s="516" t="n"/>
      <c r="J822" s="516" t="n"/>
    </row>
    <row r="823">
      <c r="A823" s="516" t="n"/>
      <c r="B823" s="516" t="n"/>
      <c r="C823" s="516" t="n"/>
      <c r="D823" s="516" t="n"/>
      <c r="E823" s="516" t="n"/>
      <c r="F823" s="516" t="n"/>
      <c r="G823" s="516" t="n"/>
      <c r="H823" s="516" t="n"/>
      <c r="I823" s="516" t="n"/>
      <c r="J823" s="516" t="n"/>
    </row>
    <row r="824">
      <c r="A824" s="516" t="n"/>
      <c r="B824" s="516" t="n"/>
      <c r="C824" s="516" t="n"/>
      <c r="D824" s="516" t="n"/>
      <c r="E824" s="516" t="n"/>
      <c r="F824" s="516" t="n"/>
      <c r="G824" s="516" t="n"/>
      <c r="H824" s="516" t="n"/>
      <c r="I824" s="516" t="n"/>
      <c r="J824" s="516" t="n"/>
    </row>
    <row r="825">
      <c r="A825" s="516" t="n"/>
      <c r="B825" s="516" t="n"/>
      <c r="C825" s="516" t="n"/>
      <c r="D825" s="516" t="n"/>
      <c r="E825" s="516" t="n"/>
      <c r="F825" s="516" t="n"/>
      <c r="G825" s="516" t="n"/>
      <c r="H825" s="516" t="n"/>
      <c r="I825" s="516" t="n"/>
      <c r="J825" s="516" t="n"/>
    </row>
    <row r="826">
      <c r="A826" s="516" t="n"/>
      <c r="B826" s="516" t="n"/>
      <c r="C826" s="516" t="n"/>
      <c r="D826" s="516" t="n"/>
      <c r="E826" s="516" t="n"/>
      <c r="F826" s="516" t="n"/>
      <c r="G826" s="516" t="n"/>
      <c r="H826" s="516" t="n"/>
      <c r="I826" s="516" t="n"/>
      <c r="J826" s="516" t="n"/>
    </row>
    <row r="827">
      <c r="A827" s="516" t="n"/>
      <c r="B827" s="516" t="n"/>
      <c r="C827" s="516" t="n"/>
      <c r="D827" s="516" t="n"/>
      <c r="E827" s="516" t="n"/>
      <c r="F827" s="516" t="n"/>
      <c r="G827" s="516" t="n"/>
      <c r="H827" s="516" t="n"/>
      <c r="I827" s="516" t="n"/>
      <c r="J827" s="516" t="n"/>
    </row>
    <row r="828">
      <c r="A828" s="516" t="n"/>
      <c r="B828" s="516" t="n"/>
      <c r="C828" s="516" t="n"/>
      <c r="D828" s="516" t="n"/>
      <c r="E828" s="516" t="n"/>
      <c r="F828" s="516" t="n"/>
      <c r="G828" s="516" t="n"/>
      <c r="H828" s="516" t="n"/>
      <c r="I828" s="516" t="n"/>
      <c r="J828" s="516" t="n"/>
    </row>
    <row r="829">
      <c r="A829" s="516" t="n"/>
      <c r="B829" s="516" t="n"/>
      <c r="C829" s="516" t="n"/>
      <c r="D829" s="516" t="n"/>
      <c r="E829" s="516" t="n"/>
      <c r="F829" s="516" t="n"/>
      <c r="G829" s="516" t="n"/>
      <c r="H829" s="516" t="n"/>
      <c r="I829" s="516" t="n"/>
      <c r="J829" s="516" t="n"/>
    </row>
    <row r="830">
      <c r="A830" s="516" t="n"/>
      <c r="B830" s="516" t="n"/>
      <c r="C830" s="516" t="n"/>
      <c r="D830" s="516" t="n"/>
      <c r="E830" s="516" t="n"/>
      <c r="F830" s="516" t="n"/>
      <c r="G830" s="516" t="n"/>
      <c r="H830" s="516" t="n"/>
      <c r="I830" s="516" t="n"/>
      <c r="J830" s="516" t="n"/>
    </row>
    <row r="831">
      <c r="A831" s="516" t="n"/>
      <c r="B831" s="516" t="n"/>
      <c r="C831" s="516" t="n"/>
      <c r="D831" s="516" t="n"/>
      <c r="E831" s="516" t="n"/>
      <c r="F831" s="516" t="n"/>
      <c r="G831" s="516" t="n"/>
      <c r="H831" s="516" t="n"/>
      <c r="I831" s="516" t="n"/>
      <c r="J831" s="516" t="n"/>
    </row>
    <row r="832">
      <c r="A832" s="516" t="n"/>
      <c r="B832" s="516" t="n"/>
      <c r="C832" s="516" t="n"/>
      <c r="D832" s="516" t="n"/>
      <c r="E832" s="516" t="n"/>
      <c r="F832" s="516" t="n"/>
      <c r="G832" s="516" t="n"/>
      <c r="H832" s="516" t="n"/>
      <c r="I832" s="516" t="n"/>
      <c r="J832" s="516" t="n"/>
    </row>
    <row r="833">
      <c r="A833" s="516" t="n"/>
      <c r="B833" s="516" t="n"/>
      <c r="C833" s="516" t="n"/>
      <c r="D833" s="516" t="n"/>
      <c r="E833" s="516" t="n"/>
      <c r="F833" s="516" t="n"/>
      <c r="G833" s="516" t="n"/>
      <c r="H833" s="516" t="n"/>
      <c r="I833" s="516" t="n"/>
      <c r="J833" s="516" t="n"/>
    </row>
    <row r="834">
      <c r="A834" s="516" t="n"/>
      <c r="B834" s="516" t="n"/>
      <c r="C834" s="516" t="n"/>
      <c r="D834" s="516" t="n"/>
      <c r="E834" s="516" t="n"/>
      <c r="F834" s="516" t="n"/>
      <c r="G834" s="516" t="n"/>
      <c r="H834" s="516" t="n"/>
      <c r="I834" s="516" t="n"/>
      <c r="J834" s="516" t="n"/>
    </row>
    <row r="835">
      <c r="A835" s="516" t="n"/>
      <c r="B835" s="516" t="n"/>
      <c r="C835" s="516" t="n"/>
      <c r="D835" s="516" t="n"/>
      <c r="E835" s="516" t="n"/>
      <c r="F835" s="516" t="n"/>
      <c r="G835" s="516" t="n"/>
      <c r="H835" s="516" t="n"/>
      <c r="I835" s="516" t="n"/>
      <c r="J835" s="516" t="n"/>
    </row>
    <row r="836">
      <c r="A836" s="516" t="n"/>
      <c r="B836" s="516" t="n"/>
      <c r="C836" s="516" t="n"/>
      <c r="D836" s="516" t="n"/>
      <c r="E836" s="516" t="n"/>
      <c r="F836" s="516" t="n"/>
      <c r="G836" s="516" t="n"/>
      <c r="H836" s="516" t="n"/>
      <c r="I836" s="516" t="n"/>
      <c r="J836" s="516" t="n"/>
    </row>
    <row r="837">
      <c r="A837" s="516" t="n"/>
      <c r="B837" s="516" t="n"/>
      <c r="C837" s="516" t="n"/>
      <c r="D837" s="516" t="n"/>
      <c r="E837" s="516" t="n"/>
      <c r="F837" s="516" t="n"/>
      <c r="G837" s="516" t="n"/>
      <c r="H837" s="516" t="n"/>
      <c r="I837" s="516" t="n"/>
      <c r="J837" s="516" t="n"/>
    </row>
    <row r="838">
      <c r="A838" s="516" t="n"/>
      <c r="B838" s="516" t="n"/>
      <c r="C838" s="516" t="n"/>
      <c r="D838" s="516" t="n"/>
      <c r="E838" s="516" t="n"/>
      <c r="F838" s="516" t="n"/>
      <c r="G838" s="516" t="n"/>
      <c r="H838" s="516" t="n"/>
      <c r="I838" s="516" t="n"/>
      <c r="J838" s="516" t="n"/>
    </row>
    <row r="839">
      <c r="A839" s="516" t="n"/>
      <c r="B839" s="516" t="n"/>
      <c r="C839" s="516" t="n"/>
      <c r="D839" s="516" t="n"/>
      <c r="E839" s="516" t="n"/>
      <c r="F839" s="516" t="n"/>
      <c r="G839" s="516" t="n"/>
      <c r="H839" s="516" t="n"/>
      <c r="I839" s="516" t="n"/>
      <c r="J839" s="516" t="n"/>
    </row>
    <row r="840">
      <c r="A840" s="516" t="n"/>
      <c r="B840" s="516" t="n"/>
      <c r="C840" s="516" t="n"/>
      <c r="D840" s="516" t="n"/>
      <c r="E840" s="516" t="n"/>
      <c r="F840" s="516" t="n"/>
      <c r="G840" s="516" t="n"/>
      <c r="H840" s="516" t="n"/>
      <c r="I840" s="516" t="n"/>
      <c r="J840" s="516" t="n"/>
    </row>
    <row r="841">
      <c r="A841" s="516" t="n"/>
      <c r="B841" s="516" t="n"/>
      <c r="C841" s="516" t="n"/>
      <c r="D841" s="516" t="n"/>
      <c r="E841" s="516" t="n"/>
      <c r="F841" s="516" t="n"/>
      <c r="G841" s="516" t="n"/>
      <c r="H841" s="516" t="n"/>
      <c r="I841" s="516" t="n"/>
      <c r="J841" s="516" t="n"/>
    </row>
    <row r="842">
      <c r="A842" s="516" t="n"/>
      <c r="B842" s="516" t="n"/>
      <c r="C842" s="516" t="n"/>
      <c r="D842" s="516" t="n"/>
      <c r="E842" s="516" t="n"/>
      <c r="F842" s="516" t="n"/>
      <c r="G842" s="516" t="n"/>
      <c r="H842" s="516" t="n"/>
      <c r="I842" s="516" t="n"/>
      <c r="J842" s="516" t="n"/>
    </row>
    <row r="843">
      <c r="A843" s="516" t="n"/>
      <c r="B843" s="516" t="n"/>
      <c r="C843" s="516" t="n"/>
      <c r="D843" s="516" t="n"/>
      <c r="E843" s="516" t="n"/>
      <c r="F843" s="516" t="n"/>
      <c r="G843" s="516" t="n"/>
      <c r="H843" s="516" t="n"/>
      <c r="I843" s="516" t="n"/>
      <c r="J843" s="516" t="n"/>
    </row>
    <row r="844">
      <c r="A844" s="516" t="n"/>
      <c r="B844" s="516" t="n"/>
      <c r="C844" s="516" t="n"/>
      <c r="D844" s="516" t="n"/>
      <c r="E844" s="516" t="n"/>
      <c r="F844" s="516" t="n"/>
      <c r="G844" s="516" t="n"/>
      <c r="H844" s="516" t="n"/>
      <c r="I844" s="516" t="n"/>
      <c r="J844" s="516" t="n"/>
    </row>
    <row r="845">
      <c r="A845" s="516" t="n"/>
      <c r="B845" s="516" t="n"/>
      <c r="C845" s="516" t="n"/>
      <c r="D845" s="516" t="n"/>
      <c r="E845" s="516" t="n"/>
      <c r="F845" s="516" t="n"/>
      <c r="G845" s="516" t="n"/>
      <c r="H845" s="516" t="n"/>
      <c r="I845" s="516" t="n"/>
      <c r="J845" s="516" t="n"/>
    </row>
    <row r="846">
      <c r="A846" s="516" t="n"/>
      <c r="B846" s="516" t="n"/>
      <c r="C846" s="516" t="n"/>
      <c r="D846" s="516" t="n"/>
      <c r="E846" s="516" t="n"/>
      <c r="F846" s="516" t="n"/>
      <c r="G846" s="516" t="n"/>
      <c r="H846" s="516" t="n"/>
      <c r="I846" s="516" t="n"/>
      <c r="J846" s="516" t="n"/>
    </row>
    <row r="847">
      <c r="A847" s="516" t="n"/>
      <c r="B847" s="516" t="n"/>
      <c r="C847" s="516" t="n"/>
      <c r="D847" s="516" t="n"/>
      <c r="E847" s="516" t="n"/>
      <c r="F847" s="516" t="n"/>
      <c r="G847" s="516" t="n"/>
      <c r="H847" s="516" t="n"/>
      <c r="I847" s="516" t="n"/>
      <c r="J847" s="516" t="n"/>
    </row>
    <row r="848">
      <c r="A848" s="516" t="n"/>
      <c r="B848" s="516" t="n"/>
      <c r="C848" s="516" t="n"/>
      <c r="D848" s="516" t="n"/>
      <c r="E848" s="516" t="n"/>
      <c r="F848" s="516" t="n"/>
      <c r="G848" s="516" t="n"/>
      <c r="H848" s="516" t="n"/>
      <c r="I848" s="516" t="n"/>
      <c r="J848" s="516" t="n"/>
    </row>
    <row r="849">
      <c r="A849" s="516" t="n"/>
      <c r="B849" s="516" t="n"/>
      <c r="C849" s="516" t="n"/>
      <c r="D849" s="516" t="n"/>
      <c r="E849" s="516" t="n"/>
      <c r="F849" s="516" t="n"/>
      <c r="G849" s="516" t="n"/>
      <c r="H849" s="516" t="n"/>
      <c r="I849" s="516" t="n"/>
      <c r="J849" s="516" t="n"/>
    </row>
    <row r="850">
      <c r="A850" s="516" t="n"/>
      <c r="B850" s="516" t="n"/>
      <c r="C850" s="516" t="n"/>
      <c r="D850" s="516" t="n"/>
      <c r="E850" s="516" t="n"/>
      <c r="F850" s="516" t="n"/>
      <c r="G850" s="516" t="n"/>
      <c r="H850" s="516" t="n"/>
      <c r="I850" s="516" t="n"/>
      <c r="J850" s="516" t="n"/>
    </row>
    <row r="851">
      <c r="A851" s="516" t="n"/>
      <c r="B851" s="516" t="n"/>
      <c r="C851" s="516" t="n"/>
      <c r="D851" s="516" t="n"/>
      <c r="E851" s="516" t="n"/>
      <c r="F851" s="516" t="n"/>
      <c r="G851" s="516" t="n"/>
      <c r="H851" s="516" t="n"/>
      <c r="I851" s="516" t="n"/>
      <c r="J851" s="516" t="n"/>
    </row>
    <row r="852">
      <c r="A852" s="516" t="n"/>
      <c r="B852" s="516" t="n"/>
      <c r="C852" s="516" t="n"/>
      <c r="D852" s="516" t="n"/>
      <c r="E852" s="516" t="n"/>
      <c r="F852" s="516" t="n"/>
      <c r="G852" s="516" t="n"/>
      <c r="H852" s="516" t="n"/>
      <c r="I852" s="516" t="n"/>
      <c r="J852" s="516" t="n"/>
    </row>
    <row r="853">
      <c r="A853" s="516" t="n"/>
      <c r="B853" s="516" t="n"/>
      <c r="C853" s="516" t="n"/>
      <c r="D853" s="516" t="n"/>
      <c r="E853" s="516" t="n"/>
      <c r="F853" s="516" t="n"/>
      <c r="G853" s="516" t="n"/>
      <c r="H853" s="516" t="n"/>
      <c r="I853" s="516" t="n"/>
      <c r="J853" s="516" t="n"/>
    </row>
    <row r="854">
      <c r="A854" s="516" t="n"/>
      <c r="B854" s="516" t="n"/>
      <c r="C854" s="516" t="n"/>
      <c r="D854" s="516" t="n"/>
      <c r="E854" s="516" t="n"/>
      <c r="F854" s="516" t="n"/>
      <c r="G854" s="516" t="n"/>
      <c r="H854" s="516" t="n"/>
      <c r="I854" s="516" t="n"/>
      <c r="J854" s="516" t="n"/>
    </row>
    <row r="855">
      <c r="A855" s="516" t="n"/>
      <c r="B855" s="516" t="n"/>
      <c r="C855" s="516" t="n"/>
      <c r="D855" s="516" t="n"/>
      <c r="E855" s="516" t="n"/>
      <c r="F855" s="516" t="n"/>
      <c r="G855" s="516" t="n"/>
      <c r="H855" s="516" t="n"/>
      <c r="I855" s="516" t="n"/>
      <c r="J855" s="516" t="n"/>
    </row>
    <row r="856">
      <c r="A856" s="516" t="n"/>
      <c r="B856" s="516" t="n"/>
      <c r="C856" s="516" t="n"/>
      <c r="D856" s="516" t="n"/>
      <c r="E856" s="516" t="n"/>
      <c r="F856" s="516" t="n"/>
      <c r="G856" s="516" t="n"/>
      <c r="H856" s="516" t="n"/>
      <c r="I856" s="516" t="n"/>
      <c r="J856" s="516" t="n"/>
    </row>
    <row r="857">
      <c r="A857" s="516" t="n"/>
      <c r="B857" s="516" t="n"/>
      <c r="C857" s="516" t="n"/>
      <c r="D857" s="516" t="n"/>
      <c r="E857" s="516" t="n"/>
      <c r="F857" s="516" t="n"/>
      <c r="G857" s="516" t="n"/>
      <c r="H857" s="516" t="n"/>
      <c r="I857" s="516" t="n"/>
      <c r="J857" s="516" t="n"/>
    </row>
    <row r="858">
      <c r="A858" s="516" t="n"/>
      <c r="B858" s="516" t="n"/>
      <c r="C858" s="516" t="n"/>
      <c r="D858" s="516" t="n"/>
      <c r="E858" s="516" t="n"/>
      <c r="F858" s="516" t="n"/>
      <c r="G858" s="516" t="n"/>
      <c r="H858" s="516" t="n"/>
      <c r="I858" s="516" t="n"/>
      <c r="J858" s="516" t="n"/>
    </row>
    <row r="859">
      <c r="A859" s="516" t="n"/>
      <c r="B859" s="516" t="n"/>
      <c r="C859" s="516" t="n"/>
      <c r="D859" s="516" t="n"/>
      <c r="E859" s="516" t="n"/>
      <c r="F859" s="516" t="n"/>
      <c r="G859" s="516" t="n"/>
      <c r="H859" s="516" t="n"/>
      <c r="I859" s="516" t="n"/>
      <c r="J859" s="516" t="n"/>
    </row>
    <row r="860">
      <c r="A860" s="516" t="n"/>
      <c r="B860" s="516" t="n"/>
      <c r="C860" s="516" t="n"/>
      <c r="D860" s="516" t="n"/>
      <c r="E860" s="516" t="n"/>
      <c r="F860" s="516" t="n"/>
      <c r="G860" s="516" t="n"/>
      <c r="H860" s="516" t="n"/>
      <c r="I860" s="516" t="n"/>
      <c r="J860" s="516" t="n"/>
    </row>
    <row r="861">
      <c r="A861" s="516" t="n"/>
      <c r="B861" s="516" t="n"/>
      <c r="C861" s="516" t="n"/>
      <c r="D861" s="516" t="n"/>
      <c r="E861" s="516" t="n"/>
      <c r="F861" s="516" t="n"/>
      <c r="G861" s="516" t="n"/>
      <c r="H861" s="516" t="n"/>
      <c r="I861" s="516" t="n"/>
      <c r="J861" s="516" t="n"/>
    </row>
    <row r="862">
      <c r="A862" s="516" t="n"/>
      <c r="B862" s="516" t="n"/>
      <c r="C862" s="516" t="n"/>
      <c r="D862" s="516" t="n"/>
      <c r="E862" s="516" t="n"/>
      <c r="F862" s="516" t="n"/>
      <c r="G862" s="516" t="n"/>
      <c r="H862" s="516" t="n"/>
      <c r="I862" s="516" t="n"/>
      <c r="J862" s="516" t="n"/>
    </row>
    <row r="863">
      <c r="A863" s="516" t="n"/>
      <c r="B863" s="516" t="n"/>
      <c r="C863" s="516" t="n"/>
      <c r="D863" s="516" t="n"/>
      <c r="E863" s="516" t="n"/>
      <c r="F863" s="516" t="n"/>
      <c r="G863" s="516" t="n"/>
      <c r="H863" s="516" t="n"/>
      <c r="I863" s="516" t="n"/>
      <c r="J863" s="516" t="n"/>
    </row>
    <row r="864">
      <c r="A864" s="516" t="n"/>
      <c r="B864" s="516" t="n"/>
      <c r="C864" s="516" t="n"/>
      <c r="D864" s="516" t="n"/>
      <c r="E864" s="516" t="n"/>
      <c r="F864" s="516" t="n"/>
      <c r="G864" s="516" t="n"/>
      <c r="H864" s="516" t="n"/>
      <c r="I864" s="516" t="n"/>
      <c r="J864" s="516" t="n"/>
    </row>
    <row r="865">
      <c r="A865" s="516" t="n"/>
      <c r="B865" s="516" t="n"/>
      <c r="C865" s="516" t="n"/>
      <c r="D865" s="516" t="n"/>
      <c r="E865" s="516" t="n"/>
      <c r="F865" s="516" t="n"/>
      <c r="G865" s="516" t="n"/>
      <c r="H865" s="516" t="n"/>
      <c r="I865" s="516" t="n"/>
      <c r="J865" s="516" t="n"/>
    </row>
    <row r="866">
      <c r="A866" s="516" t="n"/>
      <c r="B866" s="516" t="n"/>
      <c r="C866" s="516" t="n"/>
      <c r="D866" s="516" t="n"/>
      <c r="E866" s="516" t="n"/>
      <c r="F866" s="516" t="n"/>
      <c r="G866" s="516" t="n"/>
      <c r="H866" s="516" t="n"/>
      <c r="I866" s="516" t="n"/>
      <c r="J866" s="516" t="n"/>
    </row>
    <row r="867">
      <c r="A867" s="516" t="n"/>
      <c r="B867" s="516" t="n"/>
      <c r="C867" s="516" t="n"/>
      <c r="D867" s="516" t="n"/>
      <c r="E867" s="516" t="n"/>
      <c r="F867" s="516" t="n"/>
      <c r="G867" s="516" t="n"/>
      <c r="H867" s="516" t="n"/>
      <c r="I867" s="516" t="n"/>
      <c r="J867" s="516" t="n"/>
    </row>
    <row r="868">
      <c r="A868" s="516" t="n"/>
      <c r="B868" s="516" t="n"/>
      <c r="C868" s="516" t="n"/>
      <c r="D868" s="516" t="n"/>
      <c r="E868" s="516" t="n"/>
      <c r="F868" s="516" t="n"/>
      <c r="G868" s="516" t="n"/>
      <c r="H868" s="516" t="n"/>
      <c r="I868" s="516" t="n"/>
      <c r="J868" s="516" t="n"/>
    </row>
    <row r="869">
      <c r="A869" s="516" t="n"/>
      <c r="B869" s="516" t="n"/>
      <c r="C869" s="516" t="n"/>
      <c r="D869" s="516" t="n"/>
      <c r="E869" s="516" t="n"/>
      <c r="F869" s="516" t="n"/>
      <c r="G869" s="516" t="n"/>
      <c r="H869" s="516" t="n"/>
      <c r="I869" s="516" t="n"/>
      <c r="J869" s="516" t="n"/>
    </row>
    <row r="870">
      <c r="A870" s="516" t="n"/>
      <c r="B870" s="516" t="n"/>
      <c r="C870" s="516" t="n"/>
      <c r="D870" s="516" t="n"/>
      <c r="E870" s="516" t="n"/>
      <c r="F870" s="516" t="n"/>
      <c r="G870" s="516" t="n"/>
      <c r="H870" s="516" t="n"/>
      <c r="I870" s="516" t="n"/>
      <c r="J870" s="516" t="n"/>
    </row>
    <row r="871">
      <c r="A871" s="516" t="n"/>
      <c r="B871" s="516" t="n"/>
      <c r="C871" s="516" t="n"/>
      <c r="D871" s="516" t="n"/>
      <c r="E871" s="516" t="n"/>
      <c r="F871" s="516" t="n"/>
      <c r="G871" s="516" t="n"/>
      <c r="H871" s="516" t="n"/>
      <c r="I871" s="516" t="n"/>
      <c r="J871" s="516" t="n"/>
    </row>
    <row r="872">
      <c r="A872" s="516" t="n"/>
      <c r="B872" s="516" t="n"/>
      <c r="C872" s="516" t="n"/>
      <c r="D872" s="516" t="n"/>
      <c r="E872" s="516" t="n"/>
      <c r="F872" s="516" t="n"/>
      <c r="G872" s="516" t="n"/>
      <c r="H872" s="516" t="n"/>
      <c r="I872" s="516" t="n"/>
      <c r="J872" s="516" t="n"/>
    </row>
    <row r="873">
      <c r="A873" s="516" t="n"/>
      <c r="B873" s="516" t="n"/>
      <c r="C873" s="516" t="n"/>
      <c r="D873" s="516" t="n"/>
      <c r="E873" s="516" t="n"/>
      <c r="F873" s="516" t="n"/>
      <c r="G873" s="516" t="n"/>
      <c r="H873" s="516" t="n"/>
      <c r="I873" s="516" t="n"/>
      <c r="J873" s="516" t="n"/>
    </row>
    <row r="874">
      <c r="A874" s="516" t="n"/>
      <c r="B874" s="516" t="n"/>
      <c r="C874" s="516" t="n"/>
      <c r="D874" s="516" t="n"/>
      <c r="E874" s="516" t="n"/>
      <c r="F874" s="516" t="n"/>
      <c r="G874" s="516" t="n"/>
      <c r="H874" s="516" t="n"/>
      <c r="I874" s="516" t="n"/>
      <c r="J874" s="516" t="n"/>
    </row>
    <row r="875">
      <c r="A875" s="516" t="n"/>
      <c r="B875" s="516" t="n"/>
      <c r="C875" s="516" t="n"/>
      <c r="D875" s="516" t="n"/>
      <c r="E875" s="516" t="n"/>
      <c r="F875" s="516" t="n"/>
      <c r="G875" s="516" t="n"/>
      <c r="H875" s="516" t="n"/>
      <c r="I875" s="516" t="n"/>
      <c r="J875" s="516" t="n"/>
    </row>
    <row r="876">
      <c r="A876" s="516" t="n"/>
      <c r="B876" s="516" t="n"/>
      <c r="C876" s="516" t="n"/>
      <c r="D876" s="516" t="n"/>
      <c r="E876" s="516" t="n"/>
      <c r="F876" s="516" t="n"/>
      <c r="G876" s="516" t="n"/>
      <c r="H876" s="516" t="n"/>
      <c r="I876" s="516" t="n"/>
      <c r="J876" s="516" t="n"/>
    </row>
    <row r="877">
      <c r="A877" s="516" t="n"/>
      <c r="B877" s="516" t="n"/>
      <c r="C877" s="516" t="n"/>
      <c r="D877" s="516" t="n"/>
      <c r="E877" s="516" t="n"/>
      <c r="F877" s="516" t="n"/>
      <c r="G877" s="516" t="n"/>
      <c r="H877" s="516" t="n"/>
      <c r="I877" s="516" t="n"/>
      <c r="J877" s="516" t="n"/>
    </row>
    <row r="878">
      <c r="A878" s="516" t="n"/>
      <c r="B878" s="516" t="n"/>
      <c r="C878" s="516" t="n"/>
      <c r="D878" s="516" t="n"/>
      <c r="E878" s="516" t="n"/>
      <c r="F878" s="516" t="n"/>
      <c r="G878" s="516" t="n"/>
      <c r="H878" s="516" t="n"/>
      <c r="I878" s="516" t="n"/>
      <c r="J878" s="516" t="n"/>
    </row>
    <row r="879">
      <c r="A879" s="516" t="n"/>
      <c r="B879" s="516" t="n"/>
      <c r="C879" s="516" t="n"/>
      <c r="D879" s="516" t="n"/>
      <c r="E879" s="516" t="n"/>
      <c r="F879" s="516" t="n"/>
      <c r="G879" s="516" t="n"/>
      <c r="H879" s="516" t="n"/>
      <c r="I879" s="516" t="n"/>
      <c r="J879" s="516" t="n"/>
    </row>
    <row r="880">
      <c r="A880" s="516" t="n"/>
      <c r="B880" s="516" t="n"/>
      <c r="C880" s="516" t="n"/>
      <c r="D880" s="516" t="n"/>
      <c r="E880" s="516" t="n"/>
      <c r="F880" s="516" t="n"/>
      <c r="G880" s="516" t="n"/>
      <c r="H880" s="516" t="n"/>
      <c r="I880" s="516" t="n"/>
      <c r="J880" s="516" t="n"/>
    </row>
    <row r="881">
      <c r="A881" s="516" t="n"/>
      <c r="B881" s="516" t="n"/>
      <c r="C881" s="516" t="n"/>
      <c r="D881" s="516" t="n"/>
      <c r="E881" s="516" t="n"/>
      <c r="F881" s="516" t="n"/>
      <c r="G881" s="516" t="n"/>
      <c r="H881" s="516" t="n"/>
      <c r="I881" s="516" t="n"/>
      <c r="J881" s="516" t="n"/>
    </row>
    <row r="882">
      <c r="A882" s="516" t="n"/>
      <c r="B882" s="516" t="n"/>
      <c r="C882" s="516" t="n"/>
      <c r="D882" s="516" t="n"/>
      <c r="E882" s="516" t="n"/>
      <c r="F882" s="516" t="n"/>
      <c r="G882" s="516" t="n"/>
      <c r="H882" s="516" t="n"/>
      <c r="I882" s="516" t="n"/>
      <c r="J882" s="516" t="n"/>
    </row>
    <row r="883">
      <c r="A883" s="516" t="n"/>
      <c r="B883" s="516" t="n"/>
      <c r="C883" s="516" t="n"/>
      <c r="D883" s="516" t="n"/>
      <c r="E883" s="516" t="n"/>
      <c r="F883" s="516" t="n"/>
      <c r="G883" s="516" t="n"/>
      <c r="H883" s="516" t="n"/>
      <c r="I883" s="516" t="n"/>
      <c r="J883" s="516" t="n"/>
    </row>
    <row r="884">
      <c r="A884" s="516" t="n"/>
      <c r="B884" s="516" t="n"/>
      <c r="C884" s="516" t="n"/>
      <c r="D884" s="516" t="n"/>
      <c r="E884" s="516" t="n"/>
      <c r="F884" s="516" t="n"/>
      <c r="G884" s="516" t="n"/>
      <c r="H884" s="516" t="n"/>
      <c r="I884" s="516" t="n"/>
      <c r="J884" s="516" t="n"/>
    </row>
    <row r="885">
      <c r="A885" s="516" t="n"/>
      <c r="B885" s="516" t="n"/>
      <c r="C885" s="516" t="n"/>
      <c r="D885" s="516" t="n"/>
      <c r="E885" s="516" t="n"/>
      <c r="F885" s="516" t="n"/>
      <c r="G885" s="516" t="n"/>
      <c r="H885" s="516" t="n"/>
      <c r="I885" s="516" t="n"/>
      <c r="J885" s="516" t="n"/>
    </row>
    <row r="886">
      <c r="A886" s="516" t="n"/>
      <c r="B886" s="516" t="n"/>
      <c r="C886" s="516" t="n"/>
      <c r="D886" s="516" t="n"/>
      <c r="E886" s="516" t="n"/>
      <c r="F886" s="516" t="n"/>
      <c r="G886" s="516" t="n"/>
      <c r="H886" s="516" t="n"/>
      <c r="I886" s="516" t="n"/>
      <c r="J886" s="516" t="n"/>
    </row>
    <row r="887">
      <c r="A887" s="516" t="n"/>
      <c r="B887" s="516" t="n"/>
      <c r="C887" s="516" t="n"/>
      <c r="D887" s="516" t="n"/>
      <c r="E887" s="516" t="n"/>
      <c r="F887" s="516" t="n"/>
      <c r="G887" s="516" t="n"/>
      <c r="H887" s="516" t="n"/>
      <c r="I887" s="516" t="n"/>
      <c r="J887" s="516" t="n"/>
    </row>
    <row r="888">
      <c r="A888" s="516" t="n"/>
      <c r="B888" s="516" t="n"/>
      <c r="C888" s="516" t="n"/>
      <c r="D888" s="516" t="n"/>
      <c r="E888" s="516" t="n"/>
      <c r="F888" s="516" t="n"/>
      <c r="G888" s="516" t="n"/>
      <c r="H888" s="516" t="n"/>
      <c r="I888" s="516" t="n"/>
      <c r="J888" s="516" t="n"/>
    </row>
    <row r="889">
      <c r="A889" s="516" t="n"/>
      <c r="B889" s="516" t="n"/>
      <c r="C889" s="516" t="n"/>
      <c r="D889" s="516" t="n"/>
      <c r="E889" s="516" t="n"/>
      <c r="F889" s="516" t="n"/>
      <c r="G889" s="516" t="n"/>
      <c r="H889" s="516" t="n"/>
      <c r="I889" s="516" t="n"/>
      <c r="J889" s="516" t="n"/>
    </row>
    <row r="890">
      <c r="A890" s="516" t="n"/>
      <c r="B890" s="516" t="n"/>
      <c r="C890" s="516" t="n"/>
      <c r="D890" s="516" t="n"/>
      <c r="E890" s="516" t="n"/>
      <c r="F890" s="516" t="n"/>
      <c r="G890" s="516" t="n"/>
      <c r="H890" s="516" t="n"/>
      <c r="I890" s="516" t="n"/>
      <c r="J890" s="516" t="n"/>
    </row>
    <row r="891">
      <c r="A891" s="516" t="n"/>
      <c r="B891" s="516" t="n"/>
      <c r="C891" s="516" t="n"/>
      <c r="D891" s="516" t="n"/>
      <c r="E891" s="516" t="n"/>
      <c r="F891" s="516" t="n"/>
      <c r="G891" s="516" t="n"/>
      <c r="H891" s="516" t="n"/>
      <c r="I891" s="516" t="n"/>
      <c r="J891" s="516" t="n"/>
    </row>
    <row r="892">
      <c r="A892" s="516" t="n"/>
      <c r="B892" s="516" t="n"/>
      <c r="C892" s="516" t="n"/>
      <c r="D892" s="516" t="n"/>
      <c r="E892" s="516" t="n"/>
      <c r="F892" s="516" t="n"/>
      <c r="G892" s="516" t="n"/>
      <c r="H892" s="516" t="n"/>
      <c r="I892" s="516" t="n"/>
      <c r="J892" s="516" t="n"/>
    </row>
    <row r="893">
      <c r="A893" s="516" t="n"/>
      <c r="B893" s="516" t="n"/>
      <c r="C893" s="516" t="n"/>
      <c r="D893" s="516" t="n"/>
      <c r="E893" s="516" t="n"/>
      <c r="F893" s="516" t="n"/>
      <c r="G893" s="516" t="n"/>
      <c r="H893" s="516" t="n"/>
      <c r="I893" s="516" t="n"/>
      <c r="J893" s="516" t="n"/>
    </row>
    <row r="894">
      <c r="A894" s="516" t="n"/>
      <c r="B894" s="516" t="n"/>
      <c r="C894" s="516" t="n"/>
      <c r="D894" s="516" t="n"/>
      <c r="E894" s="516" t="n"/>
      <c r="F894" s="516" t="n"/>
      <c r="G894" s="516" t="n"/>
      <c r="H894" s="516" t="n"/>
      <c r="I894" s="516" t="n"/>
      <c r="J894" s="516" t="n"/>
    </row>
    <row r="895">
      <c r="A895" s="516" t="n"/>
      <c r="B895" s="516" t="n"/>
      <c r="C895" s="516" t="n"/>
      <c r="D895" s="516" t="n"/>
      <c r="E895" s="516" t="n"/>
      <c r="F895" s="516" t="n"/>
      <c r="G895" s="516" t="n"/>
      <c r="H895" s="516" t="n"/>
      <c r="I895" s="516" t="n"/>
      <c r="J895" s="516" t="n"/>
    </row>
    <row r="896">
      <c r="A896" s="516" t="n"/>
      <c r="B896" s="516" t="n"/>
      <c r="C896" s="516" t="n"/>
      <c r="D896" s="516" t="n"/>
      <c r="E896" s="516" t="n"/>
      <c r="F896" s="516" t="n"/>
      <c r="G896" s="516" t="n"/>
      <c r="H896" s="516" t="n"/>
      <c r="I896" s="516" t="n"/>
      <c r="J896" s="516" t="n"/>
    </row>
    <row r="897">
      <c r="A897" s="516" t="n"/>
      <c r="B897" s="516" t="n"/>
      <c r="C897" s="516" t="n"/>
      <c r="D897" s="516" t="n"/>
      <c r="E897" s="516" t="n"/>
      <c r="F897" s="516" t="n"/>
      <c r="G897" s="516" t="n"/>
      <c r="H897" s="516" t="n"/>
      <c r="I897" s="516" t="n"/>
      <c r="J897" s="516" t="n"/>
    </row>
    <row r="898">
      <c r="A898" s="516" t="n"/>
      <c r="B898" s="516" t="n"/>
      <c r="C898" s="516" t="n"/>
      <c r="D898" s="516" t="n"/>
      <c r="E898" s="516" t="n"/>
      <c r="F898" s="516" t="n"/>
      <c r="G898" s="516" t="n"/>
      <c r="H898" s="516" t="n"/>
      <c r="I898" s="516" t="n"/>
      <c r="J898" s="516" t="n"/>
    </row>
    <row r="899">
      <c r="A899" s="516" t="n"/>
      <c r="B899" s="516" t="n"/>
      <c r="C899" s="516" t="n"/>
      <c r="D899" s="516" t="n"/>
      <c r="E899" s="516" t="n"/>
      <c r="F899" s="516" t="n"/>
      <c r="G899" s="516" t="n"/>
      <c r="H899" s="516" t="n"/>
      <c r="I899" s="516" t="n"/>
      <c r="J899" s="516" t="n"/>
    </row>
    <row r="900">
      <c r="A900" s="516" t="n"/>
      <c r="B900" s="516" t="n"/>
      <c r="C900" s="516" t="n"/>
      <c r="D900" s="516" t="n"/>
      <c r="E900" s="516" t="n"/>
      <c r="F900" s="516" t="n"/>
      <c r="G900" s="516" t="n"/>
      <c r="H900" s="516" t="n"/>
      <c r="I900" s="516" t="n"/>
      <c r="J900" s="516" t="n"/>
    </row>
    <row r="901">
      <c r="A901" s="516" t="n"/>
      <c r="B901" s="516" t="n"/>
      <c r="C901" s="516" t="n"/>
      <c r="D901" s="516" t="n"/>
      <c r="E901" s="516" t="n"/>
      <c r="F901" s="516" t="n"/>
      <c r="G901" s="516" t="n"/>
      <c r="H901" s="516" t="n"/>
      <c r="I901" s="516" t="n"/>
      <c r="J901" s="516" t="n"/>
    </row>
    <row r="902">
      <c r="A902" s="516" t="n"/>
      <c r="B902" s="516" t="n"/>
      <c r="C902" s="516" t="n"/>
      <c r="D902" s="516" t="n"/>
      <c r="E902" s="516" t="n"/>
      <c r="F902" s="516" t="n"/>
      <c r="G902" s="516" t="n"/>
      <c r="H902" s="516" t="n"/>
      <c r="I902" s="516" t="n"/>
      <c r="J902" s="516" t="n"/>
    </row>
    <row r="903">
      <c r="A903" s="516" t="n"/>
      <c r="B903" s="516" t="n"/>
      <c r="C903" s="516" t="n"/>
      <c r="D903" s="516" t="n"/>
      <c r="E903" s="516" t="n"/>
      <c r="F903" s="516" t="n"/>
      <c r="G903" s="516" t="n"/>
      <c r="H903" s="516" t="n"/>
      <c r="I903" s="516" t="n"/>
      <c r="J903" s="516" t="n"/>
    </row>
    <row r="904">
      <c r="A904" s="516" t="n"/>
      <c r="B904" s="516" t="n"/>
      <c r="C904" s="516" t="n"/>
      <c r="D904" s="516" t="n"/>
      <c r="E904" s="516" t="n"/>
      <c r="F904" s="516" t="n"/>
      <c r="G904" s="516" t="n"/>
      <c r="H904" s="516" t="n"/>
      <c r="I904" s="516" t="n"/>
      <c r="J904" s="516" t="n"/>
    </row>
    <row r="905">
      <c r="A905" s="516" t="n"/>
      <c r="B905" s="516" t="n"/>
      <c r="C905" s="516" t="n"/>
      <c r="D905" s="516" t="n"/>
      <c r="E905" s="516" t="n"/>
      <c r="F905" s="516" t="n"/>
      <c r="G905" s="516" t="n"/>
      <c r="H905" s="516" t="n"/>
      <c r="I905" s="516" t="n"/>
      <c r="J905" s="516" t="n"/>
    </row>
    <row r="906">
      <c r="A906" s="516" t="n"/>
      <c r="B906" s="516" t="n"/>
      <c r="C906" s="516" t="n"/>
      <c r="D906" s="516" t="n"/>
      <c r="E906" s="516" t="n"/>
      <c r="F906" s="516" t="n"/>
      <c r="G906" s="516" t="n"/>
      <c r="H906" s="516" t="n"/>
      <c r="I906" s="516" t="n"/>
      <c r="J906" s="516" t="n"/>
    </row>
    <row r="907">
      <c r="A907" s="516" t="n"/>
      <c r="B907" s="516" t="n"/>
      <c r="C907" s="516" t="n"/>
      <c r="D907" s="516" t="n"/>
      <c r="E907" s="516" t="n"/>
      <c r="F907" s="516" t="n"/>
      <c r="G907" s="516" t="n"/>
      <c r="H907" s="516" t="n"/>
      <c r="I907" s="516" t="n"/>
      <c r="J907" s="516" t="n"/>
    </row>
    <row r="908">
      <c r="A908" s="516" t="n"/>
      <c r="B908" s="516" t="n"/>
      <c r="C908" s="516" t="n"/>
      <c r="D908" s="516" t="n"/>
      <c r="E908" s="516" t="n"/>
      <c r="F908" s="516" t="n"/>
      <c r="G908" s="516" t="n"/>
      <c r="H908" s="516" t="n"/>
      <c r="I908" s="516" t="n"/>
      <c r="J908" s="516" t="n"/>
    </row>
    <row r="909">
      <c r="A909" s="516" t="n"/>
      <c r="B909" s="516" t="n"/>
      <c r="C909" s="516" t="n"/>
      <c r="D909" s="516" t="n"/>
      <c r="E909" s="516" t="n"/>
      <c r="F909" s="516" t="n"/>
      <c r="G909" s="516" t="n"/>
      <c r="H909" s="516" t="n"/>
      <c r="I909" s="516" t="n"/>
      <c r="J909" s="516" t="n"/>
    </row>
    <row r="910">
      <c r="A910" s="516" t="n"/>
      <c r="B910" s="516" t="n"/>
      <c r="C910" s="516" t="n"/>
      <c r="D910" s="516" t="n"/>
      <c r="E910" s="516" t="n"/>
      <c r="F910" s="516" t="n"/>
      <c r="G910" s="516" t="n"/>
      <c r="H910" s="516" t="n"/>
      <c r="I910" s="516" t="n"/>
      <c r="J910" s="516" t="n"/>
    </row>
    <row r="911">
      <c r="A911" s="516" t="n"/>
      <c r="B911" s="516" t="n"/>
      <c r="C911" s="516" t="n"/>
      <c r="D911" s="516" t="n"/>
      <c r="E911" s="516" t="n"/>
      <c r="F911" s="516" t="n"/>
      <c r="G911" s="516" t="n"/>
      <c r="H911" s="516" t="n"/>
      <c r="I911" s="516" t="n"/>
      <c r="J911" s="516" t="n"/>
    </row>
    <row r="912">
      <c r="A912" s="516" t="n"/>
      <c r="B912" s="516" t="n"/>
      <c r="C912" s="516" t="n"/>
      <c r="D912" s="516" t="n"/>
      <c r="E912" s="516" t="n"/>
      <c r="F912" s="516" t="n"/>
      <c r="G912" s="516" t="n"/>
      <c r="H912" s="516" t="n"/>
      <c r="I912" s="516" t="n"/>
      <c r="J912" s="516" t="n"/>
    </row>
    <row r="913">
      <c r="A913" s="516" t="n"/>
      <c r="B913" s="516" t="n"/>
      <c r="C913" s="516" t="n"/>
      <c r="D913" s="516" t="n"/>
      <c r="E913" s="516" t="n"/>
      <c r="F913" s="516" t="n"/>
      <c r="G913" s="516" t="n"/>
      <c r="H913" s="516" t="n"/>
      <c r="I913" s="516" t="n"/>
      <c r="J913" s="516" t="n"/>
    </row>
    <row r="914">
      <c r="A914" s="516" t="n"/>
      <c r="B914" s="516" t="n"/>
      <c r="C914" s="516" t="n"/>
      <c r="D914" s="516" t="n"/>
      <c r="E914" s="516" t="n"/>
      <c r="F914" s="516" t="n"/>
      <c r="G914" s="516" t="n"/>
      <c r="H914" s="516" t="n"/>
      <c r="I914" s="516" t="n"/>
      <c r="J914" s="516" t="n"/>
    </row>
    <row r="915">
      <c r="A915" s="516" t="n"/>
      <c r="B915" s="516" t="n"/>
      <c r="C915" s="516" t="n"/>
      <c r="D915" s="516" t="n"/>
      <c r="E915" s="516" t="n"/>
      <c r="F915" s="516" t="n"/>
      <c r="G915" s="516" t="n"/>
      <c r="H915" s="516" t="n"/>
      <c r="I915" s="516" t="n"/>
      <c r="J915" s="516" t="n"/>
    </row>
    <row r="916">
      <c r="A916" s="516" t="n"/>
      <c r="B916" s="516" t="n"/>
      <c r="C916" s="516" t="n"/>
      <c r="D916" s="516" t="n"/>
      <c r="E916" s="516" t="n"/>
      <c r="F916" s="516" t="n"/>
      <c r="G916" s="516" t="n"/>
      <c r="H916" s="516" t="n"/>
      <c r="I916" s="516" t="n"/>
      <c r="J916" s="516" t="n"/>
    </row>
    <row r="917">
      <c r="A917" s="516" t="n"/>
      <c r="B917" s="516" t="n"/>
      <c r="C917" s="516" t="n"/>
      <c r="D917" s="516" t="n"/>
      <c r="E917" s="516" t="n"/>
      <c r="F917" s="516" t="n"/>
      <c r="G917" s="516" t="n"/>
      <c r="H917" s="516" t="n"/>
      <c r="I917" s="516" t="n"/>
      <c r="J917" s="516" t="n"/>
    </row>
    <row r="918">
      <c r="A918" s="516" t="n"/>
      <c r="B918" s="516" t="n"/>
      <c r="C918" s="516" t="n"/>
      <c r="D918" s="516" t="n"/>
      <c r="E918" s="516" t="n"/>
      <c r="F918" s="516" t="n"/>
      <c r="G918" s="516" t="n"/>
      <c r="H918" s="516" t="n"/>
      <c r="I918" s="516" t="n"/>
      <c r="J918" s="516" t="n"/>
    </row>
    <row r="919">
      <c r="A919" s="516" t="n"/>
      <c r="B919" s="516" t="n"/>
      <c r="C919" s="516" t="n"/>
      <c r="D919" s="516" t="n"/>
      <c r="E919" s="516" t="n"/>
      <c r="F919" s="516" t="n"/>
      <c r="G919" s="516" t="n"/>
      <c r="H919" s="516" t="n"/>
      <c r="I919" s="516" t="n"/>
      <c r="J919" s="516" t="n"/>
    </row>
    <row r="920">
      <c r="A920" s="516" t="n"/>
      <c r="B920" s="516" t="n"/>
      <c r="C920" s="516" t="n"/>
      <c r="D920" s="516" t="n"/>
      <c r="E920" s="516" t="n"/>
      <c r="F920" s="516" t="n"/>
      <c r="G920" s="516" t="n"/>
      <c r="H920" s="516" t="n"/>
      <c r="I920" s="516" t="n"/>
      <c r="J920" s="516" t="n"/>
    </row>
    <row r="921">
      <c r="A921" s="516" t="n"/>
      <c r="B921" s="516" t="n"/>
      <c r="C921" s="516" t="n"/>
      <c r="D921" s="516" t="n"/>
      <c r="E921" s="516" t="n"/>
      <c r="F921" s="516" t="n"/>
      <c r="G921" s="516" t="n"/>
      <c r="H921" s="516" t="n"/>
      <c r="I921" s="516" t="n"/>
      <c r="J921" s="516" t="n"/>
    </row>
    <row r="922">
      <c r="A922" s="516" t="n"/>
      <c r="B922" s="516" t="n"/>
      <c r="C922" s="516" t="n"/>
      <c r="D922" s="516" t="n"/>
      <c r="E922" s="516" t="n"/>
      <c r="F922" s="516" t="n"/>
      <c r="G922" s="516" t="n"/>
      <c r="H922" s="516" t="n"/>
      <c r="I922" s="516" t="n"/>
      <c r="J922" s="516" t="n"/>
    </row>
    <row r="923">
      <c r="A923" s="516" t="n"/>
      <c r="B923" s="516" t="n"/>
      <c r="C923" s="516" t="n"/>
      <c r="D923" s="516" t="n"/>
      <c r="E923" s="516" t="n"/>
      <c r="F923" s="516" t="n"/>
      <c r="G923" s="516" t="n"/>
      <c r="H923" s="516" t="n"/>
      <c r="I923" s="516" t="n"/>
      <c r="J923" s="516" t="n"/>
    </row>
    <row r="924">
      <c r="A924" s="516" t="n"/>
      <c r="B924" s="516" t="n"/>
      <c r="C924" s="516" t="n"/>
      <c r="D924" s="516" t="n"/>
      <c r="E924" s="516" t="n"/>
      <c r="F924" s="516" t="n"/>
      <c r="G924" s="516" t="n"/>
      <c r="H924" s="516" t="n"/>
      <c r="I924" s="516" t="n"/>
      <c r="J924" s="516" t="n"/>
    </row>
    <row r="925">
      <c r="A925" s="516" t="n"/>
      <c r="B925" s="516" t="n"/>
      <c r="C925" s="516" t="n"/>
      <c r="D925" s="516" t="n"/>
      <c r="E925" s="516" t="n"/>
      <c r="F925" s="516" t="n"/>
      <c r="G925" s="516" t="n"/>
      <c r="H925" s="516" t="n"/>
      <c r="I925" s="516" t="n"/>
      <c r="J925" s="516" t="n"/>
    </row>
    <row r="926">
      <c r="A926" s="516" t="n"/>
      <c r="B926" s="516" t="n"/>
      <c r="C926" s="516" t="n"/>
      <c r="D926" s="516" t="n"/>
      <c r="E926" s="516" t="n"/>
      <c r="F926" s="516" t="n"/>
      <c r="G926" s="516" t="n"/>
      <c r="H926" s="516" t="n"/>
      <c r="I926" s="516" t="n"/>
      <c r="J926" s="516" t="n"/>
    </row>
    <row r="927">
      <c r="A927" s="516" t="n"/>
      <c r="B927" s="516" t="n"/>
      <c r="C927" s="516" t="n"/>
      <c r="D927" s="516" t="n"/>
      <c r="E927" s="516" t="n"/>
      <c r="F927" s="516" t="n"/>
      <c r="G927" s="516" t="n"/>
      <c r="H927" s="516" t="n"/>
      <c r="I927" s="516" t="n"/>
      <c r="J927" s="516" t="n"/>
    </row>
    <row r="928">
      <c r="A928" s="516" t="n"/>
      <c r="B928" s="516" t="n"/>
      <c r="C928" s="516" t="n"/>
      <c r="D928" s="516" t="n"/>
      <c r="E928" s="516" t="n"/>
      <c r="F928" s="516" t="n"/>
      <c r="G928" s="516" t="n"/>
      <c r="H928" s="516" t="n"/>
      <c r="I928" s="516" t="n"/>
      <c r="J928" s="516" t="n"/>
    </row>
    <row r="929">
      <c r="A929" s="516" t="n"/>
      <c r="B929" s="516" t="n"/>
      <c r="C929" s="516" t="n"/>
      <c r="D929" s="516" t="n"/>
      <c r="E929" s="516" t="n"/>
      <c r="F929" s="516" t="n"/>
      <c r="G929" s="516" t="n"/>
      <c r="H929" s="516" t="n"/>
      <c r="I929" s="516" t="n"/>
      <c r="J929" s="516" t="n"/>
    </row>
    <row r="930">
      <c r="A930" s="516" t="n"/>
      <c r="B930" s="516" t="n"/>
      <c r="C930" s="516" t="n"/>
      <c r="D930" s="516" t="n"/>
      <c r="E930" s="516" t="n"/>
      <c r="F930" s="516" t="n"/>
      <c r="G930" s="516" t="n"/>
      <c r="H930" s="516" t="n"/>
      <c r="I930" s="516" t="n"/>
      <c r="J930" s="516" t="n"/>
    </row>
    <row r="931">
      <c r="A931" s="516" t="n"/>
      <c r="B931" s="516" t="n"/>
      <c r="C931" s="516" t="n"/>
      <c r="D931" s="516" t="n"/>
      <c r="E931" s="516" t="n"/>
      <c r="F931" s="516" t="n"/>
      <c r="G931" s="516" t="n"/>
      <c r="H931" s="516" t="n"/>
      <c r="I931" s="516" t="n"/>
      <c r="J931" s="516" t="n"/>
    </row>
    <row r="932">
      <c r="A932" s="516" t="n"/>
      <c r="B932" s="516" t="n"/>
      <c r="C932" s="516" t="n"/>
      <c r="D932" s="516" t="n"/>
      <c r="E932" s="516" t="n"/>
      <c r="F932" s="516" t="n"/>
      <c r="G932" s="516" t="n"/>
      <c r="H932" s="516" t="n"/>
      <c r="I932" s="516" t="n"/>
      <c r="J932" s="516" t="n"/>
    </row>
    <row r="933">
      <c r="A933" s="516" t="n"/>
      <c r="B933" s="516" t="n"/>
      <c r="C933" s="516" t="n"/>
      <c r="D933" s="516" t="n"/>
      <c r="E933" s="516" t="n"/>
      <c r="F933" s="516" t="n"/>
      <c r="G933" s="516" t="n"/>
      <c r="H933" s="516" t="n"/>
      <c r="I933" s="516" t="n"/>
      <c r="J933" s="516" t="n"/>
    </row>
    <row r="934">
      <c r="A934" s="516" t="n"/>
      <c r="B934" s="516" t="n"/>
      <c r="C934" s="516" t="n"/>
      <c r="D934" s="516" t="n"/>
      <c r="E934" s="516" t="n"/>
      <c r="F934" s="516" t="n"/>
      <c r="G934" s="516" t="n"/>
      <c r="H934" s="516" t="n"/>
      <c r="I934" s="516" t="n"/>
      <c r="J934" s="516" t="n"/>
    </row>
    <row r="935">
      <c r="A935" s="516" t="n"/>
      <c r="B935" s="516" t="n"/>
      <c r="C935" s="516" t="n"/>
      <c r="D935" s="516" t="n"/>
      <c r="E935" s="516" t="n"/>
      <c r="F935" s="516" t="n"/>
      <c r="G935" s="516" t="n"/>
      <c r="H935" s="516" t="n"/>
      <c r="I935" s="516" t="n"/>
      <c r="J935" s="516" t="n"/>
    </row>
    <row r="936">
      <c r="A936" s="516" t="n"/>
      <c r="B936" s="516" t="n"/>
      <c r="C936" s="516" t="n"/>
      <c r="D936" s="516" t="n"/>
      <c r="E936" s="516" t="n"/>
      <c r="F936" s="516" t="n"/>
      <c r="G936" s="516" t="n"/>
      <c r="H936" s="516" t="n"/>
      <c r="I936" s="516" t="n"/>
      <c r="J936" s="516" t="n"/>
    </row>
    <row r="937">
      <c r="A937" s="516" t="n"/>
      <c r="B937" s="516" t="n"/>
      <c r="C937" s="516" t="n"/>
      <c r="D937" s="516" t="n"/>
      <c r="E937" s="516" t="n"/>
      <c r="F937" s="516" t="n"/>
      <c r="G937" s="516" t="n"/>
      <c r="H937" s="516" t="n"/>
      <c r="I937" s="516" t="n"/>
      <c r="J937" s="516" t="n"/>
    </row>
    <row r="938">
      <c r="A938" s="516" t="n"/>
      <c r="B938" s="516" t="n"/>
      <c r="C938" s="516" t="n"/>
      <c r="D938" s="516" t="n"/>
      <c r="E938" s="516" t="n"/>
      <c r="F938" s="516" t="n"/>
      <c r="G938" s="516" t="n"/>
      <c r="H938" s="516" t="n"/>
      <c r="I938" s="516" t="n"/>
      <c r="J938" s="516" t="n"/>
    </row>
    <row r="939">
      <c r="A939" s="516" t="n"/>
      <c r="B939" s="516" t="n"/>
      <c r="C939" s="516" t="n"/>
      <c r="D939" s="516" t="n"/>
      <c r="E939" s="516" t="n"/>
      <c r="F939" s="516" t="n"/>
      <c r="G939" s="516" t="n"/>
      <c r="H939" s="516" t="n"/>
      <c r="I939" s="516" t="n"/>
      <c r="J939" s="516" t="n"/>
    </row>
    <row r="940">
      <c r="A940" s="516" t="n"/>
      <c r="B940" s="516" t="n"/>
      <c r="C940" s="516" t="n"/>
      <c r="D940" s="516" t="n"/>
      <c r="E940" s="516" t="n"/>
      <c r="F940" s="516" t="n"/>
      <c r="G940" s="516" t="n"/>
      <c r="H940" s="516" t="n"/>
      <c r="I940" s="516" t="n"/>
      <c r="J940" s="516" t="n"/>
    </row>
    <row r="941">
      <c r="A941" s="516" t="n"/>
      <c r="B941" s="516" t="n"/>
      <c r="C941" s="516" t="n"/>
      <c r="D941" s="516" t="n"/>
      <c r="E941" s="516" t="n"/>
      <c r="F941" s="516" t="n"/>
      <c r="G941" s="516" t="n"/>
      <c r="H941" s="516" t="n"/>
      <c r="I941" s="516" t="n"/>
      <c r="J941" s="516" t="n"/>
    </row>
    <row r="942">
      <c r="A942" s="516" t="n"/>
      <c r="B942" s="516" t="n"/>
      <c r="C942" s="516" t="n"/>
      <c r="D942" s="516" t="n"/>
      <c r="E942" s="516" t="n"/>
      <c r="F942" s="516" t="n"/>
      <c r="G942" s="516" t="n"/>
      <c r="H942" s="516" t="n"/>
      <c r="I942" s="516" t="n"/>
      <c r="J942" s="516" t="n"/>
    </row>
    <row r="943">
      <c r="A943" s="516" t="n"/>
      <c r="B943" s="516" t="n"/>
      <c r="C943" s="516" t="n"/>
      <c r="D943" s="516" t="n"/>
      <c r="E943" s="516" t="n"/>
      <c r="F943" s="516" t="n"/>
      <c r="G943" s="516" t="n"/>
      <c r="H943" s="516" t="n"/>
      <c r="I943" s="516" t="n"/>
      <c r="J943" s="516" t="n"/>
    </row>
    <row r="944">
      <c r="A944" s="516" t="n"/>
      <c r="B944" s="516" t="n"/>
      <c r="C944" s="516" t="n"/>
      <c r="D944" s="516" t="n"/>
      <c r="E944" s="516" t="n"/>
      <c r="F944" s="516" t="n"/>
      <c r="G944" s="516" t="n"/>
      <c r="H944" s="516" t="n"/>
      <c r="I944" s="516" t="n"/>
      <c r="J944" s="516" t="n"/>
    </row>
    <row r="945">
      <c r="A945" s="516" t="n"/>
      <c r="B945" s="516" t="n"/>
      <c r="C945" s="516" t="n"/>
      <c r="D945" s="516" t="n"/>
      <c r="E945" s="516" t="n"/>
      <c r="F945" s="516" t="n"/>
      <c r="G945" s="516" t="n"/>
      <c r="H945" s="516" t="n"/>
      <c r="I945" s="516" t="n"/>
      <c r="J945" s="516" t="n"/>
    </row>
    <row r="946">
      <c r="A946" s="516" t="n"/>
      <c r="B946" s="516" t="n"/>
      <c r="C946" s="516" t="n"/>
      <c r="D946" s="516" t="n"/>
      <c r="E946" s="516" t="n"/>
      <c r="F946" s="516" t="n"/>
      <c r="G946" s="516" t="n"/>
      <c r="H946" s="516" t="n"/>
      <c r="I946" s="516" t="n"/>
      <c r="J946" s="516" t="n"/>
    </row>
    <row r="947">
      <c r="A947" s="516" t="n"/>
      <c r="B947" s="516" t="n"/>
      <c r="C947" s="516" t="n"/>
      <c r="D947" s="516" t="n"/>
      <c r="E947" s="516" t="n"/>
      <c r="F947" s="516" t="n"/>
      <c r="G947" s="516" t="n"/>
      <c r="H947" s="516" t="n"/>
      <c r="I947" s="516" t="n"/>
      <c r="J947" s="516" t="n"/>
    </row>
    <row r="948">
      <c r="A948" s="516" t="n"/>
      <c r="B948" s="516" t="n"/>
      <c r="C948" s="516" t="n"/>
      <c r="D948" s="516" t="n"/>
      <c r="E948" s="516" t="n"/>
      <c r="F948" s="516" t="n"/>
      <c r="G948" s="516" t="n"/>
      <c r="H948" s="516" t="n"/>
      <c r="I948" s="516" t="n"/>
      <c r="J948" s="516" t="n"/>
    </row>
    <row r="949">
      <c r="A949" s="516" t="n"/>
      <c r="B949" s="516" t="n"/>
      <c r="C949" s="516" t="n"/>
      <c r="D949" s="516" t="n"/>
      <c r="E949" s="516" t="n"/>
      <c r="F949" s="516" t="n"/>
      <c r="G949" s="516" t="n"/>
      <c r="H949" s="516" t="n"/>
      <c r="I949" s="516" t="n"/>
      <c r="J949" s="516" t="n"/>
    </row>
    <row r="950">
      <c r="A950" s="516" t="n"/>
      <c r="B950" s="516" t="n"/>
      <c r="C950" s="516" t="n"/>
      <c r="D950" s="516" t="n"/>
      <c r="E950" s="516" t="n"/>
      <c r="F950" s="516" t="n"/>
      <c r="G950" s="516" t="n"/>
      <c r="H950" s="516" t="n"/>
      <c r="I950" s="516" t="n"/>
      <c r="J950" s="516" t="n"/>
    </row>
    <row r="951">
      <c r="A951" s="516" t="n"/>
      <c r="B951" s="516" t="n"/>
      <c r="C951" s="516" t="n"/>
      <c r="D951" s="516" t="n"/>
      <c r="E951" s="516" t="n"/>
      <c r="F951" s="516" t="n"/>
      <c r="G951" s="516" t="n"/>
      <c r="H951" s="516" t="n"/>
      <c r="I951" s="516" t="n"/>
      <c r="J951" s="516" t="n"/>
    </row>
    <row r="952">
      <c r="A952" s="516" t="n"/>
      <c r="B952" s="516" t="n"/>
      <c r="C952" s="516" t="n"/>
      <c r="D952" s="516" t="n"/>
      <c r="E952" s="516" t="n"/>
      <c r="F952" s="516" t="n"/>
      <c r="G952" s="516" t="n"/>
      <c r="H952" s="516" t="n"/>
      <c r="I952" s="516" t="n"/>
      <c r="J952" s="516" t="n"/>
    </row>
    <row r="953">
      <c r="A953" s="516" t="n"/>
      <c r="B953" s="516" t="n"/>
      <c r="C953" s="516" t="n"/>
      <c r="D953" s="516" t="n"/>
      <c r="E953" s="516" t="n"/>
      <c r="F953" s="516" t="n"/>
      <c r="G953" s="516" t="n"/>
      <c r="H953" s="516" t="n"/>
      <c r="I953" s="516" t="n"/>
      <c r="J953" s="516" t="n"/>
    </row>
    <row r="954">
      <c r="A954" s="516" t="n"/>
      <c r="B954" s="516" t="n"/>
      <c r="C954" s="516" t="n"/>
      <c r="D954" s="516" t="n"/>
      <c r="E954" s="516" t="n"/>
      <c r="F954" s="516" t="n"/>
      <c r="G954" s="516" t="n"/>
      <c r="H954" s="516" t="n"/>
      <c r="I954" s="516" t="n"/>
      <c r="J954" s="516" t="n"/>
    </row>
    <row r="955">
      <c r="A955" s="516" t="n"/>
      <c r="B955" s="516" t="n"/>
      <c r="C955" s="516" t="n"/>
      <c r="D955" s="516" t="n"/>
      <c r="E955" s="516" t="n"/>
      <c r="F955" s="516" t="n"/>
      <c r="G955" s="516" t="n"/>
      <c r="H955" s="516" t="n"/>
      <c r="I955" s="516" t="n"/>
      <c r="J955" s="516" t="n"/>
    </row>
    <row r="956">
      <c r="A956" s="516" t="n"/>
      <c r="B956" s="516" t="n"/>
      <c r="C956" s="516" t="n"/>
      <c r="D956" s="516" t="n"/>
      <c r="E956" s="516" t="n"/>
      <c r="F956" s="516" t="n"/>
      <c r="G956" s="516" t="n"/>
      <c r="H956" s="516" t="n"/>
      <c r="I956" s="516" t="n"/>
      <c r="J956" s="516" t="n"/>
    </row>
    <row r="957">
      <c r="A957" s="516" t="n"/>
      <c r="B957" s="516" t="n"/>
      <c r="C957" s="516" t="n"/>
      <c r="D957" s="516" t="n"/>
      <c r="E957" s="516" t="n"/>
      <c r="F957" s="516" t="n"/>
      <c r="G957" s="516" t="n"/>
      <c r="H957" s="516" t="n"/>
      <c r="I957" s="516" t="n"/>
      <c r="J957" s="516" t="n"/>
    </row>
    <row r="958">
      <c r="A958" s="516" t="n"/>
      <c r="B958" s="516" t="n"/>
      <c r="C958" s="516" t="n"/>
      <c r="D958" s="516" t="n"/>
      <c r="E958" s="516" t="n"/>
      <c r="F958" s="516" t="n"/>
      <c r="G958" s="516" t="n"/>
      <c r="H958" s="516" t="n"/>
      <c r="I958" s="516" t="n"/>
      <c r="J958" s="516" t="n"/>
    </row>
    <row r="959">
      <c r="A959" s="516" t="n"/>
      <c r="B959" s="516" t="n"/>
      <c r="C959" s="516" t="n"/>
      <c r="D959" s="516" t="n"/>
      <c r="E959" s="516" t="n"/>
      <c r="F959" s="516" t="n"/>
      <c r="G959" s="516" t="n"/>
      <c r="H959" s="516" t="n"/>
      <c r="I959" s="516" t="n"/>
      <c r="J959" s="516" t="n"/>
    </row>
    <row r="960">
      <c r="A960" s="516" t="n"/>
      <c r="B960" s="516" t="n"/>
      <c r="C960" s="516" t="n"/>
      <c r="D960" s="516" t="n"/>
      <c r="E960" s="516" t="n"/>
      <c r="F960" s="516" t="n"/>
      <c r="G960" s="516" t="n"/>
      <c r="H960" s="516" t="n"/>
      <c r="I960" s="516" t="n"/>
      <c r="J960" s="516" t="n"/>
    </row>
    <row r="961">
      <c r="A961" s="516" t="n"/>
      <c r="B961" s="516" t="n"/>
      <c r="C961" s="516" t="n"/>
      <c r="D961" s="516" t="n"/>
      <c r="E961" s="516" t="n"/>
      <c r="F961" s="516" t="n"/>
      <c r="G961" s="516" t="n"/>
      <c r="H961" s="516" t="n"/>
      <c r="I961" s="516" t="n"/>
      <c r="J961" s="516" t="n"/>
    </row>
    <row r="962">
      <c r="A962" s="516" t="n"/>
      <c r="B962" s="516" t="n"/>
      <c r="C962" s="516" t="n"/>
      <c r="D962" s="516" t="n"/>
      <c r="E962" s="516" t="n"/>
      <c r="F962" s="516" t="n"/>
      <c r="G962" s="516" t="n"/>
      <c r="H962" s="516" t="n"/>
      <c r="I962" s="516" t="n"/>
      <c r="J962" s="516" t="n"/>
    </row>
    <row r="963">
      <c r="A963" s="516" t="n"/>
      <c r="B963" s="516" t="n"/>
      <c r="C963" s="516" t="n"/>
      <c r="D963" s="516" t="n"/>
      <c r="E963" s="516" t="n"/>
      <c r="F963" s="516" t="n"/>
      <c r="G963" s="516" t="n"/>
      <c r="H963" s="516" t="n"/>
      <c r="I963" s="516" t="n"/>
      <c r="J963" s="516" t="n"/>
    </row>
    <row r="964">
      <c r="A964" s="516" t="n"/>
      <c r="B964" s="516" t="n"/>
      <c r="C964" s="516" t="n"/>
      <c r="D964" s="516" t="n"/>
      <c r="E964" s="516" t="n"/>
      <c r="F964" s="516" t="n"/>
      <c r="G964" s="516" t="n"/>
      <c r="H964" s="516" t="n"/>
      <c r="I964" s="516" t="n"/>
      <c r="J964" s="516" t="n"/>
    </row>
    <row r="965">
      <c r="A965" s="516" t="n"/>
      <c r="B965" s="516" t="n"/>
      <c r="C965" s="516" t="n"/>
      <c r="D965" s="516" t="n"/>
      <c r="E965" s="516" t="n"/>
      <c r="F965" s="516" t="n"/>
      <c r="G965" s="516" t="n"/>
      <c r="H965" s="516" t="n"/>
      <c r="I965" s="516" t="n"/>
      <c r="J965" s="516" t="n"/>
    </row>
    <row r="966">
      <c r="A966" s="516" t="n"/>
      <c r="B966" s="516" t="n"/>
      <c r="C966" s="516" t="n"/>
      <c r="D966" s="516" t="n"/>
      <c r="E966" s="516" t="n"/>
      <c r="F966" s="516" t="n"/>
      <c r="G966" s="516" t="n"/>
      <c r="H966" s="516" t="n"/>
      <c r="I966" s="516" t="n"/>
      <c r="J966" s="516" t="n"/>
    </row>
    <row r="967">
      <c r="A967" s="516" t="n"/>
      <c r="B967" s="516" t="n"/>
      <c r="C967" s="516" t="n"/>
      <c r="D967" s="516" t="n"/>
      <c r="E967" s="516" t="n"/>
      <c r="F967" s="516" t="n"/>
      <c r="G967" s="516" t="n"/>
      <c r="H967" s="516" t="n"/>
      <c r="I967" s="516" t="n"/>
      <c r="J967" s="516" t="n"/>
    </row>
    <row r="968">
      <c r="A968" s="516" t="n"/>
      <c r="B968" s="516" t="n"/>
      <c r="C968" s="516" t="n"/>
      <c r="D968" s="516" t="n"/>
      <c r="E968" s="516" t="n"/>
      <c r="F968" s="516" t="n"/>
      <c r="G968" s="516" t="n"/>
      <c r="H968" s="516" t="n"/>
      <c r="I968" s="516" t="n"/>
      <c r="J968" s="516" t="n"/>
    </row>
    <row r="969">
      <c r="A969" s="516" t="n"/>
      <c r="B969" s="516" t="n"/>
      <c r="C969" s="516" t="n"/>
      <c r="D969" s="516" t="n"/>
      <c r="E969" s="516" t="n"/>
      <c r="F969" s="516" t="n"/>
      <c r="G969" s="516" t="n"/>
      <c r="H969" s="516" t="n"/>
      <c r="I969" s="516" t="n"/>
      <c r="J969" s="516" t="n"/>
    </row>
    <row r="970">
      <c r="A970" s="516" t="n"/>
      <c r="B970" s="516" t="n"/>
      <c r="C970" s="516" t="n"/>
      <c r="D970" s="516" t="n"/>
      <c r="E970" s="516" t="n"/>
      <c r="F970" s="516" t="n"/>
      <c r="G970" s="516" t="n"/>
      <c r="H970" s="516" t="n"/>
      <c r="I970" s="516" t="n"/>
      <c r="J970" s="516" t="n"/>
    </row>
    <row r="971">
      <c r="A971" s="516" t="n"/>
      <c r="B971" s="516" t="n"/>
      <c r="C971" s="516" t="n"/>
      <c r="D971" s="516" t="n"/>
      <c r="E971" s="516" t="n"/>
      <c r="F971" s="516" t="n"/>
      <c r="G971" s="516" t="n"/>
      <c r="H971" s="516" t="n"/>
      <c r="I971" s="516" t="n"/>
      <c r="J971" s="516" t="n"/>
    </row>
    <row r="972">
      <c r="A972" s="516" t="n"/>
      <c r="B972" s="516" t="n"/>
      <c r="C972" s="516" t="n"/>
      <c r="D972" s="516" t="n"/>
      <c r="E972" s="516" t="n"/>
      <c r="F972" s="516" t="n"/>
      <c r="G972" s="516" t="n"/>
      <c r="H972" s="516" t="n"/>
      <c r="I972" s="516" t="n"/>
      <c r="J972" s="516" t="n"/>
    </row>
    <row r="973">
      <c r="A973" s="516" t="n"/>
      <c r="B973" s="516" t="n"/>
      <c r="C973" s="516" t="n"/>
      <c r="D973" s="516" t="n"/>
      <c r="E973" s="516" t="n"/>
      <c r="F973" s="516" t="n"/>
      <c r="G973" s="516" t="n"/>
      <c r="H973" s="516" t="n"/>
      <c r="I973" s="516" t="n"/>
      <c r="J973" s="516" t="n"/>
    </row>
    <row r="974">
      <c r="A974" s="516" t="n"/>
      <c r="B974" s="516" t="n"/>
      <c r="C974" s="516" t="n"/>
      <c r="D974" s="516" t="n"/>
      <c r="E974" s="516" t="n"/>
      <c r="F974" s="516" t="n"/>
      <c r="G974" s="516" t="n"/>
      <c r="H974" s="516" t="n"/>
      <c r="I974" s="516" t="n"/>
      <c r="J974" s="516" t="n"/>
    </row>
    <row r="975">
      <c r="A975" s="516" t="n"/>
      <c r="B975" s="516" t="n"/>
      <c r="C975" s="516" t="n"/>
      <c r="D975" s="516" t="n"/>
      <c r="E975" s="516" t="n"/>
      <c r="F975" s="516" t="n"/>
      <c r="G975" s="516" t="n"/>
      <c r="H975" s="516" t="n"/>
      <c r="I975" s="516" t="n"/>
      <c r="J975" s="516" t="n"/>
    </row>
    <row r="976">
      <c r="A976" s="516" t="n"/>
      <c r="B976" s="516" t="n"/>
      <c r="C976" s="516" t="n"/>
      <c r="D976" s="516" t="n"/>
      <c r="E976" s="516" t="n"/>
      <c r="F976" s="516" t="n"/>
      <c r="G976" s="516" t="n"/>
      <c r="H976" s="516" t="n"/>
      <c r="I976" s="516" t="n"/>
      <c r="J976" s="516" t="n"/>
    </row>
    <row r="977">
      <c r="A977" s="516" t="n"/>
      <c r="B977" s="516" t="n"/>
      <c r="C977" s="516" t="n"/>
      <c r="D977" s="516" t="n"/>
      <c r="E977" s="516" t="n"/>
      <c r="F977" s="516" t="n"/>
      <c r="G977" s="516" t="n"/>
      <c r="H977" s="516" t="n"/>
      <c r="I977" s="516" t="n"/>
      <c r="J977" s="516" t="n"/>
    </row>
    <row r="978">
      <c r="A978" s="516" t="n"/>
      <c r="B978" s="516" t="n"/>
      <c r="C978" s="516" t="n"/>
      <c r="D978" s="516" t="n"/>
      <c r="E978" s="516" t="n"/>
      <c r="F978" s="516" t="n"/>
      <c r="G978" s="516" t="n"/>
      <c r="H978" s="516" t="n"/>
      <c r="I978" s="516" t="n"/>
      <c r="J978" s="516" t="n"/>
    </row>
    <row r="979">
      <c r="A979" s="516" t="n"/>
      <c r="B979" s="516" t="n"/>
      <c r="C979" s="516" t="n"/>
      <c r="D979" s="516" t="n"/>
      <c r="E979" s="516" t="n"/>
      <c r="F979" s="516" t="n"/>
      <c r="G979" s="516" t="n"/>
      <c r="H979" s="516" t="n"/>
      <c r="I979" s="516" t="n"/>
      <c r="J979" s="516" t="n"/>
    </row>
    <row r="980">
      <c r="A980" s="516" t="n"/>
      <c r="B980" s="516" t="n"/>
      <c r="C980" s="516" t="n"/>
      <c r="D980" s="516" t="n"/>
      <c r="E980" s="516" t="n"/>
      <c r="F980" s="516" t="n"/>
      <c r="G980" s="516" t="n"/>
      <c r="H980" s="516" t="n"/>
      <c r="I980" s="516" t="n"/>
      <c r="J980" s="516" t="n"/>
    </row>
    <row r="981">
      <c r="A981" s="516" t="n"/>
      <c r="B981" s="516" t="n"/>
      <c r="C981" s="516" t="n"/>
      <c r="D981" s="516" t="n"/>
      <c r="E981" s="516" t="n"/>
      <c r="F981" s="516" t="n"/>
      <c r="G981" s="516" t="n"/>
      <c r="H981" s="516" t="n"/>
      <c r="I981" s="516" t="n"/>
      <c r="J981" s="516" t="n"/>
    </row>
    <row r="982">
      <c r="A982" s="516" t="n"/>
      <c r="B982" s="516" t="n"/>
      <c r="C982" s="516" t="n"/>
      <c r="D982" s="516" t="n"/>
      <c r="E982" s="516" t="n"/>
      <c r="F982" s="516" t="n"/>
      <c r="G982" s="516" t="n"/>
      <c r="H982" s="516" t="n"/>
      <c r="I982" s="516" t="n"/>
      <c r="J982" s="516" t="n"/>
    </row>
    <row r="983">
      <c r="A983" s="516" t="n"/>
      <c r="B983" s="516" t="n"/>
      <c r="C983" s="516" t="n"/>
      <c r="D983" s="516" t="n"/>
      <c r="E983" s="516" t="n"/>
      <c r="F983" s="516" t="n"/>
      <c r="G983" s="516" t="n"/>
      <c r="H983" s="516" t="n"/>
      <c r="I983" s="516" t="n"/>
      <c r="J983" s="516" t="n"/>
    </row>
    <row r="984">
      <c r="A984" s="516" t="n"/>
      <c r="B984" s="516" t="n"/>
      <c r="C984" s="516" t="n"/>
      <c r="D984" s="516" t="n"/>
      <c r="E984" s="516" t="n"/>
      <c r="F984" s="516" t="n"/>
      <c r="G984" s="516" t="n"/>
      <c r="H984" s="516" t="n"/>
      <c r="I984" s="516" t="n"/>
      <c r="J984" s="516" t="n"/>
    </row>
    <row r="985">
      <c r="A985" s="516" t="n"/>
      <c r="B985" s="516" t="n"/>
      <c r="C985" s="516" t="n"/>
      <c r="D985" s="516" t="n"/>
      <c r="E985" s="516" t="n"/>
      <c r="F985" s="516" t="n"/>
      <c r="G985" s="516" t="n"/>
      <c r="H985" s="516" t="n"/>
      <c r="I985" s="516" t="n"/>
      <c r="J985" s="516" t="n"/>
    </row>
    <row r="986">
      <c r="A986" s="516" t="n"/>
      <c r="B986" s="516" t="n"/>
      <c r="C986" s="516" t="n"/>
      <c r="D986" s="516" t="n"/>
      <c r="E986" s="516" t="n"/>
      <c r="F986" s="516" t="n"/>
      <c r="G986" s="516" t="n"/>
      <c r="H986" s="516" t="n"/>
      <c r="I986" s="516" t="n"/>
      <c r="J986" s="516" t="n"/>
    </row>
    <row r="987">
      <c r="A987" s="516" t="n"/>
      <c r="B987" s="516" t="n"/>
      <c r="C987" s="516" t="n"/>
      <c r="D987" s="516" t="n"/>
      <c r="E987" s="516" t="n"/>
      <c r="F987" s="516" t="n"/>
      <c r="G987" s="516" t="n"/>
      <c r="H987" s="516" t="n"/>
      <c r="I987" s="516" t="n"/>
      <c r="J987" s="516" t="n"/>
    </row>
    <row r="988">
      <c r="A988" s="516" t="n"/>
      <c r="B988" s="516" t="n"/>
      <c r="C988" s="516" t="n"/>
      <c r="D988" s="516" t="n"/>
      <c r="E988" s="516" t="n"/>
      <c r="F988" s="516" t="n"/>
      <c r="G988" s="516" t="n"/>
      <c r="H988" s="516" t="n"/>
      <c r="I988" s="516" t="n"/>
      <c r="J988" s="516" t="n"/>
    </row>
    <row r="989">
      <c r="A989" s="516" t="n"/>
      <c r="B989" s="516" t="n"/>
      <c r="C989" s="516" t="n"/>
      <c r="D989" s="516" t="n"/>
      <c r="E989" s="516" t="n"/>
      <c r="F989" s="516" t="n"/>
      <c r="G989" s="516" t="n"/>
      <c r="H989" s="516" t="n"/>
      <c r="I989" s="516" t="n"/>
      <c r="J989" s="516" t="n"/>
    </row>
    <row r="990">
      <c r="A990" s="516" t="n"/>
      <c r="B990" s="516" t="n"/>
      <c r="C990" s="516" t="n"/>
      <c r="D990" s="516" t="n"/>
      <c r="E990" s="516" t="n"/>
      <c r="F990" s="516" t="n"/>
      <c r="G990" s="516" t="n"/>
      <c r="H990" s="516" t="n"/>
      <c r="I990" s="516" t="n"/>
      <c r="J990" s="516" t="n"/>
    </row>
    <row r="991">
      <c r="A991" s="516" t="n"/>
      <c r="B991" s="516" t="n"/>
      <c r="C991" s="516" t="n"/>
      <c r="D991" s="516" t="n"/>
      <c r="E991" s="516" t="n"/>
      <c r="F991" s="516" t="n"/>
      <c r="G991" s="516" t="n"/>
      <c r="H991" s="516" t="n"/>
      <c r="I991" s="516" t="n"/>
      <c r="J991" s="516" t="n"/>
    </row>
    <row r="992">
      <c r="A992" s="516" t="n"/>
      <c r="B992" s="516" t="n"/>
      <c r="C992" s="516" t="n"/>
      <c r="D992" s="516" t="n"/>
      <c r="E992" s="516" t="n"/>
      <c r="F992" s="516" t="n"/>
      <c r="G992" s="516" t="n"/>
      <c r="H992" s="516" t="n"/>
      <c r="I992" s="516" t="n"/>
      <c r="J992" s="516" t="n"/>
    </row>
    <row r="993">
      <c r="A993" s="516" t="n"/>
      <c r="B993" s="516" t="n"/>
      <c r="C993" s="516" t="n"/>
      <c r="D993" s="516" t="n"/>
      <c r="E993" s="516" t="n"/>
      <c r="F993" s="516" t="n"/>
      <c r="G993" s="516" t="n"/>
      <c r="H993" s="516" t="n"/>
      <c r="I993" s="516" t="n"/>
      <c r="J993" s="516" t="n"/>
    </row>
    <row r="994">
      <c r="A994" s="516" t="n"/>
      <c r="B994" s="516" t="n"/>
      <c r="C994" s="516" t="n"/>
      <c r="D994" s="516" t="n"/>
      <c r="E994" s="516" t="n"/>
      <c r="F994" s="516" t="n"/>
      <c r="G994" s="516" t="n"/>
      <c r="H994" s="516" t="n"/>
      <c r="I994" s="516" t="n"/>
      <c r="J994" s="516" t="n"/>
    </row>
    <row r="995">
      <c r="A995" s="516" t="n"/>
      <c r="B995" s="516" t="n"/>
      <c r="C995" s="516" t="n"/>
      <c r="D995" s="516" t="n"/>
      <c r="E995" s="516" t="n"/>
      <c r="F995" s="516" t="n"/>
      <c r="G995" s="516" t="n"/>
      <c r="H995" s="516" t="n"/>
      <c r="I995" s="516" t="n"/>
      <c r="J995" s="516" t="n"/>
    </row>
    <row r="996">
      <c r="A996" s="516" t="n"/>
      <c r="B996" s="516" t="n"/>
      <c r="C996" s="516" t="n"/>
      <c r="D996" s="516" t="n"/>
      <c r="E996" s="516" t="n"/>
      <c r="F996" s="516" t="n"/>
      <c r="G996" s="516" t="n"/>
      <c r="H996" s="516" t="n"/>
      <c r="I996" s="516" t="n"/>
      <c r="J996" s="516" t="n"/>
    </row>
    <row r="997">
      <c r="A997" s="516" t="n"/>
      <c r="B997" s="516" t="n"/>
      <c r="C997" s="516" t="n"/>
      <c r="D997" s="516" t="n"/>
      <c r="E997" s="516" t="n"/>
      <c r="F997" s="516" t="n"/>
      <c r="G997" s="516" t="n"/>
      <c r="H997" s="516" t="n"/>
      <c r="I997" s="516" t="n"/>
      <c r="J997" s="516" t="n"/>
    </row>
    <row r="998">
      <c r="A998" s="516" t="n"/>
      <c r="B998" s="516" t="n"/>
      <c r="C998" s="516" t="n"/>
      <c r="D998" s="516" t="n"/>
      <c r="E998" s="516" t="n"/>
      <c r="F998" s="516" t="n"/>
      <c r="G998" s="516" t="n"/>
      <c r="H998" s="516" t="n"/>
      <c r="I998" s="516" t="n"/>
      <c r="J998" s="516" t="n"/>
    </row>
    <row r="999">
      <c r="A999" s="516" t="n"/>
      <c r="B999" s="516" t="n"/>
      <c r="C999" s="516" t="n"/>
      <c r="D999" s="516" t="n"/>
      <c r="E999" s="516" t="n"/>
      <c r="F999" s="516" t="n"/>
      <c r="G999" s="516" t="n"/>
      <c r="H999" s="516" t="n"/>
      <c r="I999" s="516" t="n"/>
      <c r="J999" s="516" t="n"/>
    </row>
    <row r="1000">
      <c r="A1000" s="516" t="n"/>
      <c r="B1000" s="516" t="n"/>
      <c r="C1000" s="516" t="n"/>
      <c r="D1000" s="516" t="n"/>
      <c r="E1000" s="516" t="n"/>
      <c r="F1000" s="516" t="n"/>
      <c r="G1000" s="516" t="n"/>
      <c r="H1000" s="516" t="n"/>
      <c r="I1000" s="516" t="n"/>
      <c r="J1000" s="516" t="n"/>
    </row>
    <row r="1001">
      <c r="A1001" s="516" t="n"/>
      <c r="B1001" s="516" t="n"/>
      <c r="C1001" s="516" t="n"/>
      <c r="D1001" s="516" t="n"/>
      <c r="E1001" s="516" t="n"/>
      <c r="F1001" s="516" t="n"/>
      <c r="G1001" s="516" t="n"/>
      <c r="H1001" s="516" t="n"/>
      <c r="I1001" s="516" t="n"/>
      <c r="J1001" s="516" t="n"/>
    </row>
    <row r="1002">
      <c r="A1002" s="516" t="n"/>
      <c r="B1002" s="516" t="n"/>
      <c r="C1002" s="516" t="n"/>
      <c r="D1002" s="516" t="n"/>
      <c r="E1002" s="516" t="n"/>
      <c r="F1002" s="516" t="n"/>
      <c r="G1002" s="516" t="n"/>
      <c r="H1002" s="516" t="n"/>
      <c r="I1002" s="516" t="n"/>
      <c r="J1002" s="516" t="n"/>
    </row>
    <row r="1003">
      <c r="A1003" s="516" t="n"/>
      <c r="B1003" s="516" t="n"/>
      <c r="C1003" s="516" t="n"/>
      <c r="D1003" s="516" t="n"/>
      <c r="E1003" s="516" t="n"/>
      <c r="F1003" s="516" t="n"/>
      <c r="G1003" s="516" t="n"/>
      <c r="H1003" s="516" t="n"/>
      <c r="I1003" s="516" t="n"/>
      <c r="J1003" s="516" t="n"/>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D1001"/>
  <sheetViews>
    <sheetView workbookViewId="0">
      <pane ySplit="1" topLeftCell="A2" activePane="bottomLeft" state="frozen"/>
      <selection pane="bottomLeft" activeCell="B3" sqref="B3"/>
    </sheetView>
  </sheetViews>
  <sheetFormatPr baseColWidth="8" defaultColWidth="12.63" defaultRowHeight="15.75" customHeight="1"/>
  <cols>
    <col width="23.13" customWidth="1" style="695" min="3" max="3"/>
  </cols>
  <sheetData>
    <row r="1">
      <c r="A1" s="1" t="inlineStr">
        <is>
          <t>new names</t>
        </is>
      </c>
      <c r="B1" s="1" t="inlineStr">
        <is>
          <t>Pair number</t>
        </is>
      </c>
      <c r="C1" s="1" t="inlineStr">
        <is>
          <t>School name / identification #</t>
        </is>
      </c>
      <c r="D1" s="1" t="inlineStr">
        <is>
          <t>Control or intervention?</t>
        </is>
      </c>
      <c r="E1" s="1" t="inlineStr">
        <is>
          <t>Year school started Hilin Mu (enter "NA" for control schools)</t>
        </is>
      </c>
      <c r="F1" s="1" t="inlineStr">
        <is>
          <t>Year evaluated (there must be a control school also evaluated this year)</t>
        </is>
      </c>
      <c r="G1" s="1" t="inlineStr">
        <is>
          <t>Number of grade 6/CM2 Hilin Mu groups (safe spaces) in year prior to evaluation</t>
        </is>
      </c>
      <c r="H1" s="1" t="inlineStr">
        <is>
          <t>Number of grade 5/CM2 students in Hilin Mu (during CM2) in year prior to evaluation (including later dropouts)</t>
        </is>
      </c>
      <c r="I1" s="1" t="inlineStr">
        <is>
          <t>Have 1 or 2 complete years of Hilin Mu group participation by end CM2?</t>
        </is>
      </c>
      <c r="J1" s="1" t="inlineStr">
        <is>
          <t>[ignore]</t>
        </is>
      </c>
      <c r="K1" s="1" t="inlineStr">
        <is>
          <t>Percent of girls who dropped out of primary school during or after grade 5/CM2 (dropout/abandonment rate)</t>
        </is>
      </c>
      <c r="L1" s="1" t="inlineStr">
        <is>
          <t>Percent of girls passing secondary exam (score of 5 or higher)</t>
        </is>
      </c>
      <c r="M1" s="1" t="inlineStr">
        <is>
          <t>Percent of girls in enrolled in secondary school + presence in class in year of evaluation</t>
        </is>
      </c>
      <c r="N1" s="1" t="inlineStr">
        <is>
          <t>Mathematics improvement (difference between LFF pre-test and post-test for CM2)</t>
        </is>
      </c>
      <c r="O1" s="1" t="inlineStr">
        <is>
          <t>French improvement (difference between LFF CM2 pre-test and post-test for CM2)</t>
        </is>
      </c>
      <c r="P1" s="1" t="inlineStr">
        <is>
          <t>Moyen (difference between LFF pre-test and post-test for CM2)</t>
        </is>
      </c>
    </row>
    <row r="2">
      <c r="A2" s="15" t="inlineStr">
        <is>
          <t>old names</t>
        </is>
      </c>
      <c r="B2" s="15" t="inlineStr">
        <is>
          <t>Pair number</t>
        </is>
      </c>
      <c r="C2" s="15" t="inlineStr">
        <is>
          <t>School number / identifier</t>
        </is>
      </c>
      <c r="D2" s="15" t="inlineStr">
        <is>
          <t>Control or intervention?</t>
        </is>
      </c>
      <c r="E2" s="15" t="inlineStr">
        <is>
          <t>Year school started Hilin Mu (enter "NA" for control schools)</t>
        </is>
      </c>
      <c r="F2" s="15" t="inlineStr">
        <is>
          <t>Year evaluated (there must be a control school also evaluated this year)</t>
        </is>
      </c>
      <c r="G2" s="15" t="inlineStr">
        <is>
          <t>Number of Hilin Mu groups for year 6 students in the prior year</t>
        </is>
      </c>
      <c r="H2" s="15" t="inlineStr">
        <is>
          <t>Number of year 6 girls in Hilin Mu schools in prior year</t>
        </is>
      </c>
      <c r="I2" s="15" t="n"/>
      <c r="J2" s="15" t="inlineStr">
        <is>
          <t>Percent of girls enrolled in secondary school</t>
        </is>
      </c>
      <c r="K2" s="15" t="inlineStr">
        <is>
          <t>Percent of girls who dropped out of primary school (dropout rate)</t>
        </is>
      </c>
      <c r="L2" s="15" t="inlineStr">
        <is>
          <t>Percent of girls passing secondary exam</t>
        </is>
      </c>
      <c r="M2" s="15" t="inlineStr">
        <is>
          <t>Percent of girls in enrolled in secondary school + presence in class</t>
        </is>
      </c>
      <c r="N2" s="15" t="inlineStr">
        <is>
          <t>Secondary exam math scores</t>
        </is>
      </c>
      <c r="O2" s="15" t="inlineStr">
        <is>
          <t>Secondary exam French scores</t>
        </is>
      </c>
      <c r="P2" s="15" t="n"/>
      <c r="T2" s="18" t="n"/>
      <c r="U2" s="18" t="n"/>
      <c r="V2" s="18" t="n"/>
      <c r="W2" s="18" t="n"/>
      <c r="X2" s="18" t="n"/>
      <c r="Y2" s="18" t="n"/>
      <c r="Z2" s="18" t="n"/>
      <c r="AA2" s="18" t="n"/>
      <c r="AB2" s="18" t="n"/>
      <c r="AC2" s="18" t="n"/>
      <c r="AD2" s="18" t="n"/>
    </row>
    <row r="3">
      <c r="A3" s="20" t="n"/>
      <c r="B3" s="20" t="inlineStr">
        <is>
          <t>A</t>
        </is>
      </c>
      <c r="C3" s="22" t="inlineStr">
        <is>
          <t>EXAMPLE intervention</t>
        </is>
      </c>
      <c r="D3" s="22" t="inlineStr">
        <is>
          <t>Intervention</t>
        </is>
      </c>
      <c r="E3" s="22" t="n">
        <v>2018</v>
      </c>
      <c r="F3" s="22" t="n">
        <v>2019</v>
      </c>
      <c r="G3" s="22" t="n">
        <v>1</v>
      </c>
      <c r="H3" s="22" t="n">
        <v>16</v>
      </c>
      <c r="I3" s="20" t="n">
        <v>1</v>
      </c>
      <c r="J3" s="20" t="n">
        <v>94</v>
      </c>
      <c r="K3" s="20" t="n">
        <v>3</v>
      </c>
      <c r="L3" s="20" t="n">
        <v>98</v>
      </c>
      <c r="M3" s="20" t="n">
        <v>83</v>
      </c>
      <c r="N3" s="20" t="n">
        <v>75</v>
      </c>
      <c r="O3" s="20" t="n">
        <v>82</v>
      </c>
      <c r="P3" s="20" t="n"/>
    </row>
    <row r="4">
      <c r="A4" s="22" t="n"/>
      <c r="B4" s="22" t="inlineStr">
        <is>
          <t>A</t>
        </is>
      </c>
      <c r="C4" s="22" t="inlineStr">
        <is>
          <t>EXAMPLE control</t>
        </is>
      </c>
      <c r="D4" s="22" t="inlineStr">
        <is>
          <t xml:space="preserve">Control   </t>
        </is>
      </c>
      <c r="E4" s="22" t="inlineStr">
        <is>
          <t>NA</t>
        </is>
      </c>
      <c r="F4" s="22" t="n">
        <v>2019</v>
      </c>
      <c r="G4" s="22" t="inlineStr">
        <is>
          <t>NA</t>
        </is>
      </c>
      <c r="H4" s="22" t="inlineStr">
        <is>
          <t>NA</t>
        </is>
      </c>
      <c r="I4" s="20" t="inlineStr">
        <is>
          <t>NA</t>
        </is>
      </c>
      <c r="J4" s="20" t="n">
        <v>73</v>
      </c>
      <c r="K4" s="20" t="n">
        <v>8</v>
      </c>
      <c r="L4" s="20" t="n">
        <v>82</v>
      </c>
      <c r="M4" s="20" t="n">
        <v>66</v>
      </c>
      <c r="N4" s="20" t="n">
        <v>65</v>
      </c>
      <c r="O4" s="20" t="n">
        <v>60</v>
      </c>
      <c r="P4" s="20" t="n"/>
    </row>
    <row r="5">
      <c r="C5" s="516" t="n"/>
      <c r="D5" s="516" t="n"/>
      <c r="E5" s="516" t="n"/>
      <c r="F5" s="516" t="n"/>
      <c r="G5" s="516" t="n"/>
      <c r="H5" s="516" t="n"/>
    </row>
    <row r="6">
      <c r="A6" s="516" t="n"/>
      <c r="B6" s="516" t="n">
        <v>1</v>
      </c>
      <c r="C6" s="520" t="inlineStr">
        <is>
          <t>Kataré Guidan Ousmane I (1)</t>
        </is>
      </c>
      <c r="D6" s="516" t="inlineStr">
        <is>
          <t>Intervention</t>
        </is>
      </c>
      <c r="E6" s="516" t="n">
        <v>2018</v>
      </c>
      <c r="F6" s="516" t="n">
        <v>2019</v>
      </c>
      <c r="G6" s="555" t="n">
        <v>1</v>
      </c>
      <c r="H6" s="516" t="n">
        <v>24</v>
      </c>
      <c r="I6" s="520" t="n">
        <v>1</v>
      </c>
      <c r="L6" s="552" t="n">
        <v>0.5</v>
      </c>
      <c r="M6" s="552" t="n">
        <v>0.52</v>
      </c>
    </row>
    <row r="7">
      <c r="A7" s="516" t="n"/>
      <c r="B7" s="516" t="n">
        <v>1</v>
      </c>
      <c r="C7" s="520" t="inlineStr">
        <is>
          <t>Kataré Guidan Ousmane I (2)</t>
        </is>
      </c>
      <c r="D7" s="516" t="inlineStr">
        <is>
          <t>Intervention</t>
        </is>
      </c>
      <c r="E7" s="516" t="n">
        <v>2019</v>
      </c>
      <c r="F7" s="516" t="n">
        <v>2020</v>
      </c>
      <c r="G7" s="516" t="n"/>
      <c r="H7" s="516" t="n"/>
    </row>
    <row r="8">
      <c r="A8" s="516" t="n"/>
      <c r="B8" s="516" t="n">
        <v>1</v>
      </c>
      <c r="C8" s="520" t="inlineStr">
        <is>
          <t>Kataré Guidan Ousmane I</t>
        </is>
      </c>
      <c r="D8" s="516" t="inlineStr">
        <is>
          <t>Intervention</t>
        </is>
      </c>
      <c r="E8" s="516" t="n">
        <v>2020</v>
      </c>
      <c r="F8" s="516" t="n">
        <v>2021</v>
      </c>
      <c r="G8" s="516" t="n"/>
      <c r="H8" s="516" t="n"/>
    </row>
    <row r="9">
      <c r="A9" s="516" t="n"/>
      <c r="B9" s="516" t="n">
        <v>1</v>
      </c>
      <c r="C9" s="520" t="inlineStr">
        <is>
          <t>Kataré Guidan Ousmane I</t>
        </is>
      </c>
      <c r="D9" s="516" t="inlineStr">
        <is>
          <t>Intervention</t>
        </is>
      </c>
      <c r="E9" s="516" t="n">
        <v>2021</v>
      </c>
      <c r="F9" s="516" t="n">
        <v>2022</v>
      </c>
      <c r="G9" s="516" t="n"/>
      <c r="H9" s="516" t="n"/>
    </row>
    <row r="10">
      <c r="A10" s="516" t="n"/>
      <c r="B10" s="516" t="n">
        <v>1</v>
      </c>
      <c r="C10" s="520" t="inlineStr">
        <is>
          <t>Kataré Guidan Ousmane I</t>
        </is>
      </c>
      <c r="D10" s="516" t="inlineStr">
        <is>
          <t>Intervention</t>
        </is>
      </c>
      <c r="E10" s="516" t="n">
        <v>2022</v>
      </c>
      <c r="F10" s="516" t="n">
        <v>2023</v>
      </c>
      <c r="G10" s="516" t="n"/>
      <c r="H10" s="516" t="n"/>
    </row>
    <row r="11">
      <c r="A11" s="516" t="n"/>
      <c r="B11" s="516" t="n">
        <v>1</v>
      </c>
      <c r="C11" s="520" t="inlineStr">
        <is>
          <t>Kataré Guidan Ousmane I</t>
        </is>
      </c>
      <c r="D11" s="516" t="inlineStr">
        <is>
          <t>Intervention</t>
        </is>
      </c>
      <c r="E11" s="516" t="n">
        <v>2023</v>
      </c>
      <c r="F11" s="516" t="n">
        <v>2024</v>
      </c>
      <c r="G11" s="516" t="n"/>
      <c r="H11" s="516" t="n"/>
    </row>
    <row r="12">
      <c r="A12" s="516" t="n"/>
      <c r="B12" s="516" t="n">
        <v>1</v>
      </c>
      <c r="C12" s="520" t="inlineStr">
        <is>
          <t>Soura III</t>
        </is>
      </c>
      <c r="D12" s="516" t="inlineStr">
        <is>
          <t>Control</t>
        </is>
      </c>
      <c r="E12" s="22" t="inlineStr">
        <is>
          <t>NA</t>
        </is>
      </c>
      <c r="F12" s="516" t="n">
        <v>2019</v>
      </c>
      <c r="G12" s="22" t="inlineStr">
        <is>
          <t>NA</t>
        </is>
      </c>
      <c r="H12" s="516" t="n"/>
      <c r="L12" s="552" t="n">
        <v>0.57</v>
      </c>
      <c r="M12" s="552" t="n">
        <v>0.57</v>
      </c>
    </row>
    <row r="13">
      <c r="A13" s="516" t="n"/>
      <c r="B13" s="516" t="n">
        <v>1</v>
      </c>
      <c r="C13" s="520" t="inlineStr">
        <is>
          <t>Soura III</t>
        </is>
      </c>
      <c r="D13" s="516" t="inlineStr">
        <is>
          <t>Control</t>
        </is>
      </c>
      <c r="E13" s="22" t="inlineStr">
        <is>
          <t>NA</t>
        </is>
      </c>
      <c r="F13" s="516" t="n">
        <v>2020</v>
      </c>
      <c r="G13" s="22" t="inlineStr">
        <is>
          <t>NA</t>
        </is>
      </c>
      <c r="H13" s="516" t="n"/>
    </row>
    <row r="14">
      <c r="A14" s="516" t="n"/>
      <c r="B14" s="516" t="n">
        <v>1</v>
      </c>
      <c r="C14" s="520" t="inlineStr">
        <is>
          <t>Soura III</t>
        </is>
      </c>
      <c r="D14" s="516" t="inlineStr">
        <is>
          <t>Control</t>
        </is>
      </c>
      <c r="E14" s="22" t="inlineStr">
        <is>
          <t>NA</t>
        </is>
      </c>
      <c r="F14" s="516" t="n">
        <v>2021</v>
      </c>
      <c r="G14" s="22" t="inlineStr">
        <is>
          <t>NA</t>
        </is>
      </c>
      <c r="H14" s="516" t="n"/>
    </row>
    <row r="15">
      <c r="A15" s="516" t="n"/>
      <c r="B15" s="516" t="n">
        <v>1</v>
      </c>
      <c r="C15" s="520" t="inlineStr">
        <is>
          <t>Soura III</t>
        </is>
      </c>
      <c r="D15" s="516" t="inlineStr">
        <is>
          <t>Control</t>
        </is>
      </c>
      <c r="E15" s="22" t="inlineStr">
        <is>
          <t>NA</t>
        </is>
      </c>
      <c r="F15" s="516" t="n">
        <v>2022</v>
      </c>
      <c r="G15" s="22" t="inlineStr">
        <is>
          <t>NA</t>
        </is>
      </c>
      <c r="H15" s="516" t="n"/>
    </row>
    <row r="16">
      <c r="A16" s="516" t="n"/>
      <c r="B16" s="516" t="n">
        <v>1</v>
      </c>
      <c r="C16" s="520" t="inlineStr">
        <is>
          <t>Soura III</t>
        </is>
      </c>
      <c r="D16" s="516" t="inlineStr">
        <is>
          <t>Control</t>
        </is>
      </c>
      <c r="E16" s="22" t="inlineStr">
        <is>
          <t>NA</t>
        </is>
      </c>
      <c r="F16" s="516" t="n">
        <v>2023</v>
      </c>
      <c r="G16" s="22" t="inlineStr">
        <is>
          <t>NA</t>
        </is>
      </c>
      <c r="H16" s="516" t="n"/>
    </row>
    <row r="17">
      <c r="A17" s="516" t="n"/>
      <c r="B17" s="516" t="n">
        <v>1</v>
      </c>
      <c r="C17" s="520" t="inlineStr">
        <is>
          <t>Soura III</t>
        </is>
      </c>
      <c r="D17" s="516" t="inlineStr">
        <is>
          <t>Control</t>
        </is>
      </c>
      <c r="E17" s="22" t="inlineStr">
        <is>
          <t>NA</t>
        </is>
      </c>
      <c r="F17" s="516" t="inlineStr">
        <is>
          <t>***working on id'ing a comparison</t>
        </is>
      </c>
      <c r="G17" s="22" t="inlineStr">
        <is>
          <t>NA</t>
        </is>
      </c>
      <c r="H17" s="516" t="n"/>
    </row>
    <row r="18">
      <c r="A18" s="516" t="n"/>
      <c r="B18" s="516" t="n"/>
      <c r="C18" s="516" t="n"/>
      <c r="D18" s="516" t="n"/>
      <c r="E18" s="516" t="n"/>
      <c r="F18" s="516" t="n"/>
      <c r="G18" s="516" t="n"/>
      <c r="H18" s="516" t="n"/>
    </row>
    <row r="19">
      <c r="A19" s="516" t="n"/>
      <c r="B19" s="516" t="n"/>
      <c r="C19" s="516" t="n"/>
      <c r="D19" s="516" t="n"/>
      <c r="E19" s="516" t="n"/>
      <c r="F19" s="516" t="n"/>
      <c r="G19" s="516" t="n"/>
      <c r="H19" s="516" t="n"/>
    </row>
    <row r="20">
      <c r="A20" s="516" t="n"/>
      <c r="B20" s="516" t="n"/>
      <c r="C20" s="516" t="n"/>
      <c r="D20" s="516" t="n"/>
      <c r="E20" s="516" t="n"/>
      <c r="F20" s="516" t="n"/>
      <c r="G20" s="516" t="n"/>
      <c r="H20" s="516" t="n"/>
    </row>
    <row r="21">
      <c r="A21" s="516" t="n"/>
      <c r="B21" s="516" t="n"/>
      <c r="C21" s="556" t="inlineStr">
        <is>
          <t>2022-2023 (first year that intervention girls at end of CM2 would have had 2 full years of Hilin Mu safe spaces)</t>
        </is>
      </c>
      <c r="D21" s="516" t="n"/>
      <c r="E21" s="516" t="n"/>
      <c r="F21" s="516" t="n"/>
      <c r="G21" s="516" t="n"/>
      <c r="H21" s="516" t="n"/>
    </row>
    <row r="22">
      <c r="A22" s="516" t="n"/>
      <c r="B22" s="516" t="n"/>
      <c r="C22" s="516" t="n"/>
      <c r="D22" s="516" t="n"/>
      <c r="E22" s="516" t="n"/>
      <c r="F22" s="516" t="n"/>
      <c r="G22" s="516" t="n"/>
      <c r="H22" s="516" t="n"/>
    </row>
    <row r="23">
      <c r="A23" s="516" t="n"/>
      <c r="B23" s="516" t="n"/>
      <c r="C23" s="516" t="n"/>
      <c r="D23" s="516" t="n"/>
      <c r="E23" s="516" t="n"/>
      <c r="F23" s="516" t="n"/>
      <c r="G23" s="516" t="n"/>
      <c r="H23" s="516" t="n"/>
    </row>
    <row r="24">
      <c r="A24" s="516" t="n"/>
      <c r="B24" s="516" t="n"/>
      <c r="C24" s="516" t="n"/>
      <c r="D24" s="516" t="n"/>
      <c r="E24" s="516" t="n"/>
      <c r="F24" s="516" t="n"/>
      <c r="G24" s="516" t="n"/>
      <c r="H24" s="516" t="n"/>
    </row>
    <row r="25">
      <c r="A25" s="516" t="n"/>
      <c r="B25" s="516" t="n"/>
      <c r="C25" s="516" t="n"/>
      <c r="D25" s="516" t="n"/>
      <c r="E25" s="516" t="n"/>
      <c r="F25" s="516" t="n"/>
      <c r="G25" s="516" t="n"/>
      <c r="H25" s="516" t="n"/>
    </row>
    <row r="26">
      <c r="A26" s="516" t="n"/>
      <c r="B26" s="516" t="n"/>
      <c r="C26" s="516" t="n"/>
      <c r="D26" s="516" t="n"/>
      <c r="E26" s="516" t="n"/>
      <c r="F26" s="516" t="n"/>
      <c r="G26" s="516" t="n"/>
      <c r="H26" s="516" t="n"/>
    </row>
    <row r="27">
      <c r="A27" s="516" t="n"/>
      <c r="B27" s="516" t="n"/>
      <c r="C27" s="516" t="n"/>
      <c r="D27" s="516" t="n"/>
      <c r="E27" s="516" t="n"/>
      <c r="F27" s="516" t="n"/>
      <c r="G27" s="516" t="n"/>
      <c r="H27" s="516" t="n"/>
    </row>
    <row r="28">
      <c r="A28" s="516" t="n"/>
      <c r="B28" s="516" t="n"/>
      <c r="C28" s="516" t="n"/>
      <c r="D28" s="516" t="n"/>
      <c r="E28" s="516" t="n"/>
      <c r="F28" s="516" t="n"/>
      <c r="G28" s="516" t="n"/>
      <c r="H28" s="516" t="n"/>
    </row>
    <row r="29">
      <c r="A29" s="516" t="n"/>
      <c r="B29" s="516" t="n"/>
      <c r="C29" s="516" t="n"/>
      <c r="D29" s="516" t="n"/>
      <c r="E29" s="516" t="n"/>
      <c r="F29" s="516" t="n"/>
      <c r="G29" s="516" t="n"/>
      <c r="H29" s="516" t="n"/>
    </row>
    <row r="30">
      <c r="A30" s="516" t="n"/>
      <c r="B30" s="516" t="n"/>
      <c r="C30" s="516" t="n"/>
      <c r="D30" s="516" t="n"/>
      <c r="E30" s="516" t="n"/>
      <c r="F30" s="516" t="n"/>
      <c r="G30" s="516" t="n"/>
      <c r="H30" s="516" t="n"/>
    </row>
    <row r="31">
      <c r="A31" s="516" t="n"/>
      <c r="B31" s="516" t="n"/>
      <c r="C31" s="516" t="n"/>
      <c r="D31" s="516" t="n"/>
      <c r="E31" s="516" t="n"/>
      <c r="F31" s="516" t="n"/>
      <c r="G31" s="516" t="n"/>
      <c r="H31" s="516" t="n"/>
    </row>
    <row r="32">
      <c r="A32" s="516" t="n"/>
      <c r="B32" s="516" t="n"/>
      <c r="C32" s="516" t="n"/>
      <c r="D32" s="516" t="n"/>
      <c r="E32" s="516" t="n"/>
      <c r="F32" s="516" t="n"/>
      <c r="G32" s="516" t="n"/>
      <c r="H32" s="516" t="n"/>
    </row>
    <row r="33">
      <c r="A33" s="516" t="n"/>
      <c r="B33" s="516" t="n"/>
      <c r="C33" s="516" t="n"/>
      <c r="D33" s="516" t="n"/>
      <c r="E33" s="516" t="n"/>
      <c r="F33" s="516" t="n"/>
      <c r="G33" s="516" t="n"/>
      <c r="H33" s="516" t="n"/>
    </row>
    <row r="34">
      <c r="A34" s="516" t="n"/>
      <c r="B34" s="516" t="n"/>
      <c r="C34" s="516" t="n"/>
      <c r="D34" s="516" t="n"/>
      <c r="E34" s="516" t="n"/>
      <c r="F34" s="516" t="n"/>
      <c r="G34" s="516" t="n"/>
      <c r="H34" s="516" t="n"/>
    </row>
    <row r="35">
      <c r="A35" s="516" t="n"/>
      <c r="B35" s="516" t="n"/>
      <c r="C35" s="516" t="n"/>
      <c r="D35" s="516" t="n"/>
      <c r="E35" s="516" t="n"/>
      <c r="F35" s="516" t="n"/>
      <c r="G35" s="516" t="n"/>
      <c r="H35" s="516" t="n"/>
    </row>
    <row r="36">
      <c r="A36" s="516" t="n"/>
      <c r="B36" s="516" t="n"/>
      <c r="C36" s="516" t="n"/>
      <c r="D36" s="516" t="n"/>
      <c r="E36" s="516" t="n"/>
      <c r="F36" s="516" t="n"/>
      <c r="G36" s="516" t="n"/>
      <c r="H36" s="516" t="n"/>
    </row>
    <row r="37">
      <c r="A37" s="516" t="n"/>
      <c r="B37" s="516" t="n"/>
      <c r="C37" s="516" t="n"/>
      <c r="D37" s="516" t="n"/>
      <c r="E37" s="516" t="n"/>
      <c r="F37" s="516" t="n"/>
      <c r="G37" s="516" t="n"/>
      <c r="H37" s="516" t="n"/>
    </row>
    <row r="38">
      <c r="A38" s="516" t="n"/>
      <c r="B38" s="516" t="n"/>
      <c r="C38" s="516" t="n"/>
      <c r="D38" s="516" t="n"/>
      <c r="E38" s="516" t="n"/>
      <c r="F38" s="516" t="n"/>
      <c r="G38" s="516" t="n"/>
      <c r="H38" s="516" t="n"/>
    </row>
    <row r="39">
      <c r="A39" s="516" t="n"/>
      <c r="B39" s="516" t="n"/>
      <c r="C39" s="516" t="n"/>
      <c r="D39" s="516" t="n"/>
      <c r="E39" s="516" t="n"/>
      <c r="F39" s="516" t="n"/>
      <c r="G39" s="516" t="n"/>
      <c r="H39" s="516" t="n"/>
    </row>
    <row r="40">
      <c r="A40" s="516" t="n"/>
      <c r="B40" s="516" t="n"/>
      <c r="C40" s="516" t="n"/>
      <c r="D40" s="516" t="n"/>
      <c r="E40" s="516" t="n"/>
      <c r="F40" s="516" t="n"/>
      <c r="G40" s="516" t="n"/>
      <c r="H40" s="516" t="n"/>
    </row>
    <row r="41">
      <c r="A41" s="516" t="n"/>
      <c r="B41" s="516" t="n"/>
      <c r="C41" s="516" t="n"/>
      <c r="D41" s="516" t="n"/>
      <c r="E41" s="516" t="n"/>
      <c r="F41" s="516" t="n"/>
      <c r="G41" s="516" t="n"/>
      <c r="H41" s="516" t="n"/>
    </row>
    <row r="42">
      <c r="A42" s="516" t="n"/>
      <c r="B42" s="516" t="n"/>
      <c r="C42" s="516" t="n"/>
      <c r="D42" s="516" t="n"/>
      <c r="E42" s="516" t="n"/>
      <c r="F42" s="516" t="n"/>
      <c r="G42" s="516" t="n"/>
      <c r="H42" s="516" t="n"/>
    </row>
    <row r="43">
      <c r="A43" s="516" t="n"/>
      <c r="B43" s="516" t="n"/>
      <c r="C43" s="516" t="n"/>
      <c r="D43" s="516" t="n"/>
      <c r="E43" s="516" t="n"/>
      <c r="F43" s="516" t="n"/>
      <c r="G43" s="516" t="n"/>
      <c r="H43" s="516" t="n"/>
    </row>
    <row r="44">
      <c r="A44" s="516" t="n"/>
      <c r="B44" s="516" t="n"/>
      <c r="C44" s="516" t="n"/>
      <c r="D44" s="516" t="n"/>
      <c r="E44" s="516" t="n"/>
      <c r="F44" s="516" t="n"/>
      <c r="G44" s="516" t="n"/>
      <c r="H44" s="516" t="n"/>
    </row>
    <row r="45">
      <c r="A45" s="516" t="n"/>
      <c r="B45" s="516" t="n"/>
      <c r="C45" s="516" t="n"/>
      <c r="D45" s="516" t="n"/>
      <c r="E45" s="516" t="n"/>
      <c r="F45" s="516" t="n"/>
      <c r="G45" s="516" t="n"/>
      <c r="H45" s="516" t="n"/>
    </row>
    <row r="46">
      <c r="A46" s="516" t="n"/>
      <c r="B46" s="516" t="n"/>
      <c r="C46" s="516" t="n"/>
      <c r="D46" s="516" t="n"/>
      <c r="E46" s="516" t="n"/>
      <c r="F46" s="516" t="n"/>
      <c r="G46" s="516" t="n"/>
      <c r="H46" s="516" t="n"/>
    </row>
    <row r="47">
      <c r="A47" s="516" t="n"/>
      <c r="B47" s="516" t="n"/>
      <c r="C47" s="516" t="n"/>
      <c r="D47" s="516" t="n"/>
      <c r="E47" s="516" t="n"/>
      <c r="F47" s="516" t="n"/>
      <c r="G47" s="516" t="n"/>
      <c r="H47" s="516" t="n"/>
    </row>
    <row r="48">
      <c r="A48" s="516" t="n"/>
      <c r="B48" s="516" t="n"/>
      <c r="C48" s="516" t="n"/>
      <c r="D48" s="516" t="n"/>
      <c r="E48" s="516" t="n"/>
      <c r="F48" s="516" t="n"/>
      <c r="G48" s="516" t="n"/>
      <c r="H48" s="516" t="n"/>
    </row>
    <row r="49">
      <c r="A49" s="516" t="n"/>
      <c r="B49" s="516" t="n"/>
      <c r="C49" s="516" t="n"/>
      <c r="D49" s="516" t="n"/>
      <c r="E49" s="516" t="n"/>
      <c r="F49" s="516" t="n"/>
      <c r="G49" s="516" t="n"/>
      <c r="H49" s="516" t="n"/>
    </row>
    <row r="50">
      <c r="A50" s="516" t="n"/>
      <c r="B50" s="516" t="n"/>
      <c r="C50" s="516" t="n"/>
      <c r="D50" s="516" t="n"/>
      <c r="E50" s="516" t="n"/>
      <c r="F50" s="516" t="n"/>
      <c r="G50" s="516" t="n"/>
      <c r="H50" s="516" t="n"/>
    </row>
    <row r="51">
      <c r="A51" s="516" t="n"/>
      <c r="B51" s="516" t="n"/>
      <c r="C51" s="516" t="n"/>
      <c r="D51" s="516" t="n"/>
      <c r="E51" s="516" t="n"/>
      <c r="F51" s="516" t="n"/>
      <c r="G51" s="516" t="n"/>
      <c r="H51" s="516" t="n"/>
    </row>
    <row r="52">
      <c r="A52" s="516" t="n"/>
      <c r="B52" s="516" t="n"/>
      <c r="C52" s="516" t="n"/>
      <c r="D52" s="516" t="n"/>
      <c r="E52" s="516" t="n"/>
      <c r="F52" s="516" t="n"/>
      <c r="G52" s="516" t="n"/>
      <c r="H52" s="516" t="n"/>
    </row>
    <row r="53">
      <c r="A53" s="516" t="n"/>
      <c r="B53" s="516" t="n"/>
      <c r="C53" s="516" t="n"/>
      <c r="D53" s="516" t="n"/>
      <c r="E53" s="516" t="n"/>
      <c r="F53" s="516" t="n"/>
      <c r="G53" s="516" t="n"/>
      <c r="H53" s="516" t="n"/>
    </row>
    <row r="54">
      <c r="A54" s="516" t="n"/>
      <c r="B54" s="516" t="n"/>
      <c r="C54" s="516" t="n"/>
      <c r="D54" s="516" t="n"/>
      <c r="E54" s="516" t="n"/>
      <c r="F54" s="516" t="n"/>
      <c r="G54" s="516" t="n"/>
      <c r="H54" s="516" t="n"/>
    </row>
    <row r="55">
      <c r="A55" s="516" t="n"/>
      <c r="B55" s="516" t="n"/>
      <c r="C55" s="516" t="n"/>
      <c r="D55" s="516" t="n"/>
      <c r="E55" s="516" t="n"/>
      <c r="F55" s="516" t="n"/>
      <c r="G55" s="516" t="n"/>
      <c r="H55" s="516" t="n"/>
    </row>
    <row r="56">
      <c r="A56" s="516" t="n"/>
      <c r="B56" s="516" t="n"/>
      <c r="C56" s="516" t="n"/>
      <c r="D56" s="516" t="n"/>
      <c r="E56" s="516" t="n"/>
      <c r="F56" s="516" t="n"/>
      <c r="G56" s="516" t="n"/>
      <c r="H56" s="516" t="n"/>
    </row>
    <row r="57">
      <c r="A57" s="516" t="n"/>
      <c r="B57" s="516" t="n"/>
      <c r="C57" s="516" t="n"/>
      <c r="D57" s="516" t="n"/>
      <c r="E57" s="516" t="n"/>
      <c r="F57" s="516" t="n"/>
      <c r="G57" s="516" t="n"/>
      <c r="H57" s="516" t="n"/>
    </row>
    <row r="58">
      <c r="A58" s="516" t="n"/>
      <c r="B58" s="516" t="n"/>
      <c r="C58" s="516" t="n"/>
      <c r="D58" s="516" t="n"/>
      <c r="E58" s="516" t="n"/>
      <c r="F58" s="516" t="n"/>
      <c r="G58" s="516" t="n"/>
      <c r="H58" s="516" t="n"/>
    </row>
    <row r="59">
      <c r="A59" s="516" t="n"/>
      <c r="B59" s="516" t="n"/>
      <c r="C59" s="516" t="n"/>
      <c r="D59" s="516" t="n"/>
      <c r="E59" s="516" t="n"/>
      <c r="F59" s="516" t="n"/>
      <c r="G59" s="516" t="n"/>
      <c r="H59" s="516" t="n"/>
    </row>
    <row r="60">
      <c r="A60" s="516" t="n"/>
      <c r="B60" s="516" t="n"/>
      <c r="C60" s="516" t="n"/>
      <c r="D60" s="516" t="n"/>
      <c r="E60" s="516" t="n"/>
      <c r="F60" s="516" t="n"/>
      <c r="G60" s="516" t="n"/>
      <c r="H60" s="516" t="n"/>
    </row>
    <row r="61">
      <c r="A61" s="516" t="n"/>
      <c r="B61" s="516" t="n"/>
      <c r="C61" s="516" t="n"/>
      <c r="D61" s="516" t="n"/>
      <c r="E61" s="516" t="n"/>
      <c r="F61" s="516" t="n"/>
      <c r="G61" s="516" t="n"/>
      <c r="H61" s="516" t="n"/>
    </row>
    <row r="62">
      <c r="A62" s="516" t="n"/>
      <c r="B62" s="516" t="n"/>
      <c r="C62" s="516" t="n"/>
      <c r="D62" s="516" t="n"/>
      <c r="E62" s="516" t="n"/>
      <c r="F62" s="516" t="n"/>
      <c r="G62" s="516" t="n"/>
      <c r="H62" s="516" t="n"/>
    </row>
    <row r="63">
      <c r="A63" s="516" t="n"/>
      <c r="B63" s="516" t="n"/>
      <c r="C63" s="516" t="n"/>
      <c r="D63" s="516" t="n"/>
      <c r="E63" s="516" t="n"/>
      <c r="F63" s="516" t="n"/>
      <c r="G63" s="516" t="n"/>
      <c r="H63" s="516" t="n"/>
    </row>
    <row r="64">
      <c r="A64" s="516" t="n"/>
      <c r="B64" s="516" t="n"/>
      <c r="C64" s="516" t="n"/>
      <c r="D64" s="516" t="n"/>
      <c r="E64" s="516" t="n"/>
      <c r="F64" s="516" t="n"/>
      <c r="G64" s="516" t="n"/>
      <c r="H64" s="516" t="n"/>
    </row>
    <row r="65">
      <c r="A65" s="516" t="n"/>
      <c r="B65" s="516" t="n"/>
      <c r="C65" s="516" t="n"/>
      <c r="D65" s="516" t="n"/>
      <c r="E65" s="516" t="n"/>
      <c r="F65" s="516" t="n"/>
      <c r="G65" s="516" t="n"/>
      <c r="H65" s="516" t="n"/>
    </row>
    <row r="66">
      <c r="A66" s="516" t="n"/>
      <c r="B66" s="516" t="n"/>
      <c r="C66" s="516" t="n"/>
      <c r="D66" s="516" t="n"/>
      <c r="E66" s="516" t="n"/>
      <c r="F66" s="516" t="n"/>
      <c r="G66" s="516" t="n"/>
      <c r="H66" s="516" t="n"/>
    </row>
    <row r="67">
      <c r="A67" s="516" t="n"/>
      <c r="B67" s="516" t="n"/>
      <c r="C67" s="516" t="n"/>
      <c r="D67" s="516" t="n"/>
      <c r="E67" s="516" t="n"/>
      <c r="F67" s="516" t="n"/>
      <c r="G67" s="516" t="n"/>
      <c r="H67" s="516" t="n"/>
    </row>
    <row r="68">
      <c r="A68" s="516" t="n"/>
      <c r="B68" s="516" t="n"/>
      <c r="C68" s="516" t="n"/>
      <c r="D68" s="516" t="n"/>
      <c r="E68" s="516" t="n"/>
      <c r="F68" s="516" t="n"/>
      <c r="G68" s="516" t="n"/>
      <c r="H68" s="516" t="n"/>
    </row>
    <row r="69">
      <c r="A69" s="516" t="n"/>
      <c r="B69" s="516" t="n"/>
      <c r="C69" s="516" t="n"/>
      <c r="D69" s="516" t="n"/>
      <c r="E69" s="516" t="n"/>
      <c r="F69" s="516" t="n"/>
      <c r="G69" s="516" t="n"/>
      <c r="H69" s="516" t="n"/>
    </row>
    <row r="70">
      <c r="A70" s="516" t="n"/>
      <c r="B70" s="516" t="n"/>
      <c r="C70" s="516" t="n"/>
      <c r="D70" s="516" t="n"/>
      <c r="E70" s="516" t="n"/>
      <c r="F70" s="516" t="n"/>
      <c r="G70" s="516" t="n"/>
      <c r="H70" s="516" t="n"/>
    </row>
    <row r="71">
      <c r="A71" s="516" t="n"/>
      <c r="B71" s="516" t="n"/>
      <c r="C71" s="516" t="n"/>
      <c r="D71" s="516" t="n"/>
      <c r="E71" s="516" t="n"/>
      <c r="F71" s="516" t="n"/>
      <c r="G71" s="516" t="n"/>
      <c r="H71" s="516" t="n"/>
    </row>
    <row r="72">
      <c r="A72" s="516" t="n"/>
      <c r="B72" s="516" t="n"/>
      <c r="C72" s="516" t="n"/>
      <c r="D72" s="516" t="n"/>
      <c r="E72" s="516" t="n"/>
      <c r="F72" s="516" t="n"/>
      <c r="G72" s="516" t="n"/>
      <c r="H72" s="516" t="n"/>
    </row>
    <row r="73">
      <c r="A73" s="516" t="n"/>
      <c r="B73" s="516" t="n"/>
      <c r="C73" s="516" t="n"/>
      <c r="D73" s="516" t="n"/>
      <c r="E73" s="516" t="n"/>
      <c r="F73" s="516" t="n"/>
      <c r="G73" s="516" t="n"/>
      <c r="H73" s="516" t="n"/>
    </row>
    <row r="74">
      <c r="A74" s="516" t="n"/>
      <c r="B74" s="516" t="n"/>
      <c r="C74" s="516" t="n"/>
      <c r="D74" s="516" t="n"/>
      <c r="E74" s="516" t="n"/>
      <c r="F74" s="516" t="n"/>
      <c r="G74" s="516" t="n"/>
      <c r="H74" s="516" t="n"/>
    </row>
    <row r="75">
      <c r="A75" s="516" t="n"/>
      <c r="B75" s="516" t="n"/>
      <c r="C75" s="516" t="n"/>
      <c r="D75" s="516" t="n"/>
      <c r="E75" s="516" t="n"/>
      <c r="F75" s="516" t="n"/>
      <c r="G75" s="516" t="n"/>
      <c r="H75" s="516" t="n"/>
    </row>
    <row r="76">
      <c r="A76" s="516" t="n"/>
      <c r="B76" s="516" t="n"/>
      <c r="C76" s="516" t="n"/>
      <c r="D76" s="516" t="n"/>
      <c r="E76" s="516" t="n"/>
      <c r="F76" s="516" t="n"/>
      <c r="G76" s="516" t="n"/>
      <c r="H76" s="516" t="n"/>
    </row>
    <row r="77">
      <c r="A77" s="516" t="n"/>
      <c r="B77" s="516" t="n"/>
      <c r="C77" s="516" t="n"/>
      <c r="D77" s="516" t="n"/>
      <c r="E77" s="516" t="n"/>
      <c r="F77" s="516" t="n"/>
      <c r="G77" s="516" t="n"/>
      <c r="H77" s="516" t="n"/>
    </row>
    <row r="78">
      <c r="A78" s="516" t="n"/>
      <c r="B78" s="516" t="n"/>
      <c r="C78" s="516" t="n"/>
      <c r="D78" s="516" t="n"/>
      <c r="E78" s="516" t="n"/>
      <c r="F78" s="516" t="n"/>
      <c r="G78" s="516" t="n"/>
      <c r="H78" s="516" t="n"/>
    </row>
    <row r="79">
      <c r="A79" s="516" t="n"/>
      <c r="B79" s="516" t="n"/>
      <c r="C79" s="516" t="n"/>
      <c r="D79" s="516" t="n"/>
      <c r="E79" s="516" t="n"/>
      <c r="F79" s="516" t="n"/>
      <c r="G79" s="516" t="n"/>
      <c r="H79" s="516" t="n"/>
    </row>
    <row r="80">
      <c r="A80" s="516" t="n"/>
      <c r="B80" s="516" t="n"/>
      <c r="C80" s="516" t="n"/>
      <c r="D80" s="516" t="n"/>
      <c r="E80" s="516" t="n"/>
      <c r="F80" s="516" t="n"/>
      <c r="G80" s="516" t="n"/>
      <c r="H80" s="516" t="n"/>
    </row>
    <row r="81">
      <c r="A81" s="516" t="n"/>
      <c r="B81" s="516" t="n"/>
      <c r="C81" s="516" t="n"/>
      <c r="D81" s="516" t="n"/>
      <c r="E81" s="516" t="n"/>
      <c r="F81" s="516" t="n"/>
      <c r="G81" s="516" t="n"/>
      <c r="H81" s="516" t="n"/>
    </row>
    <row r="82">
      <c r="A82" s="516" t="n"/>
      <c r="B82" s="516" t="n"/>
      <c r="C82" s="516" t="n"/>
      <c r="D82" s="516" t="n"/>
      <c r="E82" s="516" t="n"/>
      <c r="F82" s="516" t="n"/>
      <c r="G82" s="516" t="n"/>
      <c r="H82" s="516" t="n"/>
    </row>
    <row r="83">
      <c r="A83" s="516" t="n"/>
      <c r="B83" s="516" t="n"/>
      <c r="C83" s="516" t="n"/>
      <c r="D83" s="516" t="n"/>
      <c r="E83" s="516" t="n"/>
      <c r="F83" s="516" t="n"/>
      <c r="G83" s="516" t="n"/>
      <c r="H83" s="516" t="n"/>
    </row>
    <row r="84">
      <c r="A84" s="516" t="n"/>
      <c r="B84" s="516" t="n"/>
      <c r="C84" s="516" t="n"/>
      <c r="D84" s="516" t="n"/>
      <c r="E84" s="516" t="n"/>
      <c r="F84" s="516" t="n"/>
      <c r="G84" s="516" t="n"/>
      <c r="H84" s="516" t="n"/>
    </row>
    <row r="85">
      <c r="A85" s="516" t="n"/>
      <c r="B85" s="516" t="n"/>
      <c r="C85" s="516" t="n"/>
      <c r="D85" s="516" t="n"/>
      <c r="E85" s="516" t="n"/>
      <c r="F85" s="516" t="n"/>
      <c r="G85" s="516" t="n"/>
      <c r="H85" s="516" t="n"/>
    </row>
    <row r="86">
      <c r="A86" s="516" t="n"/>
      <c r="B86" s="516" t="n"/>
      <c r="C86" s="516" t="n"/>
      <c r="D86" s="516" t="n"/>
      <c r="E86" s="516" t="n"/>
      <c r="F86" s="516" t="n"/>
      <c r="G86" s="516" t="n"/>
      <c r="H86" s="516" t="n"/>
    </row>
    <row r="87">
      <c r="A87" s="516" t="n"/>
      <c r="B87" s="516" t="n"/>
      <c r="C87" s="516" t="n"/>
      <c r="D87" s="516" t="n"/>
      <c r="E87" s="516" t="n"/>
      <c r="F87" s="516" t="n"/>
      <c r="G87" s="516" t="n"/>
      <c r="H87" s="516" t="n"/>
    </row>
    <row r="88">
      <c r="A88" s="516" t="n"/>
      <c r="B88" s="516" t="n"/>
      <c r="C88" s="516" t="n"/>
      <c r="D88" s="516" t="n"/>
      <c r="E88" s="516" t="n"/>
      <c r="F88" s="516" t="n"/>
      <c r="G88" s="516" t="n"/>
      <c r="H88" s="516" t="n"/>
    </row>
    <row r="89">
      <c r="A89" s="516" t="n"/>
      <c r="B89" s="516" t="n"/>
      <c r="C89" s="516" t="n"/>
      <c r="D89" s="516" t="n"/>
      <c r="E89" s="516" t="n"/>
      <c r="F89" s="516" t="n"/>
      <c r="G89" s="516" t="n"/>
      <c r="H89" s="516" t="n"/>
    </row>
    <row r="90">
      <c r="A90" s="516" t="n"/>
      <c r="B90" s="516" t="n"/>
      <c r="C90" s="516" t="n"/>
      <c r="D90" s="516" t="n"/>
      <c r="E90" s="516" t="n"/>
      <c r="F90" s="516" t="n"/>
      <c r="G90" s="516" t="n"/>
      <c r="H90" s="516" t="n"/>
    </row>
    <row r="91">
      <c r="A91" s="516" t="n"/>
      <c r="B91" s="516" t="n"/>
      <c r="C91" s="516" t="n"/>
      <c r="D91" s="516" t="n"/>
      <c r="E91" s="516" t="n"/>
      <c r="F91" s="516" t="n"/>
      <c r="G91" s="516" t="n"/>
      <c r="H91" s="516" t="n"/>
    </row>
    <row r="92">
      <c r="A92" s="516" t="n"/>
      <c r="B92" s="516" t="n"/>
      <c r="C92" s="516" t="n"/>
      <c r="D92" s="516" t="n"/>
      <c r="E92" s="516" t="n"/>
      <c r="F92" s="516" t="n"/>
      <c r="G92" s="516" t="n"/>
      <c r="H92" s="516" t="n"/>
    </row>
    <row r="93">
      <c r="A93" s="516" t="n"/>
      <c r="B93" s="516" t="n"/>
      <c r="C93" s="516" t="n"/>
      <c r="D93" s="516" t="n"/>
      <c r="E93" s="516" t="n"/>
      <c r="F93" s="516" t="n"/>
      <c r="G93" s="516" t="n"/>
      <c r="H93" s="516" t="n"/>
    </row>
    <row r="94">
      <c r="A94" s="516" t="n"/>
      <c r="B94" s="516" t="n"/>
      <c r="C94" s="516" t="n"/>
      <c r="D94" s="516" t="n"/>
      <c r="E94" s="516" t="n"/>
      <c r="F94" s="516" t="n"/>
      <c r="G94" s="516" t="n"/>
      <c r="H94" s="516" t="n"/>
    </row>
    <row r="95">
      <c r="A95" s="516" t="n"/>
      <c r="B95" s="516" t="n"/>
      <c r="C95" s="516" t="n"/>
      <c r="D95" s="516" t="n"/>
      <c r="E95" s="516" t="n"/>
      <c r="F95" s="516" t="n"/>
      <c r="G95" s="516" t="n"/>
      <c r="H95" s="516" t="n"/>
    </row>
    <row r="96">
      <c r="A96" s="516" t="n"/>
      <c r="B96" s="516" t="n"/>
      <c r="C96" s="516" t="n"/>
      <c r="D96" s="516" t="n"/>
      <c r="E96" s="516" t="n"/>
      <c r="F96" s="516" t="n"/>
      <c r="G96" s="516" t="n"/>
      <c r="H96" s="516" t="n"/>
    </row>
    <row r="97">
      <c r="A97" s="516" t="n"/>
      <c r="B97" s="516" t="n"/>
      <c r="C97" s="516" t="n"/>
      <c r="D97" s="516" t="n"/>
      <c r="E97" s="516" t="n"/>
      <c r="F97" s="516" t="n"/>
      <c r="G97" s="516" t="n"/>
      <c r="H97" s="516" t="n"/>
    </row>
    <row r="98">
      <c r="A98" s="516" t="n"/>
      <c r="B98" s="516" t="n"/>
      <c r="C98" s="516" t="n"/>
      <c r="D98" s="516" t="n"/>
      <c r="E98" s="516" t="n"/>
      <c r="F98" s="516" t="n"/>
      <c r="G98" s="516" t="n"/>
      <c r="H98" s="516" t="n"/>
    </row>
    <row r="99">
      <c r="A99" s="516" t="n"/>
      <c r="B99" s="516" t="n"/>
      <c r="C99" s="516" t="n"/>
      <c r="D99" s="516" t="n"/>
      <c r="E99" s="516" t="n"/>
      <c r="F99" s="516" t="n"/>
      <c r="G99" s="516" t="n"/>
      <c r="H99" s="516" t="n"/>
    </row>
    <row r="100">
      <c r="A100" s="516" t="n"/>
      <c r="B100" s="516" t="n"/>
      <c r="C100" s="516" t="n"/>
      <c r="D100" s="516" t="n"/>
      <c r="E100" s="516" t="n"/>
      <c r="F100" s="516" t="n"/>
      <c r="G100" s="516" t="n"/>
      <c r="H100" s="516" t="n"/>
    </row>
    <row r="101">
      <c r="A101" s="516" t="n"/>
      <c r="B101" s="516" t="n"/>
      <c r="C101" s="516" t="n"/>
      <c r="D101" s="516" t="n"/>
      <c r="E101" s="516" t="n"/>
      <c r="F101" s="516" t="n"/>
      <c r="G101" s="516" t="n"/>
      <c r="H101" s="516" t="n"/>
    </row>
    <row r="102">
      <c r="A102" s="516" t="n"/>
      <c r="B102" s="516" t="n"/>
      <c r="C102" s="516" t="n"/>
      <c r="D102" s="516" t="n"/>
      <c r="E102" s="516" t="n"/>
      <c r="F102" s="516" t="n"/>
      <c r="G102" s="516" t="n"/>
      <c r="H102" s="516" t="n"/>
    </row>
    <row r="103">
      <c r="A103" s="516" t="n"/>
      <c r="B103" s="516" t="n"/>
      <c r="C103" s="516" t="n"/>
      <c r="D103" s="516" t="n"/>
      <c r="E103" s="516" t="n"/>
      <c r="F103" s="516" t="n"/>
      <c r="G103" s="516" t="n"/>
      <c r="H103" s="516" t="n"/>
    </row>
    <row r="104">
      <c r="A104" s="516" t="n"/>
      <c r="B104" s="516" t="n"/>
      <c r="C104" s="516" t="n"/>
      <c r="D104" s="516" t="n"/>
      <c r="E104" s="516" t="n"/>
      <c r="F104" s="516" t="n"/>
      <c r="G104" s="516" t="n"/>
      <c r="H104" s="516" t="n"/>
    </row>
    <row r="105">
      <c r="A105" s="516" t="n"/>
      <c r="B105" s="516" t="n"/>
      <c r="C105" s="516" t="n"/>
      <c r="D105" s="516" t="n"/>
      <c r="E105" s="516" t="n"/>
      <c r="F105" s="516" t="n"/>
      <c r="G105" s="516" t="n"/>
      <c r="H105" s="516" t="n"/>
    </row>
    <row r="106">
      <c r="A106" s="516" t="n"/>
      <c r="B106" s="516" t="n"/>
      <c r="C106" s="516" t="n"/>
      <c r="D106" s="516" t="n"/>
      <c r="E106" s="516" t="n"/>
      <c r="F106" s="516" t="n"/>
      <c r="G106" s="516" t="n"/>
      <c r="H106" s="516" t="n"/>
    </row>
    <row r="107">
      <c r="A107" s="516" t="n"/>
      <c r="B107" s="516" t="n"/>
      <c r="C107" s="516" t="n"/>
      <c r="D107" s="516" t="n"/>
      <c r="E107" s="516" t="n"/>
      <c r="F107" s="516" t="n"/>
      <c r="G107" s="516" t="n"/>
      <c r="H107" s="516" t="n"/>
    </row>
    <row r="108">
      <c r="A108" s="516" t="n"/>
      <c r="B108" s="516" t="n"/>
      <c r="C108" s="516" t="n"/>
      <c r="D108" s="516" t="n"/>
      <c r="E108" s="516" t="n"/>
      <c r="F108" s="516" t="n"/>
      <c r="G108" s="516" t="n"/>
      <c r="H108" s="516" t="n"/>
    </row>
    <row r="109">
      <c r="A109" s="516" t="n"/>
      <c r="B109" s="516" t="n"/>
      <c r="C109" s="516" t="n"/>
      <c r="D109" s="516" t="n"/>
      <c r="E109" s="516" t="n"/>
      <c r="F109" s="516" t="n"/>
      <c r="G109" s="516" t="n"/>
      <c r="H109" s="516" t="n"/>
    </row>
    <row r="110">
      <c r="A110" s="516" t="n"/>
      <c r="B110" s="516" t="n"/>
      <c r="C110" s="516" t="n"/>
      <c r="D110" s="516" t="n"/>
      <c r="E110" s="516" t="n"/>
      <c r="F110" s="516" t="n"/>
      <c r="G110" s="516" t="n"/>
      <c r="H110" s="516" t="n"/>
    </row>
    <row r="111">
      <c r="A111" s="516" t="n"/>
      <c r="B111" s="516" t="n"/>
      <c r="C111" s="516" t="n"/>
      <c r="D111" s="516" t="n"/>
      <c r="E111" s="516" t="n"/>
      <c r="F111" s="516" t="n"/>
      <c r="G111" s="516" t="n"/>
      <c r="H111" s="516" t="n"/>
    </row>
    <row r="112">
      <c r="A112" s="516" t="n"/>
      <c r="B112" s="516" t="n"/>
      <c r="C112" s="516" t="n"/>
      <c r="D112" s="516" t="n"/>
      <c r="E112" s="516" t="n"/>
      <c r="F112" s="516" t="n"/>
      <c r="G112" s="516" t="n"/>
      <c r="H112" s="516" t="n"/>
    </row>
    <row r="113">
      <c r="A113" s="516" t="n"/>
      <c r="B113" s="516" t="n"/>
      <c r="C113" s="516" t="n"/>
      <c r="D113" s="516" t="n"/>
      <c r="E113" s="516" t="n"/>
      <c r="F113" s="516" t="n"/>
      <c r="G113" s="516" t="n"/>
      <c r="H113" s="516" t="n"/>
    </row>
    <row r="114">
      <c r="A114" s="516" t="n"/>
      <c r="B114" s="516" t="n"/>
      <c r="C114" s="516" t="n"/>
      <c r="D114" s="516" t="n"/>
      <c r="E114" s="516" t="n"/>
      <c r="F114" s="516" t="n"/>
      <c r="G114" s="516" t="n"/>
      <c r="H114" s="516" t="n"/>
    </row>
    <row r="115">
      <c r="A115" s="516" t="n"/>
      <c r="B115" s="516" t="n"/>
      <c r="C115" s="516" t="n"/>
      <c r="D115" s="516" t="n"/>
      <c r="E115" s="516" t="n"/>
      <c r="F115" s="516" t="n"/>
      <c r="G115" s="516" t="n"/>
      <c r="H115" s="516" t="n"/>
    </row>
    <row r="116">
      <c r="A116" s="516" t="n"/>
      <c r="B116" s="516" t="n"/>
      <c r="C116" s="516" t="n"/>
      <c r="D116" s="516" t="n"/>
      <c r="E116" s="516" t="n"/>
      <c r="F116" s="516" t="n"/>
      <c r="G116" s="516" t="n"/>
      <c r="H116" s="516" t="n"/>
    </row>
    <row r="117">
      <c r="A117" s="516" t="n"/>
      <c r="B117" s="516" t="n"/>
      <c r="C117" s="516" t="n"/>
      <c r="D117" s="516" t="n"/>
      <c r="E117" s="516" t="n"/>
      <c r="F117" s="516" t="n"/>
      <c r="G117" s="516" t="n"/>
      <c r="H117" s="516" t="n"/>
    </row>
    <row r="118">
      <c r="A118" s="516" t="n"/>
      <c r="B118" s="516" t="n"/>
      <c r="C118" s="516" t="n"/>
      <c r="D118" s="516" t="n"/>
      <c r="E118" s="516" t="n"/>
      <c r="F118" s="516" t="n"/>
      <c r="G118" s="516" t="n"/>
      <c r="H118" s="516" t="n"/>
    </row>
    <row r="119">
      <c r="A119" s="516" t="n"/>
      <c r="B119" s="516" t="n"/>
      <c r="C119" s="516" t="n"/>
      <c r="D119" s="516" t="n"/>
      <c r="E119" s="516" t="n"/>
      <c r="F119" s="516" t="n"/>
      <c r="G119" s="516" t="n"/>
      <c r="H119" s="516" t="n"/>
    </row>
    <row r="120">
      <c r="A120" s="516" t="n"/>
      <c r="B120" s="516" t="n"/>
      <c r="C120" s="516" t="n"/>
      <c r="D120" s="516" t="n"/>
      <c r="E120" s="516" t="n"/>
      <c r="F120" s="516" t="n"/>
      <c r="G120" s="516" t="n"/>
      <c r="H120" s="516" t="n"/>
    </row>
    <row r="121">
      <c r="A121" s="516" t="n"/>
      <c r="B121" s="516" t="n"/>
      <c r="C121" s="516" t="n"/>
      <c r="D121" s="516" t="n"/>
      <c r="E121" s="516" t="n"/>
      <c r="F121" s="516" t="n"/>
      <c r="G121" s="516" t="n"/>
      <c r="H121" s="516" t="n"/>
    </row>
    <row r="122">
      <c r="A122" s="516" t="n"/>
      <c r="B122" s="516" t="n"/>
      <c r="C122" s="516" t="n"/>
      <c r="D122" s="516" t="n"/>
      <c r="E122" s="516" t="n"/>
      <c r="F122" s="516" t="n"/>
      <c r="G122" s="516" t="n"/>
      <c r="H122" s="516" t="n"/>
    </row>
    <row r="123">
      <c r="A123" s="516" t="n"/>
      <c r="B123" s="516" t="n"/>
      <c r="C123" s="516" t="n"/>
      <c r="D123" s="516" t="n"/>
      <c r="E123" s="516" t="n"/>
      <c r="F123" s="516" t="n"/>
      <c r="G123" s="516" t="n"/>
      <c r="H123" s="516" t="n"/>
    </row>
    <row r="124">
      <c r="A124" s="516" t="n"/>
      <c r="B124" s="516" t="n"/>
      <c r="C124" s="516" t="n"/>
      <c r="D124" s="516" t="n"/>
      <c r="E124" s="516" t="n"/>
      <c r="F124" s="516" t="n"/>
      <c r="G124" s="516" t="n"/>
      <c r="H124" s="516" t="n"/>
    </row>
    <row r="125">
      <c r="A125" s="516" t="n"/>
      <c r="B125" s="516" t="n"/>
      <c r="C125" s="516" t="n"/>
      <c r="D125" s="516" t="n"/>
      <c r="E125" s="516" t="n"/>
      <c r="F125" s="516" t="n"/>
      <c r="G125" s="516" t="n"/>
      <c r="H125" s="516" t="n"/>
    </row>
    <row r="126">
      <c r="A126" s="516" t="n"/>
      <c r="B126" s="516" t="n"/>
      <c r="C126" s="516" t="n"/>
      <c r="D126" s="516" t="n"/>
      <c r="E126" s="516" t="n"/>
      <c r="F126" s="516" t="n"/>
      <c r="G126" s="516" t="n"/>
      <c r="H126" s="516" t="n"/>
    </row>
    <row r="127">
      <c r="A127" s="516" t="n"/>
      <c r="B127" s="516" t="n"/>
      <c r="C127" s="516" t="n"/>
      <c r="D127" s="516" t="n"/>
      <c r="E127" s="516" t="n"/>
      <c r="F127" s="516" t="n"/>
      <c r="G127" s="516" t="n"/>
      <c r="H127" s="516" t="n"/>
    </row>
    <row r="128">
      <c r="A128" s="516" t="n"/>
      <c r="B128" s="516" t="n"/>
      <c r="C128" s="516" t="n"/>
      <c r="D128" s="516" t="n"/>
      <c r="E128" s="516" t="n"/>
      <c r="F128" s="516" t="n"/>
      <c r="G128" s="516" t="n"/>
      <c r="H128" s="516" t="n"/>
    </row>
    <row r="129">
      <c r="A129" s="516" t="n"/>
      <c r="B129" s="516" t="n"/>
      <c r="C129" s="516" t="n"/>
      <c r="D129" s="516" t="n"/>
      <c r="E129" s="516" t="n"/>
      <c r="F129" s="516" t="n"/>
      <c r="G129" s="516" t="n"/>
      <c r="H129" s="516" t="n"/>
    </row>
    <row r="130">
      <c r="A130" s="516" t="n"/>
      <c r="B130" s="516" t="n"/>
      <c r="C130" s="516" t="n"/>
      <c r="D130" s="516" t="n"/>
      <c r="E130" s="516" t="n"/>
      <c r="F130" s="516" t="n"/>
      <c r="G130" s="516" t="n"/>
      <c r="H130" s="516" t="n"/>
    </row>
    <row r="131">
      <c r="A131" s="516" t="n"/>
      <c r="B131" s="516" t="n"/>
      <c r="C131" s="516" t="n"/>
      <c r="D131" s="516" t="n"/>
      <c r="E131" s="516" t="n"/>
      <c r="F131" s="516" t="n"/>
      <c r="G131" s="516" t="n"/>
      <c r="H131" s="516" t="n"/>
    </row>
    <row r="132">
      <c r="A132" s="516" t="n"/>
      <c r="B132" s="516" t="n"/>
      <c r="C132" s="516" t="n"/>
      <c r="D132" s="516" t="n"/>
      <c r="E132" s="516" t="n"/>
      <c r="F132" s="516" t="n"/>
      <c r="G132" s="516" t="n"/>
      <c r="H132" s="516" t="n"/>
    </row>
    <row r="133">
      <c r="A133" s="516" t="n"/>
      <c r="B133" s="516" t="n"/>
      <c r="C133" s="516" t="n"/>
      <c r="D133" s="516" t="n"/>
      <c r="E133" s="516" t="n"/>
      <c r="F133" s="516" t="n"/>
      <c r="G133" s="516" t="n"/>
      <c r="H133" s="516" t="n"/>
    </row>
    <row r="134">
      <c r="A134" s="516" t="n"/>
      <c r="B134" s="516" t="n"/>
      <c r="C134" s="516" t="n"/>
      <c r="D134" s="516" t="n"/>
      <c r="E134" s="516" t="n"/>
      <c r="F134" s="516" t="n"/>
      <c r="G134" s="516" t="n"/>
      <c r="H134" s="516" t="n"/>
    </row>
    <row r="135">
      <c r="A135" s="516" t="n"/>
      <c r="B135" s="516" t="n"/>
      <c r="C135" s="516" t="n"/>
      <c r="D135" s="516" t="n"/>
      <c r="E135" s="516" t="n"/>
      <c r="F135" s="516" t="n"/>
      <c r="G135" s="516" t="n"/>
      <c r="H135" s="516" t="n"/>
    </row>
    <row r="136">
      <c r="A136" s="516" t="n"/>
      <c r="B136" s="516" t="n"/>
      <c r="C136" s="516" t="n"/>
      <c r="D136" s="516" t="n"/>
      <c r="E136" s="516" t="n"/>
      <c r="F136" s="516" t="n"/>
      <c r="G136" s="516" t="n"/>
      <c r="H136" s="516" t="n"/>
    </row>
    <row r="137">
      <c r="A137" s="516" t="n"/>
      <c r="B137" s="516" t="n"/>
      <c r="C137" s="516" t="n"/>
      <c r="D137" s="516" t="n"/>
      <c r="E137" s="516" t="n"/>
      <c r="F137" s="516" t="n"/>
      <c r="G137" s="516" t="n"/>
      <c r="H137" s="516" t="n"/>
    </row>
    <row r="138">
      <c r="A138" s="516" t="n"/>
      <c r="B138" s="516" t="n"/>
      <c r="C138" s="516" t="n"/>
      <c r="D138" s="516" t="n"/>
      <c r="E138" s="516" t="n"/>
      <c r="F138" s="516" t="n"/>
      <c r="G138" s="516" t="n"/>
      <c r="H138" s="516" t="n"/>
    </row>
    <row r="139">
      <c r="A139" s="516" t="n"/>
      <c r="B139" s="516" t="n"/>
      <c r="C139" s="516" t="n"/>
      <c r="D139" s="516" t="n"/>
      <c r="E139" s="516" t="n"/>
      <c r="F139" s="516" t="n"/>
      <c r="G139" s="516" t="n"/>
      <c r="H139" s="516" t="n"/>
    </row>
    <row r="140">
      <c r="A140" s="516" t="n"/>
      <c r="B140" s="516" t="n"/>
      <c r="C140" s="516" t="n"/>
      <c r="D140" s="516" t="n"/>
      <c r="E140" s="516" t="n"/>
      <c r="F140" s="516" t="n"/>
      <c r="G140" s="516" t="n"/>
      <c r="H140" s="516" t="n"/>
    </row>
    <row r="141">
      <c r="A141" s="516" t="n"/>
      <c r="B141" s="516" t="n"/>
      <c r="C141" s="516" t="n"/>
      <c r="D141" s="516" t="n"/>
      <c r="E141" s="516" t="n"/>
      <c r="F141" s="516" t="n"/>
      <c r="G141" s="516" t="n"/>
      <c r="H141" s="516" t="n"/>
    </row>
    <row r="142">
      <c r="A142" s="516" t="n"/>
      <c r="B142" s="516" t="n"/>
      <c r="C142" s="516" t="n"/>
      <c r="D142" s="516" t="n"/>
      <c r="E142" s="516" t="n"/>
      <c r="F142" s="516" t="n"/>
      <c r="G142" s="516" t="n"/>
      <c r="H142" s="516" t="n"/>
    </row>
    <row r="143">
      <c r="A143" s="516" t="n"/>
      <c r="B143" s="516" t="n"/>
      <c r="C143" s="516" t="n"/>
      <c r="D143" s="516" t="n"/>
      <c r="E143" s="516" t="n"/>
      <c r="F143" s="516" t="n"/>
      <c r="G143" s="516" t="n"/>
      <c r="H143" s="516" t="n"/>
    </row>
    <row r="144">
      <c r="A144" s="516" t="n"/>
      <c r="B144" s="516" t="n"/>
      <c r="C144" s="516" t="n"/>
      <c r="D144" s="516" t="n"/>
      <c r="E144" s="516" t="n"/>
      <c r="F144" s="516" t="n"/>
      <c r="G144" s="516" t="n"/>
      <c r="H144" s="516" t="n"/>
    </row>
    <row r="145">
      <c r="A145" s="516" t="n"/>
      <c r="B145" s="516" t="n"/>
      <c r="C145" s="516" t="n"/>
      <c r="D145" s="516" t="n"/>
      <c r="E145" s="516" t="n"/>
      <c r="F145" s="516" t="n"/>
      <c r="G145" s="516" t="n"/>
      <c r="H145" s="516" t="n"/>
    </row>
    <row r="146">
      <c r="A146" s="516" t="n"/>
      <c r="B146" s="516" t="n"/>
      <c r="C146" s="516" t="n"/>
      <c r="D146" s="516" t="n"/>
      <c r="E146" s="516" t="n"/>
      <c r="F146" s="516" t="n"/>
      <c r="G146" s="516" t="n"/>
      <c r="H146" s="516" t="n"/>
    </row>
    <row r="147">
      <c r="A147" s="516" t="n"/>
      <c r="B147" s="516" t="n"/>
      <c r="C147" s="516" t="n"/>
      <c r="D147" s="516" t="n"/>
      <c r="E147" s="516" t="n"/>
      <c r="F147" s="516" t="n"/>
      <c r="G147" s="516" t="n"/>
      <c r="H147" s="516" t="n"/>
    </row>
    <row r="148">
      <c r="A148" s="516" t="n"/>
      <c r="B148" s="516" t="n"/>
      <c r="C148" s="516" t="n"/>
      <c r="D148" s="516" t="n"/>
      <c r="E148" s="516" t="n"/>
      <c r="F148" s="516" t="n"/>
      <c r="G148" s="516" t="n"/>
      <c r="H148" s="516" t="n"/>
    </row>
    <row r="149">
      <c r="A149" s="516" t="n"/>
      <c r="B149" s="516" t="n"/>
      <c r="C149" s="516" t="n"/>
      <c r="D149" s="516" t="n"/>
      <c r="E149" s="516" t="n"/>
      <c r="F149" s="516" t="n"/>
      <c r="G149" s="516" t="n"/>
      <c r="H149" s="516" t="n"/>
    </row>
    <row r="150">
      <c r="A150" s="516" t="n"/>
      <c r="B150" s="516" t="n"/>
      <c r="C150" s="516" t="n"/>
      <c r="D150" s="516" t="n"/>
      <c r="E150" s="516" t="n"/>
      <c r="F150" s="516" t="n"/>
      <c r="G150" s="516" t="n"/>
      <c r="H150" s="516" t="n"/>
    </row>
    <row r="151">
      <c r="A151" s="516" t="n"/>
      <c r="B151" s="516" t="n"/>
      <c r="C151" s="516" t="n"/>
      <c r="D151" s="516" t="n"/>
      <c r="E151" s="516" t="n"/>
      <c r="F151" s="516" t="n"/>
      <c r="G151" s="516" t="n"/>
      <c r="H151" s="516" t="n"/>
    </row>
    <row r="152">
      <c r="A152" s="516" t="n"/>
      <c r="B152" s="516" t="n"/>
      <c r="C152" s="516" t="n"/>
      <c r="D152" s="516" t="n"/>
      <c r="E152" s="516" t="n"/>
      <c r="F152" s="516" t="n"/>
      <c r="G152" s="516" t="n"/>
      <c r="H152" s="516" t="n"/>
    </row>
    <row r="153">
      <c r="A153" s="516" t="n"/>
      <c r="B153" s="516" t="n"/>
      <c r="C153" s="516" t="n"/>
      <c r="D153" s="516" t="n"/>
      <c r="E153" s="516" t="n"/>
      <c r="F153" s="516" t="n"/>
      <c r="G153" s="516" t="n"/>
      <c r="H153" s="516" t="n"/>
    </row>
    <row r="154">
      <c r="A154" s="516" t="n"/>
      <c r="B154" s="516" t="n"/>
      <c r="C154" s="516" t="n"/>
      <c r="D154" s="516" t="n"/>
      <c r="E154" s="516" t="n"/>
      <c r="F154" s="516" t="n"/>
      <c r="G154" s="516" t="n"/>
      <c r="H154" s="516" t="n"/>
    </row>
    <row r="155">
      <c r="A155" s="516" t="n"/>
      <c r="B155" s="516" t="n"/>
      <c r="C155" s="516" t="n"/>
      <c r="D155" s="516" t="n"/>
      <c r="E155" s="516" t="n"/>
      <c r="F155" s="516" t="n"/>
      <c r="G155" s="516" t="n"/>
      <c r="H155" s="516" t="n"/>
    </row>
    <row r="156">
      <c r="A156" s="516" t="n"/>
      <c r="B156" s="516" t="n"/>
      <c r="C156" s="516" t="n"/>
      <c r="D156" s="516" t="n"/>
      <c r="E156" s="516" t="n"/>
      <c r="F156" s="516" t="n"/>
      <c r="G156" s="516" t="n"/>
      <c r="H156" s="516" t="n"/>
    </row>
    <row r="157">
      <c r="A157" s="516" t="n"/>
      <c r="B157" s="516" t="n"/>
      <c r="C157" s="516" t="n"/>
      <c r="D157" s="516" t="n"/>
      <c r="E157" s="516" t="n"/>
      <c r="F157" s="516" t="n"/>
      <c r="G157" s="516" t="n"/>
      <c r="H157" s="516" t="n"/>
    </row>
    <row r="158">
      <c r="A158" s="516" t="n"/>
      <c r="B158" s="516" t="n"/>
      <c r="C158" s="516" t="n"/>
      <c r="D158" s="516" t="n"/>
      <c r="E158" s="516" t="n"/>
      <c r="F158" s="516" t="n"/>
      <c r="G158" s="516" t="n"/>
      <c r="H158" s="516" t="n"/>
    </row>
    <row r="159">
      <c r="A159" s="516" t="n"/>
      <c r="B159" s="516" t="n"/>
      <c r="C159" s="516" t="n"/>
      <c r="D159" s="516" t="n"/>
      <c r="E159" s="516" t="n"/>
      <c r="F159" s="516" t="n"/>
      <c r="G159" s="516" t="n"/>
      <c r="H159" s="516" t="n"/>
    </row>
    <row r="160">
      <c r="A160" s="516" t="n"/>
      <c r="B160" s="516" t="n"/>
      <c r="C160" s="516" t="n"/>
      <c r="D160" s="516" t="n"/>
      <c r="E160" s="516" t="n"/>
      <c r="F160" s="516" t="n"/>
      <c r="G160" s="516" t="n"/>
      <c r="H160" s="516" t="n"/>
    </row>
    <row r="161">
      <c r="A161" s="516" t="n"/>
      <c r="B161" s="516" t="n"/>
      <c r="C161" s="516" t="n"/>
      <c r="D161" s="516" t="n"/>
      <c r="E161" s="516" t="n"/>
      <c r="F161" s="516" t="n"/>
      <c r="G161" s="516" t="n"/>
      <c r="H161" s="516" t="n"/>
    </row>
    <row r="162">
      <c r="A162" s="516" t="n"/>
      <c r="B162" s="516" t="n"/>
      <c r="C162" s="516" t="n"/>
      <c r="D162" s="516" t="n"/>
      <c r="E162" s="516" t="n"/>
      <c r="F162" s="516" t="n"/>
      <c r="G162" s="516" t="n"/>
      <c r="H162" s="516" t="n"/>
    </row>
    <row r="163">
      <c r="A163" s="516" t="n"/>
      <c r="B163" s="516" t="n"/>
      <c r="C163" s="516" t="n"/>
      <c r="D163" s="516" t="n"/>
      <c r="E163" s="516" t="n"/>
      <c r="F163" s="516" t="n"/>
      <c r="G163" s="516" t="n"/>
      <c r="H163" s="516" t="n"/>
    </row>
    <row r="164">
      <c r="A164" s="516" t="n"/>
      <c r="B164" s="516" t="n"/>
      <c r="C164" s="516" t="n"/>
      <c r="D164" s="516" t="n"/>
      <c r="E164" s="516" t="n"/>
      <c r="F164" s="516" t="n"/>
      <c r="G164" s="516" t="n"/>
      <c r="H164" s="516" t="n"/>
    </row>
    <row r="165">
      <c r="A165" s="516" t="n"/>
      <c r="B165" s="516" t="n"/>
      <c r="C165" s="516" t="n"/>
      <c r="D165" s="516" t="n"/>
      <c r="E165" s="516" t="n"/>
      <c r="F165" s="516" t="n"/>
      <c r="G165" s="516" t="n"/>
      <c r="H165" s="516" t="n"/>
    </row>
    <row r="166">
      <c r="A166" s="516" t="n"/>
      <c r="B166" s="516" t="n"/>
      <c r="C166" s="516" t="n"/>
      <c r="D166" s="516" t="n"/>
      <c r="E166" s="516" t="n"/>
      <c r="F166" s="516" t="n"/>
      <c r="G166" s="516" t="n"/>
      <c r="H166" s="516" t="n"/>
    </row>
    <row r="167">
      <c r="A167" s="516" t="n"/>
      <c r="B167" s="516" t="n"/>
      <c r="C167" s="516" t="n"/>
      <c r="D167" s="516" t="n"/>
      <c r="E167" s="516" t="n"/>
      <c r="F167" s="516" t="n"/>
      <c r="G167" s="516" t="n"/>
      <c r="H167" s="516" t="n"/>
    </row>
    <row r="168">
      <c r="A168" s="516" t="n"/>
      <c r="B168" s="516" t="n"/>
      <c r="C168" s="516" t="n"/>
      <c r="D168" s="516" t="n"/>
      <c r="E168" s="516" t="n"/>
      <c r="F168" s="516" t="n"/>
      <c r="G168" s="516" t="n"/>
      <c r="H168" s="516" t="n"/>
    </row>
    <row r="169">
      <c r="A169" s="516" t="n"/>
      <c r="B169" s="516" t="n"/>
      <c r="C169" s="516" t="n"/>
      <c r="D169" s="516" t="n"/>
      <c r="E169" s="516" t="n"/>
      <c r="F169" s="516" t="n"/>
      <c r="G169" s="516" t="n"/>
      <c r="H169" s="516" t="n"/>
    </row>
    <row r="170">
      <c r="A170" s="516" t="n"/>
      <c r="B170" s="516" t="n"/>
      <c r="C170" s="516" t="n"/>
      <c r="D170" s="516" t="n"/>
      <c r="E170" s="516" t="n"/>
      <c r="F170" s="516" t="n"/>
      <c r="G170" s="516" t="n"/>
      <c r="H170" s="516" t="n"/>
    </row>
    <row r="171">
      <c r="A171" s="516" t="n"/>
      <c r="B171" s="516" t="n"/>
      <c r="C171" s="516" t="n"/>
      <c r="D171" s="516" t="n"/>
      <c r="E171" s="516" t="n"/>
      <c r="F171" s="516" t="n"/>
      <c r="G171" s="516" t="n"/>
      <c r="H171" s="516" t="n"/>
    </row>
    <row r="172">
      <c r="A172" s="516" t="n"/>
      <c r="B172" s="516" t="n"/>
      <c r="C172" s="516" t="n"/>
      <c r="D172" s="516" t="n"/>
      <c r="E172" s="516" t="n"/>
      <c r="F172" s="516" t="n"/>
      <c r="G172" s="516" t="n"/>
      <c r="H172" s="516" t="n"/>
    </row>
    <row r="173">
      <c r="A173" s="516" t="n"/>
      <c r="B173" s="516" t="n"/>
      <c r="C173" s="516" t="n"/>
      <c r="D173" s="516" t="n"/>
      <c r="E173" s="516" t="n"/>
      <c r="F173" s="516" t="n"/>
      <c r="G173" s="516" t="n"/>
      <c r="H173" s="516" t="n"/>
    </row>
    <row r="174">
      <c r="A174" s="516" t="n"/>
      <c r="B174" s="516" t="n"/>
      <c r="C174" s="516" t="n"/>
      <c r="D174" s="516" t="n"/>
      <c r="E174" s="516" t="n"/>
      <c r="F174" s="516" t="n"/>
      <c r="G174" s="516" t="n"/>
      <c r="H174" s="516" t="n"/>
    </row>
    <row r="175">
      <c r="A175" s="516" t="n"/>
      <c r="B175" s="516" t="n"/>
      <c r="C175" s="516" t="n"/>
      <c r="D175" s="516" t="n"/>
      <c r="E175" s="516" t="n"/>
      <c r="F175" s="516" t="n"/>
      <c r="G175" s="516" t="n"/>
      <c r="H175" s="516" t="n"/>
    </row>
    <row r="176">
      <c r="A176" s="516" t="n"/>
      <c r="B176" s="516" t="n"/>
      <c r="C176" s="516" t="n"/>
      <c r="D176" s="516" t="n"/>
      <c r="E176" s="516" t="n"/>
      <c r="F176" s="516" t="n"/>
      <c r="G176" s="516" t="n"/>
      <c r="H176" s="516" t="n"/>
    </row>
    <row r="177">
      <c r="A177" s="516" t="n"/>
      <c r="B177" s="516" t="n"/>
      <c r="C177" s="516" t="n"/>
      <c r="D177" s="516" t="n"/>
      <c r="E177" s="516" t="n"/>
      <c r="F177" s="516" t="n"/>
      <c r="G177" s="516" t="n"/>
      <c r="H177" s="516" t="n"/>
    </row>
    <row r="178">
      <c r="A178" s="516" t="n"/>
      <c r="B178" s="516" t="n"/>
      <c r="C178" s="516" t="n"/>
      <c r="D178" s="516" t="n"/>
      <c r="E178" s="516" t="n"/>
      <c r="F178" s="516" t="n"/>
      <c r="G178" s="516" t="n"/>
      <c r="H178" s="516" t="n"/>
    </row>
    <row r="179">
      <c r="A179" s="516" t="n"/>
      <c r="B179" s="516" t="n"/>
      <c r="C179" s="516" t="n"/>
      <c r="D179" s="516" t="n"/>
      <c r="E179" s="516" t="n"/>
      <c r="F179" s="516" t="n"/>
      <c r="G179" s="516" t="n"/>
      <c r="H179" s="516" t="n"/>
    </row>
    <row r="180">
      <c r="A180" s="516" t="n"/>
      <c r="B180" s="516" t="n"/>
      <c r="C180" s="516" t="n"/>
      <c r="D180" s="516" t="n"/>
      <c r="E180" s="516" t="n"/>
      <c r="F180" s="516" t="n"/>
      <c r="G180" s="516" t="n"/>
      <c r="H180" s="516" t="n"/>
    </row>
    <row r="181">
      <c r="A181" s="516" t="n"/>
      <c r="B181" s="516" t="n"/>
      <c r="C181" s="516" t="n"/>
      <c r="D181" s="516" t="n"/>
      <c r="E181" s="516" t="n"/>
      <c r="F181" s="516" t="n"/>
      <c r="G181" s="516" t="n"/>
      <c r="H181" s="516" t="n"/>
    </row>
    <row r="182">
      <c r="A182" s="516" t="n"/>
      <c r="B182" s="516" t="n"/>
      <c r="C182" s="516" t="n"/>
      <c r="D182" s="516" t="n"/>
      <c r="E182" s="516" t="n"/>
      <c r="F182" s="516" t="n"/>
      <c r="G182" s="516" t="n"/>
      <c r="H182" s="516" t="n"/>
    </row>
    <row r="183">
      <c r="A183" s="516" t="n"/>
      <c r="B183" s="516" t="n"/>
      <c r="C183" s="516" t="n"/>
      <c r="D183" s="516" t="n"/>
      <c r="E183" s="516" t="n"/>
      <c r="F183" s="516" t="n"/>
      <c r="G183" s="516" t="n"/>
      <c r="H183" s="516" t="n"/>
    </row>
    <row r="184">
      <c r="A184" s="516" t="n"/>
      <c r="B184" s="516" t="n"/>
      <c r="C184" s="516" t="n"/>
      <c r="D184" s="516" t="n"/>
      <c r="E184" s="516" t="n"/>
      <c r="F184" s="516" t="n"/>
      <c r="G184" s="516" t="n"/>
      <c r="H184" s="516" t="n"/>
    </row>
    <row r="185">
      <c r="A185" s="516" t="n"/>
      <c r="B185" s="516" t="n"/>
      <c r="C185" s="516" t="n"/>
      <c r="D185" s="516" t="n"/>
      <c r="E185" s="516" t="n"/>
      <c r="F185" s="516" t="n"/>
      <c r="G185" s="516" t="n"/>
      <c r="H185" s="516" t="n"/>
    </row>
    <row r="186">
      <c r="A186" s="516" t="n"/>
      <c r="B186" s="516" t="n"/>
      <c r="C186" s="516" t="n"/>
      <c r="D186" s="516" t="n"/>
      <c r="E186" s="516" t="n"/>
      <c r="F186" s="516" t="n"/>
      <c r="G186" s="516" t="n"/>
      <c r="H186" s="516" t="n"/>
    </row>
    <row r="187">
      <c r="A187" s="516" t="n"/>
      <c r="B187" s="516" t="n"/>
      <c r="C187" s="516" t="n"/>
      <c r="D187" s="516" t="n"/>
      <c r="E187" s="516" t="n"/>
      <c r="F187" s="516" t="n"/>
      <c r="G187" s="516" t="n"/>
      <c r="H187" s="516" t="n"/>
    </row>
    <row r="188">
      <c r="A188" s="516" t="n"/>
      <c r="B188" s="516" t="n"/>
      <c r="C188" s="516" t="n"/>
      <c r="D188" s="516" t="n"/>
      <c r="E188" s="516" t="n"/>
      <c r="F188" s="516" t="n"/>
      <c r="G188" s="516" t="n"/>
      <c r="H188" s="516" t="n"/>
    </row>
    <row r="189">
      <c r="A189" s="516" t="n"/>
      <c r="B189" s="516" t="n"/>
      <c r="C189" s="516" t="n"/>
      <c r="D189" s="516" t="n"/>
      <c r="E189" s="516" t="n"/>
      <c r="F189" s="516" t="n"/>
      <c r="G189" s="516" t="n"/>
      <c r="H189" s="516" t="n"/>
    </row>
    <row r="190">
      <c r="A190" s="516" t="n"/>
      <c r="B190" s="516" t="n"/>
      <c r="C190" s="516" t="n"/>
      <c r="D190" s="516" t="n"/>
      <c r="E190" s="516" t="n"/>
      <c r="F190" s="516" t="n"/>
      <c r="G190" s="516" t="n"/>
      <c r="H190" s="516" t="n"/>
    </row>
    <row r="191">
      <c r="A191" s="516" t="n"/>
      <c r="B191" s="516" t="n"/>
      <c r="C191" s="516" t="n"/>
      <c r="D191" s="516" t="n"/>
      <c r="E191" s="516" t="n"/>
      <c r="F191" s="516" t="n"/>
      <c r="G191" s="516" t="n"/>
      <c r="H191" s="516" t="n"/>
    </row>
    <row r="192">
      <c r="A192" s="516" t="n"/>
      <c r="B192" s="516" t="n"/>
      <c r="C192" s="516" t="n"/>
      <c r="D192" s="516" t="n"/>
      <c r="E192" s="516" t="n"/>
      <c r="F192" s="516" t="n"/>
      <c r="G192" s="516" t="n"/>
      <c r="H192" s="516" t="n"/>
    </row>
    <row r="193">
      <c r="A193" s="516" t="n"/>
      <c r="B193" s="516" t="n"/>
      <c r="C193" s="516" t="n"/>
      <c r="D193" s="516" t="n"/>
      <c r="E193" s="516" t="n"/>
      <c r="F193" s="516" t="n"/>
      <c r="G193" s="516" t="n"/>
      <c r="H193" s="516" t="n"/>
    </row>
    <row r="194">
      <c r="A194" s="516" t="n"/>
      <c r="B194" s="516" t="n"/>
      <c r="C194" s="516" t="n"/>
      <c r="D194" s="516" t="n"/>
      <c r="E194" s="516" t="n"/>
      <c r="F194" s="516" t="n"/>
      <c r="G194" s="516" t="n"/>
      <c r="H194" s="516" t="n"/>
    </row>
    <row r="195">
      <c r="A195" s="516" t="n"/>
      <c r="B195" s="516" t="n"/>
      <c r="C195" s="516" t="n"/>
      <c r="D195" s="516" t="n"/>
      <c r="E195" s="516" t="n"/>
      <c r="F195" s="516" t="n"/>
      <c r="G195" s="516" t="n"/>
      <c r="H195" s="516" t="n"/>
    </row>
    <row r="196">
      <c r="A196" s="516" t="n"/>
      <c r="B196" s="516" t="n"/>
      <c r="C196" s="516" t="n"/>
      <c r="D196" s="516" t="n"/>
      <c r="E196" s="516" t="n"/>
      <c r="F196" s="516" t="n"/>
      <c r="G196" s="516" t="n"/>
      <c r="H196" s="516" t="n"/>
    </row>
    <row r="197">
      <c r="A197" s="516" t="n"/>
      <c r="B197" s="516" t="n"/>
      <c r="C197" s="516" t="n"/>
      <c r="D197" s="516" t="n"/>
      <c r="E197" s="516" t="n"/>
      <c r="F197" s="516" t="n"/>
      <c r="G197" s="516" t="n"/>
      <c r="H197" s="516" t="n"/>
    </row>
    <row r="198">
      <c r="A198" s="516" t="n"/>
      <c r="B198" s="516" t="n"/>
      <c r="C198" s="516" t="n"/>
      <c r="D198" s="516" t="n"/>
      <c r="E198" s="516" t="n"/>
      <c r="F198" s="516" t="n"/>
      <c r="G198" s="516" t="n"/>
      <c r="H198" s="516" t="n"/>
    </row>
    <row r="199">
      <c r="A199" s="516" t="n"/>
      <c r="B199" s="516" t="n"/>
      <c r="C199" s="516" t="n"/>
      <c r="D199" s="516" t="n"/>
      <c r="E199" s="516" t="n"/>
      <c r="F199" s="516" t="n"/>
      <c r="G199" s="516" t="n"/>
      <c r="H199" s="516" t="n"/>
    </row>
    <row r="200">
      <c r="A200" s="516" t="n"/>
      <c r="B200" s="516" t="n"/>
      <c r="C200" s="516" t="n"/>
      <c r="D200" s="516" t="n"/>
      <c r="E200" s="516" t="n"/>
      <c r="F200" s="516" t="n"/>
      <c r="G200" s="516" t="n"/>
      <c r="H200" s="516" t="n"/>
    </row>
    <row r="201">
      <c r="A201" s="516" t="n"/>
      <c r="B201" s="516" t="n"/>
      <c r="C201" s="516" t="n"/>
      <c r="D201" s="516" t="n"/>
      <c r="E201" s="516" t="n"/>
      <c r="F201" s="516" t="n"/>
      <c r="G201" s="516" t="n"/>
      <c r="H201" s="516" t="n"/>
    </row>
    <row r="202">
      <c r="A202" s="516" t="n"/>
      <c r="B202" s="516" t="n"/>
      <c r="C202" s="516" t="n"/>
      <c r="D202" s="516" t="n"/>
      <c r="E202" s="516" t="n"/>
      <c r="F202" s="516" t="n"/>
      <c r="G202" s="516" t="n"/>
      <c r="H202" s="516" t="n"/>
    </row>
    <row r="203">
      <c r="A203" s="516" t="n"/>
      <c r="B203" s="516" t="n"/>
      <c r="C203" s="516" t="n"/>
      <c r="D203" s="516" t="n"/>
      <c r="E203" s="516" t="n"/>
      <c r="F203" s="516" t="n"/>
      <c r="G203" s="516" t="n"/>
      <c r="H203" s="516" t="n"/>
    </row>
    <row r="204">
      <c r="A204" s="516" t="n"/>
      <c r="B204" s="516" t="n"/>
      <c r="C204" s="516" t="n"/>
      <c r="D204" s="516" t="n"/>
      <c r="E204" s="516" t="n"/>
      <c r="F204" s="516" t="n"/>
      <c r="G204" s="516" t="n"/>
      <c r="H204" s="516" t="n"/>
    </row>
    <row r="205">
      <c r="A205" s="516" t="n"/>
      <c r="B205" s="516" t="n"/>
      <c r="C205" s="516" t="n"/>
      <c r="D205" s="516" t="n"/>
      <c r="E205" s="516" t="n"/>
      <c r="F205" s="516" t="n"/>
      <c r="G205" s="516" t="n"/>
      <c r="H205" s="516" t="n"/>
    </row>
    <row r="206">
      <c r="A206" s="516" t="n"/>
      <c r="B206" s="516" t="n"/>
      <c r="C206" s="516" t="n"/>
      <c r="D206" s="516" t="n"/>
      <c r="E206" s="516" t="n"/>
      <c r="F206" s="516" t="n"/>
      <c r="G206" s="516" t="n"/>
      <c r="H206" s="516" t="n"/>
    </row>
    <row r="207">
      <c r="A207" s="516" t="n"/>
      <c r="B207" s="516" t="n"/>
      <c r="C207" s="516" t="n"/>
      <c r="D207" s="516" t="n"/>
      <c r="E207" s="516" t="n"/>
      <c r="F207" s="516" t="n"/>
      <c r="G207" s="516" t="n"/>
      <c r="H207" s="516" t="n"/>
    </row>
    <row r="208">
      <c r="A208" s="516" t="n"/>
      <c r="B208" s="516" t="n"/>
      <c r="C208" s="516" t="n"/>
      <c r="D208" s="516" t="n"/>
      <c r="E208" s="516" t="n"/>
      <c r="F208" s="516" t="n"/>
      <c r="G208" s="516" t="n"/>
      <c r="H208" s="516" t="n"/>
    </row>
    <row r="209">
      <c r="A209" s="516" t="n"/>
      <c r="B209" s="516" t="n"/>
      <c r="C209" s="516" t="n"/>
      <c r="D209" s="516" t="n"/>
      <c r="E209" s="516" t="n"/>
      <c r="F209" s="516" t="n"/>
      <c r="G209" s="516" t="n"/>
      <c r="H209" s="516" t="n"/>
    </row>
    <row r="210">
      <c r="A210" s="516" t="n"/>
      <c r="B210" s="516" t="n"/>
      <c r="C210" s="516" t="n"/>
      <c r="D210" s="516" t="n"/>
      <c r="E210" s="516" t="n"/>
      <c r="F210" s="516" t="n"/>
      <c r="G210" s="516" t="n"/>
      <c r="H210" s="516" t="n"/>
    </row>
    <row r="211">
      <c r="A211" s="516" t="n"/>
      <c r="B211" s="516" t="n"/>
      <c r="C211" s="516" t="n"/>
      <c r="D211" s="516" t="n"/>
      <c r="E211" s="516" t="n"/>
      <c r="F211" s="516" t="n"/>
      <c r="G211" s="516" t="n"/>
      <c r="H211" s="516" t="n"/>
    </row>
    <row r="212">
      <c r="A212" s="516" t="n"/>
      <c r="B212" s="516" t="n"/>
      <c r="C212" s="516" t="n"/>
      <c r="D212" s="516" t="n"/>
      <c r="E212" s="516" t="n"/>
      <c r="F212" s="516" t="n"/>
      <c r="G212" s="516" t="n"/>
      <c r="H212" s="516" t="n"/>
    </row>
    <row r="213">
      <c r="A213" s="516" t="n"/>
      <c r="B213" s="516" t="n"/>
      <c r="C213" s="516" t="n"/>
      <c r="D213" s="516" t="n"/>
      <c r="E213" s="516" t="n"/>
      <c r="F213" s="516" t="n"/>
      <c r="G213" s="516" t="n"/>
      <c r="H213" s="516" t="n"/>
    </row>
    <row r="214">
      <c r="A214" s="516" t="n"/>
      <c r="B214" s="516" t="n"/>
      <c r="C214" s="516" t="n"/>
      <c r="D214" s="516" t="n"/>
      <c r="E214" s="516" t="n"/>
      <c r="F214" s="516" t="n"/>
      <c r="G214" s="516" t="n"/>
      <c r="H214" s="516" t="n"/>
    </row>
    <row r="215">
      <c r="A215" s="516" t="n"/>
      <c r="B215" s="516" t="n"/>
      <c r="C215" s="516" t="n"/>
      <c r="D215" s="516" t="n"/>
      <c r="E215" s="516" t="n"/>
      <c r="F215" s="516" t="n"/>
      <c r="G215" s="516" t="n"/>
      <c r="H215" s="516" t="n"/>
    </row>
    <row r="216">
      <c r="A216" s="516" t="n"/>
      <c r="B216" s="516" t="n"/>
      <c r="C216" s="516" t="n"/>
      <c r="D216" s="516" t="n"/>
      <c r="E216" s="516" t="n"/>
      <c r="F216" s="516" t="n"/>
      <c r="G216" s="516" t="n"/>
      <c r="H216" s="516" t="n"/>
    </row>
    <row r="217">
      <c r="A217" s="516" t="n"/>
      <c r="B217" s="516" t="n"/>
      <c r="C217" s="516" t="n"/>
      <c r="D217" s="516" t="n"/>
      <c r="E217" s="516" t="n"/>
      <c r="F217" s="516" t="n"/>
      <c r="G217" s="516" t="n"/>
      <c r="H217" s="516" t="n"/>
    </row>
    <row r="218">
      <c r="A218" s="516" t="n"/>
      <c r="B218" s="516" t="n"/>
      <c r="C218" s="516" t="n"/>
      <c r="D218" s="516" t="n"/>
      <c r="E218" s="516" t="n"/>
      <c r="F218" s="516" t="n"/>
      <c r="G218" s="516" t="n"/>
      <c r="H218" s="516" t="n"/>
    </row>
    <row r="219">
      <c r="A219" s="516" t="n"/>
      <c r="B219" s="516" t="n"/>
      <c r="C219" s="516" t="n"/>
      <c r="D219" s="516" t="n"/>
      <c r="E219" s="516" t="n"/>
      <c r="F219" s="516" t="n"/>
      <c r="G219" s="516" t="n"/>
      <c r="H219" s="516" t="n"/>
    </row>
    <row r="220">
      <c r="A220" s="516" t="n"/>
      <c r="B220" s="516" t="n"/>
      <c r="C220" s="516" t="n"/>
      <c r="D220" s="516" t="n"/>
      <c r="E220" s="516" t="n"/>
      <c r="F220" s="516" t="n"/>
      <c r="G220" s="516" t="n"/>
      <c r="H220" s="516" t="n"/>
    </row>
    <row r="221">
      <c r="A221" s="516" t="n"/>
      <c r="B221" s="516" t="n"/>
      <c r="C221" s="516" t="n"/>
      <c r="D221" s="516" t="n"/>
      <c r="E221" s="516" t="n"/>
      <c r="F221" s="516" t="n"/>
      <c r="G221" s="516" t="n"/>
      <c r="H221" s="516" t="n"/>
    </row>
    <row r="222">
      <c r="A222" s="516" t="n"/>
      <c r="B222" s="516" t="n"/>
      <c r="C222" s="516" t="n"/>
      <c r="D222" s="516" t="n"/>
      <c r="E222" s="516" t="n"/>
      <c r="F222" s="516" t="n"/>
      <c r="G222" s="516" t="n"/>
      <c r="H222" s="516" t="n"/>
    </row>
    <row r="223">
      <c r="A223" s="516" t="n"/>
      <c r="B223" s="516" t="n"/>
      <c r="C223" s="516" t="n"/>
      <c r="D223" s="516" t="n"/>
      <c r="E223" s="516" t="n"/>
      <c r="F223" s="516" t="n"/>
      <c r="G223" s="516" t="n"/>
      <c r="H223" s="516" t="n"/>
    </row>
    <row r="224">
      <c r="A224" s="516" t="n"/>
      <c r="B224" s="516" t="n"/>
      <c r="C224" s="516" t="n"/>
      <c r="D224" s="516" t="n"/>
      <c r="E224" s="516" t="n"/>
      <c r="F224" s="516" t="n"/>
      <c r="G224" s="516" t="n"/>
      <c r="H224" s="516" t="n"/>
    </row>
    <row r="225">
      <c r="A225" s="516" t="n"/>
      <c r="B225" s="516" t="n"/>
      <c r="C225" s="516" t="n"/>
      <c r="D225" s="516" t="n"/>
      <c r="E225" s="516" t="n"/>
      <c r="F225" s="516" t="n"/>
      <c r="G225" s="516" t="n"/>
      <c r="H225" s="516" t="n"/>
    </row>
    <row r="226">
      <c r="A226" s="516" t="n"/>
      <c r="B226" s="516" t="n"/>
      <c r="C226" s="516" t="n"/>
      <c r="D226" s="516" t="n"/>
      <c r="E226" s="516" t="n"/>
      <c r="F226" s="516" t="n"/>
      <c r="G226" s="516" t="n"/>
      <c r="H226" s="516" t="n"/>
    </row>
    <row r="227">
      <c r="A227" s="516" t="n"/>
      <c r="B227" s="516" t="n"/>
      <c r="C227" s="516" t="n"/>
      <c r="D227" s="516" t="n"/>
      <c r="E227" s="516" t="n"/>
      <c r="F227" s="516" t="n"/>
      <c r="G227" s="516" t="n"/>
      <c r="H227" s="516" t="n"/>
    </row>
    <row r="228">
      <c r="A228" s="516" t="n"/>
      <c r="B228" s="516" t="n"/>
      <c r="C228" s="516" t="n"/>
      <c r="D228" s="516" t="n"/>
      <c r="E228" s="516" t="n"/>
      <c r="F228" s="516" t="n"/>
      <c r="G228" s="516" t="n"/>
      <c r="H228" s="516" t="n"/>
    </row>
    <row r="229">
      <c r="A229" s="516" t="n"/>
      <c r="B229" s="516" t="n"/>
      <c r="C229" s="516" t="n"/>
      <c r="D229" s="516" t="n"/>
      <c r="E229" s="516" t="n"/>
      <c r="F229" s="516" t="n"/>
      <c r="G229" s="516" t="n"/>
      <c r="H229" s="516" t="n"/>
    </row>
    <row r="230">
      <c r="A230" s="516" t="n"/>
      <c r="B230" s="516" t="n"/>
      <c r="C230" s="516" t="n"/>
      <c r="D230" s="516" t="n"/>
      <c r="E230" s="516" t="n"/>
      <c r="F230" s="516" t="n"/>
      <c r="G230" s="516" t="n"/>
      <c r="H230" s="516" t="n"/>
    </row>
    <row r="231">
      <c r="A231" s="516" t="n"/>
      <c r="B231" s="516" t="n"/>
      <c r="C231" s="516" t="n"/>
      <c r="D231" s="516" t="n"/>
      <c r="E231" s="516" t="n"/>
      <c r="F231" s="516" t="n"/>
      <c r="G231" s="516" t="n"/>
      <c r="H231" s="516" t="n"/>
    </row>
    <row r="232">
      <c r="A232" s="516" t="n"/>
      <c r="B232" s="516" t="n"/>
      <c r="C232" s="516" t="n"/>
      <c r="D232" s="516" t="n"/>
      <c r="E232" s="516" t="n"/>
      <c r="F232" s="516" t="n"/>
      <c r="G232" s="516" t="n"/>
      <c r="H232" s="516" t="n"/>
    </row>
    <row r="233">
      <c r="A233" s="516" t="n"/>
      <c r="B233" s="516" t="n"/>
      <c r="C233" s="516" t="n"/>
      <c r="D233" s="516" t="n"/>
      <c r="E233" s="516" t="n"/>
      <c r="F233" s="516" t="n"/>
      <c r="G233" s="516" t="n"/>
      <c r="H233" s="516" t="n"/>
    </row>
    <row r="234">
      <c r="A234" s="516" t="n"/>
      <c r="B234" s="516" t="n"/>
      <c r="C234" s="516" t="n"/>
      <c r="D234" s="516" t="n"/>
      <c r="E234" s="516" t="n"/>
      <c r="F234" s="516" t="n"/>
      <c r="G234" s="516" t="n"/>
      <c r="H234" s="516" t="n"/>
    </row>
    <row r="235">
      <c r="A235" s="516" t="n"/>
      <c r="B235" s="516" t="n"/>
      <c r="C235" s="516" t="n"/>
      <c r="D235" s="516" t="n"/>
      <c r="E235" s="516" t="n"/>
      <c r="F235" s="516" t="n"/>
      <c r="G235" s="516" t="n"/>
      <c r="H235" s="516" t="n"/>
    </row>
    <row r="236">
      <c r="A236" s="516" t="n"/>
      <c r="B236" s="516" t="n"/>
      <c r="C236" s="516" t="n"/>
      <c r="D236" s="516" t="n"/>
      <c r="E236" s="516" t="n"/>
      <c r="F236" s="516" t="n"/>
      <c r="G236" s="516" t="n"/>
      <c r="H236" s="516" t="n"/>
    </row>
    <row r="237">
      <c r="A237" s="516" t="n"/>
      <c r="B237" s="516" t="n"/>
      <c r="C237" s="516" t="n"/>
      <c r="D237" s="516" t="n"/>
      <c r="E237" s="516" t="n"/>
      <c r="F237" s="516" t="n"/>
      <c r="G237" s="516" t="n"/>
      <c r="H237" s="516" t="n"/>
    </row>
    <row r="238">
      <c r="A238" s="516" t="n"/>
      <c r="B238" s="516" t="n"/>
      <c r="C238" s="516" t="n"/>
      <c r="D238" s="516" t="n"/>
      <c r="E238" s="516" t="n"/>
      <c r="F238" s="516" t="n"/>
      <c r="G238" s="516" t="n"/>
      <c r="H238" s="516" t="n"/>
    </row>
    <row r="239">
      <c r="A239" s="516" t="n"/>
      <c r="B239" s="516" t="n"/>
      <c r="C239" s="516" t="n"/>
      <c r="D239" s="516" t="n"/>
      <c r="E239" s="516" t="n"/>
      <c r="F239" s="516" t="n"/>
      <c r="G239" s="516" t="n"/>
      <c r="H239" s="516" t="n"/>
    </row>
    <row r="240">
      <c r="A240" s="516" t="n"/>
      <c r="B240" s="516" t="n"/>
      <c r="C240" s="516" t="n"/>
      <c r="D240" s="516" t="n"/>
      <c r="E240" s="516" t="n"/>
      <c r="F240" s="516" t="n"/>
      <c r="G240" s="516" t="n"/>
      <c r="H240" s="516" t="n"/>
    </row>
    <row r="241">
      <c r="A241" s="516" t="n"/>
      <c r="B241" s="516" t="n"/>
      <c r="C241" s="516" t="n"/>
      <c r="D241" s="516" t="n"/>
      <c r="E241" s="516" t="n"/>
      <c r="F241" s="516" t="n"/>
      <c r="G241" s="516" t="n"/>
      <c r="H241" s="516" t="n"/>
    </row>
    <row r="242">
      <c r="A242" s="516" t="n"/>
      <c r="B242" s="516" t="n"/>
      <c r="C242" s="516" t="n"/>
      <c r="D242" s="516" t="n"/>
      <c r="E242" s="516" t="n"/>
      <c r="F242" s="516" t="n"/>
      <c r="G242" s="516" t="n"/>
      <c r="H242" s="516" t="n"/>
    </row>
    <row r="243">
      <c r="A243" s="516" t="n"/>
      <c r="B243" s="516" t="n"/>
      <c r="C243" s="516" t="n"/>
      <c r="D243" s="516" t="n"/>
      <c r="E243" s="516" t="n"/>
      <c r="F243" s="516" t="n"/>
      <c r="G243" s="516" t="n"/>
      <c r="H243" s="516" t="n"/>
    </row>
    <row r="244">
      <c r="A244" s="516" t="n"/>
      <c r="B244" s="516" t="n"/>
      <c r="C244" s="516" t="n"/>
      <c r="D244" s="516" t="n"/>
      <c r="E244" s="516" t="n"/>
      <c r="F244" s="516" t="n"/>
      <c r="G244" s="516" t="n"/>
      <c r="H244" s="516" t="n"/>
    </row>
    <row r="245">
      <c r="A245" s="516" t="n"/>
      <c r="B245" s="516" t="n"/>
      <c r="C245" s="516" t="n"/>
      <c r="D245" s="516" t="n"/>
      <c r="E245" s="516" t="n"/>
      <c r="F245" s="516" t="n"/>
      <c r="G245" s="516" t="n"/>
      <c r="H245" s="516" t="n"/>
    </row>
    <row r="246">
      <c r="A246" s="516" t="n"/>
      <c r="B246" s="516" t="n"/>
      <c r="C246" s="516" t="n"/>
      <c r="D246" s="516" t="n"/>
      <c r="E246" s="516" t="n"/>
      <c r="F246" s="516" t="n"/>
      <c r="G246" s="516" t="n"/>
      <c r="H246" s="516" t="n"/>
    </row>
    <row r="247">
      <c r="A247" s="516" t="n"/>
      <c r="B247" s="516" t="n"/>
      <c r="C247" s="516" t="n"/>
      <c r="D247" s="516" t="n"/>
      <c r="E247" s="516" t="n"/>
      <c r="F247" s="516" t="n"/>
      <c r="G247" s="516" t="n"/>
      <c r="H247" s="516" t="n"/>
    </row>
    <row r="248">
      <c r="A248" s="516" t="n"/>
      <c r="B248" s="516" t="n"/>
      <c r="C248" s="516" t="n"/>
      <c r="D248" s="516" t="n"/>
      <c r="E248" s="516" t="n"/>
      <c r="F248" s="516" t="n"/>
      <c r="G248" s="516" t="n"/>
      <c r="H248" s="516" t="n"/>
    </row>
    <row r="249">
      <c r="A249" s="516" t="n"/>
      <c r="B249" s="516" t="n"/>
      <c r="C249" s="516" t="n"/>
      <c r="D249" s="516" t="n"/>
      <c r="E249" s="516" t="n"/>
      <c r="F249" s="516" t="n"/>
      <c r="G249" s="516" t="n"/>
      <c r="H249" s="516" t="n"/>
    </row>
    <row r="250">
      <c r="A250" s="516" t="n"/>
      <c r="B250" s="516" t="n"/>
      <c r="C250" s="516" t="n"/>
      <c r="D250" s="516" t="n"/>
      <c r="E250" s="516" t="n"/>
      <c r="F250" s="516" t="n"/>
      <c r="G250" s="516" t="n"/>
      <c r="H250" s="516" t="n"/>
    </row>
    <row r="251">
      <c r="A251" s="516" t="n"/>
      <c r="B251" s="516" t="n"/>
      <c r="C251" s="516" t="n"/>
      <c r="D251" s="516" t="n"/>
      <c r="E251" s="516" t="n"/>
      <c r="F251" s="516" t="n"/>
      <c r="G251" s="516" t="n"/>
      <c r="H251" s="516" t="n"/>
    </row>
    <row r="252">
      <c r="A252" s="516" t="n"/>
      <c r="B252" s="516" t="n"/>
      <c r="C252" s="516" t="n"/>
      <c r="D252" s="516" t="n"/>
      <c r="E252" s="516" t="n"/>
      <c r="F252" s="516" t="n"/>
      <c r="G252" s="516" t="n"/>
      <c r="H252" s="516" t="n"/>
    </row>
    <row r="253">
      <c r="A253" s="516" t="n"/>
      <c r="B253" s="516" t="n"/>
      <c r="C253" s="516" t="n"/>
      <c r="D253" s="516" t="n"/>
      <c r="E253" s="516" t="n"/>
      <c r="F253" s="516" t="n"/>
      <c r="G253" s="516" t="n"/>
      <c r="H253" s="516" t="n"/>
    </row>
    <row r="254">
      <c r="A254" s="516" t="n"/>
      <c r="B254" s="516" t="n"/>
      <c r="C254" s="516" t="n"/>
      <c r="D254" s="516" t="n"/>
      <c r="E254" s="516" t="n"/>
      <c r="F254" s="516" t="n"/>
      <c r="G254" s="516" t="n"/>
      <c r="H254" s="516" t="n"/>
    </row>
    <row r="255">
      <c r="A255" s="516" t="n"/>
      <c r="B255" s="516" t="n"/>
      <c r="C255" s="516" t="n"/>
      <c r="D255" s="516" t="n"/>
      <c r="E255" s="516" t="n"/>
      <c r="F255" s="516" t="n"/>
      <c r="G255" s="516" t="n"/>
      <c r="H255" s="516" t="n"/>
    </row>
    <row r="256">
      <c r="A256" s="516" t="n"/>
      <c r="B256" s="516" t="n"/>
      <c r="C256" s="516" t="n"/>
      <c r="D256" s="516" t="n"/>
      <c r="E256" s="516" t="n"/>
      <c r="F256" s="516" t="n"/>
      <c r="G256" s="516" t="n"/>
      <c r="H256" s="516" t="n"/>
    </row>
    <row r="257">
      <c r="A257" s="516" t="n"/>
      <c r="B257" s="516" t="n"/>
      <c r="C257" s="516" t="n"/>
      <c r="D257" s="516" t="n"/>
      <c r="E257" s="516" t="n"/>
      <c r="F257" s="516" t="n"/>
      <c r="G257" s="516" t="n"/>
      <c r="H257" s="516" t="n"/>
    </row>
    <row r="258">
      <c r="A258" s="516" t="n"/>
      <c r="B258" s="516" t="n"/>
      <c r="C258" s="516" t="n"/>
      <c r="D258" s="516" t="n"/>
      <c r="E258" s="516" t="n"/>
      <c r="F258" s="516" t="n"/>
      <c r="G258" s="516" t="n"/>
      <c r="H258" s="516" t="n"/>
    </row>
    <row r="259">
      <c r="A259" s="516" t="n"/>
      <c r="B259" s="516" t="n"/>
      <c r="C259" s="516" t="n"/>
      <c r="D259" s="516" t="n"/>
      <c r="E259" s="516" t="n"/>
      <c r="F259" s="516" t="n"/>
      <c r="G259" s="516" t="n"/>
      <c r="H259" s="516" t="n"/>
    </row>
    <row r="260">
      <c r="A260" s="516" t="n"/>
      <c r="B260" s="516" t="n"/>
      <c r="C260" s="516" t="n"/>
      <c r="D260" s="516" t="n"/>
      <c r="E260" s="516" t="n"/>
      <c r="F260" s="516" t="n"/>
      <c r="G260" s="516" t="n"/>
      <c r="H260" s="516" t="n"/>
    </row>
    <row r="261">
      <c r="A261" s="516" t="n"/>
      <c r="B261" s="516" t="n"/>
      <c r="C261" s="516" t="n"/>
      <c r="D261" s="516" t="n"/>
      <c r="E261" s="516" t="n"/>
      <c r="F261" s="516" t="n"/>
      <c r="G261" s="516" t="n"/>
      <c r="H261" s="516" t="n"/>
    </row>
    <row r="262">
      <c r="A262" s="516" t="n"/>
      <c r="B262" s="516" t="n"/>
      <c r="C262" s="516" t="n"/>
      <c r="D262" s="516" t="n"/>
      <c r="E262" s="516" t="n"/>
      <c r="F262" s="516" t="n"/>
      <c r="G262" s="516" t="n"/>
      <c r="H262" s="516" t="n"/>
    </row>
    <row r="263">
      <c r="A263" s="516" t="n"/>
      <c r="B263" s="516" t="n"/>
      <c r="C263" s="516" t="n"/>
      <c r="D263" s="516" t="n"/>
      <c r="E263" s="516" t="n"/>
      <c r="F263" s="516" t="n"/>
      <c r="G263" s="516" t="n"/>
      <c r="H263" s="516" t="n"/>
    </row>
    <row r="264">
      <c r="A264" s="516" t="n"/>
      <c r="B264" s="516" t="n"/>
      <c r="C264" s="516" t="n"/>
      <c r="D264" s="516" t="n"/>
      <c r="E264" s="516" t="n"/>
      <c r="F264" s="516" t="n"/>
      <c r="G264" s="516" t="n"/>
      <c r="H264" s="516" t="n"/>
    </row>
    <row r="265">
      <c r="A265" s="516" t="n"/>
      <c r="B265" s="516" t="n"/>
      <c r="C265" s="516" t="n"/>
      <c r="D265" s="516" t="n"/>
      <c r="E265" s="516" t="n"/>
      <c r="F265" s="516" t="n"/>
      <c r="G265" s="516" t="n"/>
      <c r="H265" s="516" t="n"/>
    </row>
    <row r="266">
      <c r="A266" s="516" t="n"/>
      <c r="B266" s="516" t="n"/>
      <c r="C266" s="516" t="n"/>
      <c r="D266" s="516" t="n"/>
      <c r="E266" s="516" t="n"/>
      <c r="F266" s="516" t="n"/>
      <c r="G266" s="516" t="n"/>
      <c r="H266" s="516" t="n"/>
    </row>
    <row r="267">
      <c r="A267" s="516" t="n"/>
      <c r="B267" s="516" t="n"/>
      <c r="C267" s="516" t="n"/>
      <c r="D267" s="516" t="n"/>
      <c r="E267" s="516" t="n"/>
      <c r="F267" s="516" t="n"/>
      <c r="G267" s="516" t="n"/>
      <c r="H267" s="516" t="n"/>
    </row>
    <row r="268">
      <c r="A268" s="516" t="n"/>
      <c r="B268" s="516" t="n"/>
      <c r="C268" s="516" t="n"/>
      <c r="D268" s="516" t="n"/>
      <c r="E268" s="516" t="n"/>
      <c r="F268" s="516" t="n"/>
      <c r="G268" s="516" t="n"/>
      <c r="H268" s="516" t="n"/>
    </row>
    <row r="269">
      <c r="A269" s="516" t="n"/>
      <c r="B269" s="516" t="n"/>
      <c r="C269" s="516" t="n"/>
      <c r="D269" s="516" t="n"/>
      <c r="E269" s="516" t="n"/>
      <c r="F269" s="516" t="n"/>
      <c r="G269" s="516" t="n"/>
      <c r="H269" s="516" t="n"/>
    </row>
    <row r="270">
      <c r="A270" s="516" t="n"/>
      <c r="B270" s="516" t="n"/>
      <c r="C270" s="516" t="n"/>
      <c r="D270" s="516" t="n"/>
      <c r="E270" s="516" t="n"/>
      <c r="F270" s="516" t="n"/>
      <c r="G270" s="516" t="n"/>
      <c r="H270" s="516" t="n"/>
    </row>
    <row r="271">
      <c r="A271" s="516" t="n"/>
      <c r="B271" s="516" t="n"/>
      <c r="C271" s="516" t="n"/>
      <c r="D271" s="516" t="n"/>
      <c r="E271" s="516" t="n"/>
      <c r="F271" s="516" t="n"/>
      <c r="G271" s="516" t="n"/>
      <c r="H271" s="516" t="n"/>
    </row>
    <row r="272">
      <c r="A272" s="516" t="n"/>
      <c r="B272" s="516" t="n"/>
      <c r="C272" s="516" t="n"/>
      <c r="D272" s="516" t="n"/>
      <c r="E272" s="516" t="n"/>
      <c r="F272" s="516" t="n"/>
      <c r="G272" s="516" t="n"/>
      <c r="H272" s="516" t="n"/>
    </row>
    <row r="273">
      <c r="A273" s="516" t="n"/>
      <c r="B273" s="516" t="n"/>
      <c r="C273" s="516" t="n"/>
      <c r="D273" s="516" t="n"/>
      <c r="E273" s="516" t="n"/>
      <c r="F273" s="516" t="n"/>
      <c r="G273" s="516" t="n"/>
      <c r="H273" s="516" t="n"/>
    </row>
    <row r="274">
      <c r="A274" s="516" t="n"/>
      <c r="B274" s="516" t="n"/>
      <c r="C274" s="516" t="n"/>
      <c r="D274" s="516" t="n"/>
      <c r="E274" s="516" t="n"/>
      <c r="F274" s="516" t="n"/>
      <c r="G274" s="516" t="n"/>
      <c r="H274" s="516" t="n"/>
    </row>
    <row r="275">
      <c r="A275" s="516" t="n"/>
      <c r="B275" s="516" t="n"/>
      <c r="C275" s="516" t="n"/>
      <c r="D275" s="516" t="n"/>
      <c r="E275" s="516" t="n"/>
      <c r="F275" s="516" t="n"/>
      <c r="G275" s="516" t="n"/>
      <c r="H275" s="516" t="n"/>
    </row>
    <row r="276">
      <c r="A276" s="516" t="n"/>
      <c r="B276" s="516" t="n"/>
      <c r="C276" s="516" t="n"/>
      <c r="D276" s="516" t="n"/>
      <c r="E276" s="516" t="n"/>
      <c r="F276" s="516" t="n"/>
      <c r="G276" s="516" t="n"/>
      <c r="H276" s="516" t="n"/>
    </row>
    <row r="277">
      <c r="A277" s="516" t="n"/>
      <c r="B277" s="516" t="n"/>
      <c r="C277" s="516" t="n"/>
      <c r="D277" s="516" t="n"/>
      <c r="E277" s="516" t="n"/>
      <c r="F277" s="516" t="n"/>
      <c r="G277" s="516" t="n"/>
      <c r="H277" s="516" t="n"/>
    </row>
    <row r="278">
      <c r="A278" s="516" t="n"/>
      <c r="B278" s="516" t="n"/>
      <c r="C278" s="516" t="n"/>
      <c r="D278" s="516" t="n"/>
      <c r="E278" s="516" t="n"/>
      <c r="F278" s="516" t="n"/>
      <c r="G278" s="516" t="n"/>
      <c r="H278" s="516" t="n"/>
    </row>
    <row r="279">
      <c r="A279" s="516" t="n"/>
      <c r="B279" s="516" t="n"/>
      <c r="C279" s="516" t="n"/>
      <c r="D279" s="516" t="n"/>
      <c r="E279" s="516" t="n"/>
      <c r="F279" s="516" t="n"/>
      <c r="G279" s="516" t="n"/>
      <c r="H279" s="516" t="n"/>
    </row>
    <row r="280">
      <c r="A280" s="516" t="n"/>
      <c r="B280" s="516" t="n"/>
      <c r="C280" s="516" t="n"/>
      <c r="D280" s="516" t="n"/>
      <c r="E280" s="516" t="n"/>
      <c r="F280" s="516" t="n"/>
      <c r="G280" s="516" t="n"/>
      <c r="H280" s="516" t="n"/>
    </row>
    <row r="281">
      <c r="A281" s="516" t="n"/>
      <c r="B281" s="516" t="n"/>
      <c r="C281" s="516" t="n"/>
      <c r="D281" s="516" t="n"/>
      <c r="E281" s="516" t="n"/>
      <c r="F281" s="516" t="n"/>
      <c r="G281" s="516" t="n"/>
      <c r="H281" s="516" t="n"/>
    </row>
    <row r="282">
      <c r="A282" s="516" t="n"/>
      <c r="B282" s="516" t="n"/>
      <c r="C282" s="516" t="n"/>
      <c r="D282" s="516" t="n"/>
      <c r="E282" s="516" t="n"/>
      <c r="F282" s="516" t="n"/>
      <c r="G282" s="516" t="n"/>
      <c r="H282" s="516" t="n"/>
    </row>
    <row r="283">
      <c r="A283" s="516" t="n"/>
      <c r="B283" s="516" t="n"/>
      <c r="C283" s="516" t="n"/>
      <c r="D283" s="516" t="n"/>
      <c r="E283" s="516" t="n"/>
      <c r="F283" s="516" t="n"/>
      <c r="G283" s="516" t="n"/>
      <c r="H283" s="516" t="n"/>
    </row>
    <row r="284">
      <c r="A284" s="516" t="n"/>
      <c r="B284" s="516" t="n"/>
      <c r="C284" s="516" t="n"/>
      <c r="D284" s="516" t="n"/>
      <c r="E284" s="516" t="n"/>
      <c r="F284" s="516" t="n"/>
      <c r="G284" s="516" t="n"/>
      <c r="H284" s="516" t="n"/>
    </row>
    <row r="285">
      <c r="A285" s="516" t="n"/>
      <c r="B285" s="516" t="n"/>
      <c r="C285" s="516" t="n"/>
      <c r="D285" s="516" t="n"/>
      <c r="E285" s="516" t="n"/>
      <c r="F285" s="516" t="n"/>
      <c r="G285" s="516" t="n"/>
      <c r="H285" s="516" t="n"/>
    </row>
    <row r="286">
      <c r="A286" s="516" t="n"/>
      <c r="B286" s="516" t="n"/>
      <c r="C286" s="516" t="n"/>
      <c r="D286" s="516" t="n"/>
      <c r="E286" s="516" t="n"/>
      <c r="F286" s="516" t="n"/>
      <c r="G286" s="516" t="n"/>
      <c r="H286" s="516" t="n"/>
    </row>
    <row r="287">
      <c r="A287" s="516" t="n"/>
      <c r="B287" s="516" t="n"/>
      <c r="C287" s="516" t="n"/>
      <c r="D287" s="516" t="n"/>
      <c r="E287" s="516" t="n"/>
      <c r="F287" s="516" t="n"/>
      <c r="G287" s="516" t="n"/>
      <c r="H287" s="516" t="n"/>
    </row>
    <row r="288">
      <c r="A288" s="516" t="n"/>
      <c r="B288" s="516" t="n"/>
      <c r="C288" s="516" t="n"/>
      <c r="D288" s="516" t="n"/>
      <c r="E288" s="516" t="n"/>
      <c r="F288" s="516" t="n"/>
      <c r="G288" s="516" t="n"/>
      <c r="H288" s="516" t="n"/>
    </row>
    <row r="289">
      <c r="A289" s="516" t="n"/>
      <c r="B289" s="516" t="n"/>
      <c r="C289" s="516" t="n"/>
      <c r="D289" s="516" t="n"/>
      <c r="E289" s="516" t="n"/>
      <c r="F289" s="516" t="n"/>
      <c r="G289" s="516" t="n"/>
      <c r="H289" s="516" t="n"/>
    </row>
    <row r="290">
      <c r="A290" s="516" t="n"/>
      <c r="B290" s="516" t="n"/>
      <c r="C290" s="516" t="n"/>
      <c r="D290" s="516" t="n"/>
      <c r="E290" s="516" t="n"/>
      <c r="F290" s="516" t="n"/>
      <c r="G290" s="516" t="n"/>
      <c r="H290" s="516" t="n"/>
    </row>
    <row r="291">
      <c r="A291" s="516" t="n"/>
      <c r="B291" s="516" t="n"/>
      <c r="C291" s="516" t="n"/>
      <c r="D291" s="516" t="n"/>
      <c r="E291" s="516" t="n"/>
      <c r="F291" s="516" t="n"/>
      <c r="G291" s="516" t="n"/>
      <c r="H291" s="516" t="n"/>
    </row>
    <row r="292">
      <c r="A292" s="516" t="n"/>
      <c r="B292" s="516" t="n"/>
      <c r="C292" s="516" t="n"/>
      <c r="D292" s="516" t="n"/>
      <c r="E292" s="516" t="n"/>
      <c r="F292" s="516" t="n"/>
      <c r="G292" s="516" t="n"/>
      <c r="H292" s="516" t="n"/>
    </row>
    <row r="293">
      <c r="A293" s="516" t="n"/>
      <c r="B293" s="516" t="n"/>
      <c r="C293" s="516" t="n"/>
      <c r="D293" s="516" t="n"/>
      <c r="E293" s="516" t="n"/>
      <c r="F293" s="516" t="n"/>
      <c r="G293" s="516" t="n"/>
      <c r="H293" s="516" t="n"/>
    </row>
    <row r="294">
      <c r="A294" s="516" t="n"/>
      <c r="B294" s="516" t="n"/>
      <c r="C294" s="516" t="n"/>
      <c r="D294" s="516" t="n"/>
      <c r="E294" s="516" t="n"/>
      <c r="F294" s="516" t="n"/>
      <c r="G294" s="516" t="n"/>
      <c r="H294" s="516" t="n"/>
    </row>
    <row r="295">
      <c r="A295" s="516" t="n"/>
      <c r="B295" s="516" t="n"/>
      <c r="C295" s="516" t="n"/>
      <c r="D295" s="516" t="n"/>
      <c r="E295" s="516" t="n"/>
      <c r="F295" s="516" t="n"/>
      <c r="G295" s="516" t="n"/>
      <c r="H295" s="516" t="n"/>
    </row>
    <row r="296">
      <c r="A296" s="516" t="n"/>
      <c r="B296" s="516" t="n"/>
      <c r="C296" s="516" t="n"/>
      <c r="D296" s="516" t="n"/>
      <c r="E296" s="516" t="n"/>
      <c r="F296" s="516" t="n"/>
      <c r="G296" s="516" t="n"/>
      <c r="H296" s="516" t="n"/>
    </row>
    <row r="297">
      <c r="A297" s="516" t="n"/>
      <c r="B297" s="516" t="n"/>
      <c r="C297" s="516" t="n"/>
      <c r="D297" s="516" t="n"/>
      <c r="E297" s="516" t="n"/>
      <c r="F297" s="516" t="n"/>
      <c r="G297" s="516" t="n"/>
      <c r="H297" s="516" t="n"/>
    </row>
    <row r="298">
      <c r="A298" s="516" t="n"/>
      <c r="B298" s="516" t="n"/>
      <c r="C298" s="516" t="n"/>
      <c r="D298" s="516" t="n"/>
      <c r="E298" s="516" t="n"/>
      <c r="F298" s="516" t="n"/>
      <c r="G298" s="516" t="n"/>
      <c r="H298" s="516" t="n"/>
    </row>
    <row r="299">
      <c r="A299" s="516" t="n"/>
      <c r="B299" s="516" t="n"/>
      <c r="C299" s="516" t="n"/>
      <c r="D299" s="516" t="n"/>
      <c r="E299" s="516" t="n"/>
      <c r="F299" s="516" t="n"/>
      <c r="G299" s="516" t="n"/>
      <c r="H299" s="516" t="n"/>
    </row>
    <row r="300">
      <c r="A300" s="516" t="n"/>
      <c r="B300" s="516" t="n"/>
      <c r="C300" s="516" t="n"/>
      <c r="D300" s="516" t="n"/>
      <c r="E300" s="516" t="n"/>
      <c r="F300" s="516" t="n"/>
      <c r="G300" s="516" t="n"/>
      <c r="H300" s="516" t="n"/>
    </row>
    <row r="301">
      <c r="A301" s="516" t="n"/>
      <c r="B301" s="516" t="n"/>
      <c r="C301" s="516" t="n"/>
      <c r="D301" s="516" t="n"/>
      <c r="E301" s="516" t="n"/>
      <c r="F301" s="516" t="n"/>
      <c r="G301" s="516" t="n"/>
      <c r="H301" s="516" t="n"/>
    </row>
    <row r="302">
      <c r="A302" s="516" t="n"/>
      <c r="B302" s="516" t="n"/>
      <c r="C302" s="516" t="n"/>
      <c r="D302" s="516" t="n"/>
      <c r="E302" s="516" t="n"/>
      <c r="F302" s="516" t="n"/>
      <c r="G302" s="516" t="n"/>
      <c r="H302" s="516" t="n"/>
    </row>
    <row r="303">
      <c r="A303" s="516" t="n"/>
      <c r="B303" s="516" t="n"/>
      <c r="C303" s="516" t="n"/>
      <c r="D303" s="516" t="n"/>
      <c r="E303" s="516" t="n"/>
      <c r="F303" s="516" t="n"/>
      <c r="G303" s="516" t="n"/>
      <c r="H303" s="516" t="n"/>
    </row>
    <row r="304">
      <c r="A304" s="516" t="n"/>
      <c r="B304" s="516" t="n"/>
      <c r="C304" s="516" t="n"/>
      <c r="D304" s="516" t="n"/>
      <c r="E304" s="516" t="n"/>
      <c r="F304" s="516" t="n"/>
      <c r="G304" s="516" t="n"/>
      <c r="H304" s="516" t="n"/>
    </row>
    <row r="305">
      <c r="A305" s="516" t="n"/>
      <c r="B305" s="516" t="n"/>
      <c r="C305" s="516" t="n"/>
      <c r="D305" s="516" t="n"/>
      <c r="E305" s="516" t="n"/>
      <c r="F305" s="516" t="n"/>
      <c r="G305" s="516" t="n"/>
      <c r="H305" s="516" t="n"/>
    </row>
    <row r="306">
      <c r="A306" s="516" t="n"/>
      <c r="B306" s="516" t="n"/>
      <c r="C306" s="516" t="n"/>
      <c r="D306" s="516" t="n"/>
      <c r="E306" s="516" t="n"/>
      <c r="F306" s="516" t="n"/>
      <c r="G306" s="516" t="n"/>
      <c r="H306" s="516" t="n"/>
    </row>
    <row r="307">
      <c r="A307" s="516" t="n"/>
      <c r="B307" s="516" t="n"/>
      <c r="C307" s="516" t="n"/>
      <c r="D307" s="516" t="n"/>
      <c r="E307" s="516" t="n"/>
      <c r="F307" s="516" t="n"/>
      <c r="G307" s="516" t="n"/>
      <c r="H307" s="516" t="n"/>
    </row>
    <row r="308">
      <c r="A308" s="516" t="n"/>
      <c r="B308" s="516" t="n"/>
      <c r="C308" s="516" t="n"/>
      <c r="D308" s="516" t="n"/>
      <c r="E308" s="516" t="n"/>
      <c r="F308" s="516" t="n"/>
      <c r="G308" s="516" t="n"/>
      <c r="H308" s="516" t="n"/>
    </row>
    <row r="309">
      <c r="A309" s="516" t="n"/>
      <c r="B309" s="516" t="n"/>
      <c r="C309" s="516" t="n"/>
      <c r="D309" s="516" t="n"/>
      <c r="E309" s="516" t="n"/>
      <c r="F309" s="516" t="n"/>
      <c r="G309" s="516" t="n"/>
      <c r="H309" s="516" t="n"/>
    </row>
    <row r="310">
      <c r="A310" s="516" t="n"/>
      <c r="B310" s="516" t="n"/>
      <c r="C310" s="516" t="n"/>
      <c r="D310" s="516" t="n"/>
      <c r="E310" s="516" t="n"/>
      <c r="F310" s="516" t="n"/>
      <c r="G310" s="516" t="n"/>
      <c r="H310" s="516" t="n"/>
    </row>
    <row r="311">
      <c r="A311" s="516" t="n"/>
      <c r="B311" s="516" t="n"/>
      <c r="C311" s="516" t="n"/>
      <c r="D311" s="516" t="n"/>
      <c r="E311" s="516" t="n"/>
      <c r="F311" s="516" t="n"/>
      <c r="G311" s="516" t="n"/>
      <c r="H311" s="516" t="n"/>
    </row>
    <row r="312">
      <c r="A312" s="516" t="n"/>
      <c r="B312" s="516" t="n"/>
      <c r="C312" s="516" t="n"/>
      <c r="D312" s="516" t="n"/>
      <c r="E312" s="516" t="n"/>
      <c r="F312" s="516" t="n"/>
      <c r="G312" s="516" t="n"/>
      <c r="H312" s="516" t="n"/>
    </row>
    <row r="313">
      <c r="A313" s="516" t="n"/>
      <c r="B313" s="516" t="n"/>
      <c r="C313" s="516" t="n"/>
      <c r="D313" s="516" t="n"/>
      <c r="E313" s="516" t="n"/>
      <c r="F313" s="516" t="n"/>
      <c r="G313" s="516" t="n"/>
      <c r="H313" s="516" t="n"/>
    </row>
    <row r="314">
      <c r="A314" s="516" t="n"/>
      <c r="B314" s="516" t="n"/>
      <c r="C314" s="516" t="n"/>
      <c r="D314" s="516" t="n"/>
      <c r="E314" s="516" t="n"/>
      <c r="F314" s="516" t="n"/>
      <c r="G314" s="516" t="n"/>
      <c r="H314" s="516" t="n"/>
    </row>
    <row r="315">
      <c r="A315" s="516" t="n"/>
      <c r="B315" s="516" t="n"/>
      <c r="C315" s="516" t="n"/>
      <c r="D315" s="516" t="n"/>
      <c r="E315" s="516" t="n"/>
      <c r="F315" s="516" t="n"/>
      <c r="G315" s="516" t="n"/>
      <c r="H315" s="516" t="n"/>
    </row>
    <row r="316">
      <c r="A316" s="516" t="n"/>
      <c r="B316" s="516" t="n"/>
      <c r="C316" s="516" t="n"/>
      <c r="D316" s="516" t="n"/>
      <c r="E316" s="516" t="n"/>
      <c r="F316" s="516" t="n"/>
      <c r="G316" s="516" t="n"/>
      <c r="H316" s="516" t="n"/>
    </row>
    <row r="317">
      <c r="A317" s="516" t="n"/>
      <c r="B317" s="516" t="n"/>
      <c r="C317" s="516" t="n"/>
      <c r="D317" s="516" t="n"/>
      <c r="E317" s="516" t="n"/>
      <c r="F317" s="516" t="n"/>
      <c r="G317" s="516" t="n"/>
      <c r="H317" s="516" t="n"/>
    </row>
    <row r="318">
      <c r="A318" s="516" t="n"/>
      <c r="B318" s="516" t="n"/>
      <c r="C318" s="516" t="n"/>
      <c r="D318" s="516" t="n"/>
      <c r="E318" s="516" t="n"/>
      <c r="F318" s="516" t="n"/>
      <c r="G318" s="516" t="n"/>
      <c r="H318" s="516" t="n"/>
    </row>
    <row r="319">
      <c r="A319" s="516" t="n"/>
      <c r="B319" s="516" t="n"/>
      <c r="C319" s="516" t="n"/>
      <c r="D319" s="516" t="n"/>
      <c r="E319" s="516" t="n"/>
      <c r="F319" s="516" t="n"/>
      <c r="G319" s="516" t="n"/>
      <c r="H319" s="516" t="n"/>
    </row>
    <row r="320">
      <c r="A320" s="516" t="n"/>
      <c r="B320" s="516" t="n"/>
      <c r="C320" s="516" t="n"/>
      <c r="D320" s="516" t="n"/>
      <c r="E320" s="516" t="n"/>
      <c r="F320" s="516" t="n"/>
      <c r="G320" s="516" t="n"/>
      <c r="H320" s="516" t="n"/>
    </row>
    <row r="321">
      <c r="A321" s="516" t="n"/>
      <c r="B321" s="516" t="n"/>
      <c r="C321" s="516" t="n"/>
      <c r="D321" s="516" t="n"/>
      <c r="E321" s="516" t="n"/>
      <c r="F321" s="516" t="n"/>
      <c r="G321" s="516" t="n"/>
      <c r="H321" s="516" t="n"/>
    </row>
    <row r="322">
      <c r="A322" s="516" t="n"/>
      <c r="B322" s="516" t="n"/>
      <c r="C322" s="516" t="n"/>
      <c r="D322" s="516" t="n"/>
      <c r="E322" s="516" t="n"/>
      <c r="F322" s="516" t="n"/>
      <c r="G322" s="516" t="n"/>
      <c r="H322" s="516" t="n"/>
    </row>
    <row r="323">
      <c r="A323" s="516" t="n"/>
      <c r="B323" s="516" t="n"/>
      <c r="C323" s="516" t="n"/>
      <c r="D323" s="516" t="n"/>
      <c r="E323" s="516" t="n"/>
      <c r="F323" s="516" t="n"/>
      <c r="G323" s="516" t="n"/>
      <c r="H323" s="516" t="n"/>
    </row>
    <row r="324">
      <c r="A324" s="516" t="n"/>
      <c r="B324" s="516" t="n"/>
      <c r="C324" s="516" t="n"/>
      <c r="D324" s="516" t="n"/>
      <c r="E324" s="516" t="n"/>
      <c r="F324" s="516" t="n"/>
      <c r="G324" s="516" t="n"/>
      <c r="H324" s="516" t="n"/>
    </row>
    <row r="325">
      <c r="A325" s="516" t="n"/>
      <c r="B325" s="516" t="n"/>
      <c r="C325" s="516" t="n"/>
      <c r="D325" s="516" t="n"/>
      <c r="E325" s="516" t="n"/>
      <c r="F325" s="516" t="n"/>
      <c r="G325" s="516" t="n"/>
      <c r="H325" s="516" t="n"/>
    </row>
    <row r="326">
      <c r="A326" s="516" t="n"/>
      <c r="B326" s="516" t="n"/>
      <c r="C326" s="516" t="n"/>
      <c r="D326" s="516" t="n"/>
      <c r="E326" s="516" t="n"/>
      <c r="F326" s="516" t="n"/>
      <c r="G326" s="516" t="n"/>
      <c r="H326" s="516" t="n"/>
    </row>
    <row r="327">
      <c r="A327" s="516" t="n"/>
      <c r="B327" s="516" t="n"/>
      <c r="C327" s="516" t="n"/>
      <c r="D327" s="516" t="n"/>
      <c r="E327" s="516" t="n"/>
      <c r="F327" s="516" t="n"/>
      <c r="G327" s="516" t="n"/>
      <c r="H327" s="516" t="n"/>
    </row>
    <row r="328">
      <c r="A328" s="516" t="n"/>
      <c r="B328" s="516" t="n"/>
      <c r="C328" s="516" t="n"/>
      <c r="D328" s="516" t="n"/>
      <c r="E328" s="516" t="n"/>
      <c r="F328" s="516" t="n"/>
      <c r="G328" s="516" t="n"/>
      <c r="H328" s="516" t="n"/>
    </row>
    <row r="329">
      <c r="A329" s="516" t="n"/>
      <c r="B329" s="516" t="n"/>
      <c r="C329" s="516" t="n"/>
      <c r="D329" s="516" t="n"/>
      <c r="E329" s="516" t="n"/>
      <c r="F329" s="516" t="n"/>
      <c r="G329" s="516" t="n"/>
      <c r="H329" s="516" t="n"/>
    </row>
    <row r="330">
      <c r="A330" s="516" t="n"/>
      <c r="B330" s="516" t="n"/>
      <c r="C330" s="516" t="n"/>
      <c r="D330" s="516" t="n"/>
      <c r="E330" s="516" t="n"/>
      <c r="F330" s="516" t="n"/>
      <c r="G330" s="516" t="n"/>
      <c r="H330" s="516" t="n"/>
    </row>
    <row r="331">
      <c r="A331" s="516" t="n"/>
      <c r="B331" s="516" t="n"/>
      <c r="C331" s="516" t="n"/>
      <c r="D331" s="516" t="n"/>
      <c r="E331" s="516" t="n"/>
      <c r="F331" s="516" t="n"/>
      <c r="G331" s="516" t="n"/>
      <c r="H331" s="516" t="n"/>
    </row>
    <row r="332">
      <c r="A332" s="516" t="n"/>
      <c r="B332" s="516" t="n"/>
      <c r="C332" s="516" t="n"/>
      <c r="D332" s="516" t="n"/>
      <c r="E332" s="516" t="n"/>
      <c r="F332" s="516" t="n"/>
      <c r="G332" s="516" t="n"/>
      <c r="H332" s="516" t="n"/>
    </row>
    <row r="333">
      <c r="A333" s="516" t="n"/>
      <c r="B333" s="516" t="n"/>
      <c r="C333" s="516" t="n"/>
      <c r="D333" s="516" t="n"/>
      <c r="E333" s="516" t="n"/>
      <c r="F333" s="516" t="n"/>
      <c r="G333" s="516" t="n"/>
      <c r="H333" s="516" t="n"/>
    </row>
    <row r="334">
      <c r="A334" s="516" t="n"/>
      <c r="B334" s="516" t="n"/>
      <c r="C334" s="516" t="n"/>
      <c r="D334" s="516" t="n"/>
      <c r="E334" s="516" t="n"/>
      <c r="F334" s="516" t="n"/>
      <c r="G334" s="516" t="n"/>
      <c r="H334" s="516" t="n"/>
    </row>
    <row r="335">
      <c r="A335" s="516" t="n"/>
      <c r="B335" s="516" t="n"/>
      <c r="C335" s="516" t="n"/>
      <c r="D335" s="516" t="n"/>
      <c r="E335" s="516" t="n"/>
      <c r="F335" s="516" t="n"/>
      <c r="G335" s="516" t="n"/>
      <c r="H335" s="516" t="n"/>
    </row>
    <row r="336">
      <c r="A336" s="516" t="n"/>
      <c r="B336" s="516" t="n"/>
      <c r="C336" s="516" t="n"/>
      <c r="D336" s="516" t="n"/>
      <c r="E336" s="516" t="n"/>
      <c r="F336" s="516" t="n"/>
      <c r="G336" s="516" t="n"/>
      <c r="H336" s="516" t="n"/>
    </row>
    <row r="337">
      <c r="A337" s="516" t="n"/>
      <c r="B337" s="516" t="n"/>
      <c r="C337" s="516" t="n"/>
      <c r="D337" s="516" t="n"/>
      <c r="E337" s="516" t="n"/>
      <c r="F337" s="516" t="n"/>
      <c r="G337" s="516" t="n"/>
      <c r="H337" s="516" t="n"/>
    </row>
    <row r="338">
      <c r="A338" s="516" t="n"/>
      <c r="B338" s="516" t="n"/>
      <c r="C338" s="516" t="n"/>
      <c r="D338" s="516" t="n"/>
      <c r="E338" s="516" t="n"/>
      <c r="F338" s="516" t="n"/>
      <c r="G338" s="516" t="n"/>
      <c r="H338" s="516" t="n"/>
    </row>
    <row r="339">
      <c r="A339" s="516" t="n"/>
      <c r="B339" s="516" t="n"/>
      <c r="C339" s="516" t="n"/>
      <c r="D339" s="516" t="n"/>
      <c r="E339" s="516" t="n"/>
      <c r="F339" s="516" t="n"/>
      <c r="G339" s="516" t="n"/>
      <c r="H339" s="516" t="n"/>
    </row>
    <row r="340">
      <c r="A340" s="516" t="n"/>
      <c r="B340" s="516" t="n"/>
      <c r="C340" s="516" t="n"/>
      <c r="D340" s="516" t="n"/>
      <c r="E340" s="516" t="n"/>
      <c r="F340" s="516" t="n"/>
      <c r="G340" s="516" t="n"/>
      <c r="H340" s="516" t="n"/>
    </row>
    <row r="341">
      <c r="A341" s="516" t="n"/>
      <c r="B341" s="516" t="n"/>
      <c r="C341" s="516" t="n"/>
      <c r="D341" s="516" t="n"/>
      <c r="E341" s="516" t="n"/>
      <c r="F341" s="516" t="n"/>
      <c r="G341" s="516" t="n"/>
      <c r="H341" s="516" t="n"/>
    </row>
    <row r="342">
      <c r="A342" s="516" t="n"/>
      <c r="B342" s="516" t="n"/>
      <c r="C342" s="516" t="n"/>
      <c r="D342" s="516" t="n"/>
      <c r="E342" s="516" t="n"/>
      <c r="F342" s="516" t="n"/>
      <c r="G342" s="516" t="n"/>
      <c r="H342" s="516" t="n"/>
    </row>
    <row r="343">
      <c r="A343" s="516" t="n"/>
      <c r="B343" s="516" t="n"/>
      <c r="C343" s="516" t="n"/>
      <c r="D343" s="516" t="n"/>
      <c r="E343" s="516" t="n"/>
      <c r="F343" s="516" t="n"/>
      <c r="G343" s="516" t="n"/>
      <c r="H343" s="516" t="n"/>
    </row>
    <row r="344">
      <c r="A344" s="516" t="n"/>
      <c r="B344" s="516" t="n"/>
      <c r="C344" s="516" t="n"/>
      <c r="D344" s="516" t="n"/>
      <c r="E344" s="516" t="n"/>
      <c r="F344" s="516" t="n"/>
      <c r="G344" s="516" t="n"/>
      <c r="H344" s="516" t="n"/>
    </row>
    <row r="345">
      <c r="A345" s="516" t="n"/>
      <c r="B345" s="516" t="n"/>
      <c r="C345" s="516" t="n"/>
      <c r="D345" s="516" t="n"/>
      <c r="E345" s="516" t="n"/>
      <c r="F345" s="516" t="n"/>
      <c r="G345" s="516" t="n"/>
      <c r="H345" s="516" t="n"/>
    </row>
    <row r="346">
      <c r="A346" s="516" t="n"/>
      <c r="B346" s="516" t="n"/>
      <c r="C346" s="516" t="n"/>
      <c r="D346" s="516" t="n"/>
      <c r="E346" s="516" t="n"/>
      <c r="F346" s="516" t="n"/>
      <c r="G346" s="516" t="n"/>
      <c r="H346" s="516" t="n"/>
    </row>
    <row r="347">
      <c r="A347" s="516" t="n"/>
      <c r="B347" s="516" t="n"/>
      <c r="C347" s="516" t="n"/>
      <c r="D347" s="516" t="n"/>
      <c r="E347" s="516" t="n"/>
      <c r="F347" s="516" t="n"/>
      <c r="G347" s="516" t="n"/>
      <c r="H347" s="516" t="n"/>
    </row>
    <row r="348">
      <c r="A348" s="516" t="n"/>
      <c r="B348" s="516" t="n"/>
      <c r="C348" s="516" t="n"/>
      <c r="D348" s="516" t="n"/>
      <c r="E348" s="516" t="n"/>
      <c r="F348" s="516" t="n"/>
      <c r="G348" s="516" t="n"/>
      <c r="H348" s="516" t="n"/>
    </row>
    <row r="349">
      <c r="A349" s="516" t="n"/>
      <c r="B349" s="516" t="n"/>
      <c r="C349" s="516" t="n"/>
      <c r="D349" s="516" t="n"/>
      <c r="E349" s="516" t="n"/>
      <c r="F349" s="516" t="n"/>
      <c r="G349" s="516" t="n"/>
      <c r="H349" s="516" t="n"/>
    </row>
    <row r="350">
      <c r="A350" s="516" t="n"/>
      <c r="B350" s="516" t="n"/>
      <c r="C350" s="516" t="n"/>
      <c r="D350" s="516" t="n"/>
      <c r="E350" s="516" t="n"/>
      <c r="F350" s="516" t="n"/>
      <c r="G350" s="516" t="n"/>
      <c r="H350" s="516" t="n"/>
    </row>
    <row r="351">
      <c r="A351" s="516" t="n"/>
      <c r="B351" s="516" t="n"/>
      <c r="C351" s="516" t="n"/>
      <c r="D351" s="516" t="n"/>
      <c r="E351" s="516" t="n"/>
      <c r="F351" s="516" t="n"/>
      <c r="G351" s="516" t="n"/>
      <c r="H351" s="516" t="n"/>
    </row>
    <row r="352">
      <c r="A352" s="516" t="n"/>
      <c r="B352" s="516" t="n"/>
      <c r="C352" s="516" t="n"/>
      <c r="D352" s="516" t="n"/>
      <c r="E352" s="516" t="n"/>
      <c r="F352" s="516" t="n"/>
      <c r="G352" s="516" t="n"/>
      <c r="H352" s="516" t="n"/>
    </row>
    <row r="353">
      <c r="A353" s="516" t="n"/>
      <c r="B353" s="516" t="n"/>
      <c r="C353" s="516" t="n"/>
      <c r="D353" s="516" t="n"/>
      <c r="E353" s="516" t="n"/>
      <c r="F353" s="516" t="n"/>
      <c r="G353" s="516" t="n"/>
      <c r="H353" s="516" t="n"/>
    </row>
    <row r="354">
      <c r="A354" s="516" t="n"/>
      <c r="B354" s="516" t="n"/>
      <c r="C354" s="516" t="n"/>
      <c r="D354" s="516" t="n"/>
      <c r="E354" s="516" t="n"/>
      <c r="F354" s="516" t="n"/>
      <c r="G354" s="516" t="n"/>
      <c r="H354" s="516" t="n"/>
    </row>
    <row r="355">
      <c r="A355" s="516" t="n"/>
      <c r="B355" s="516" t="n"/>
      <c r="C355" s="516" t="n"/>
      <c r="D355" s="516" t="n"/>
      <c r="E355" s="516" t="n"/>
      <c r="F355" s="516" t="n"/>
      <c r="G355" s="516" t="n"/>
      <c r="H355" s="516" t="n"/>
    </row>
    <row r="356">
      <c r="A356" s="516" t="n"/>
      <c r="B356" s="516" t="n"/>
      <c r="C356" s="516" t="n"/>
      <c r="D356" s="516" t="n"/>
      <c r="E356" s="516" t="n"/>
      <c r="F356" s="516" t="n"/>
      <c r="G356" s="516" t="n"/>
      <c r="H356" s="516" t="n"/>
    </row>
    <row r="357">
      <c r="A357" s="516" t="n"/>
      <c r="B357" s="516" t="n"/>
      <c r="C357" s="516" t="n"/>
      <c r="D357" s="516" t="n"/>
      <c r="E357" s="516" t="n"/>
      <c r="F357" s="516" t="n"/>
      <c r="G357" s="516" t="n"/>
      <c r="H357" s="516" t="n"/>
    </row>
    <row r="358">
      <c r="A358" s="516" t="n"/>
      <c r="B358" s="516" t="n"/>
      <c r="C358" s="516" t="n"/>
      <c r="D358" s="516" t="n"/>
      <c r="E358" s="516" t="n"/>
      <c r="F358" s="516" t="n"/>
      <c r="G358" s="516" t="n"/>
      <c r="H358" s="516" t="n"/>
    </row>
    <row r="359">
      <c r="A359" s="516" t="n"/>
      <c r="B359" s="516" t="n"/>
      <c r="C359" s="516" t="n"/>
      <c r="D359" s="516" t="n"/>
      <c r="E359" s="516" t="n"/>
      <c r="F359" s="516" t="n"/>
      <c r="G359" s="516" t="n"/>
      <c r="H359" s="516" t="n"/>
    </row>
    <row r="360">
      <c r="A360" s="516" t="n"/>
      <c r="B360" s="516" t="n"/>
      <c r="C360" s="516" t="n"/>
      <c r="D360" s="516" t="n"/>
      <c r="E360" s="516" t="n"/>
      <c r="F360" s="516" t="n"/>
      <c r="G360" s="516" t="n"/>
      <c r="H360" s="516" t="n"/>
    </row>
    <row r="361">
      <c r="A361" s="516" t="n"/>
      <c r="B361" s="516" t="n"/>
      <c r="C361" s="516" t="n"/>
      <c r="D361" s="516" t="n"/>
      <c r="E361" s="516" t="n"/>
      <c r="F361" s="516" t="n"/>
      <c r="G361" s="516" t="n"/>
      <c r="H361" s="516" t="n"/>
    </row>
    <row r="362">
      <c r="A362" s="516" t="n"/>
      <c r="B362" s="516" t="n"/>
      <c r="C362" s="516" t="n"/>
      <c r="D362" s="516" t="n"/>
      <c r="E362" s="516" t="n"/>
      <c r="F362" s="516" t="n"/>
      <c r="G362" s="516" t="n"/>
      <c r="H362" s="516" t="n"/>
    </row>
    <row r="363">
      <c r="A363" s="516" t="n"/>
      <c r="B363" s="516" t="n"/>
      <c r="C363" s="516" t="n"/>
      <c r="D363" s="516" t="n"/>
      <c r="E363" s="516" t="n"/>
      <c r="F363" s="516" t="n"/>
      <c r="G363" s="516" t="n"/>
      <c r="H363" s="516" t="n"/>
    </row>
    <row r="364">
      <c r="A364" s="516" t="n"/>
      <c r="B364" s="516" t="n"/>
      <c r="C364" s="516" t="n"/>
      <c r="D364" s="516" t="n"/>
      <c r="E364" s="516" t="n"/>
      <c r="F364" s="516" t="n"/>
      <c r="G364" s="516" t="n"/>
      <c r="H364" s="516" t="n"/>
    </row>
    <row r="365">
      <c r="A365" s="516" t="n"/>
      <c r="B365" s="516" t="n"/>
      <c r="C365" s="516" t="n"/>
      <c r="D365" s="516" t="n"/>
      <c r="E365" s="516" t="n"/>
      <c r="F365" s="516" t="n"/>
      <c r="G365" s="516" t="n"/>
      <c r="H365" s="516" t="n"/>
    </row>
    <row r="366">
      <c r="A366" s="516" t="n"/>
      <c r="B366" s="516" t="n"/>
      <c r="C366" s="516" t="n"/>
      <c r="D366" s="516" t="n"/>
      <c r="E366" s="516" t="n"/>
      <c r="F366" s="516" t="n"/>
      <c r="G366" s="516" t="n"/>
      <c r="H366" s="516" t="n"/>
    </row>
    <row r="367">
      <c r="A367" s="516" t="n"/>
      <c r="B367" s="516" t="n"/>
      <c r="C367" s="516" t="n"/>
      <c r="D367" s="516" t="n"/>
      <c r="E367" s="516" t="n"/>
      <c r="F367" s="516" t="n"/>
      <c r="G367" s="516" t="n"/>
      <c r="H367" s="516" t="n"/>
    </row>
    <row r="368">
      <c r="A368" s="516" t="n"/>
      <c r="B368" s="516" t="n"/>
      <c r="C368" s="516" t="n"/>
      <c r="D368" s="516" t="n"/>
      <c r="E368" s="516" t="n"/>
      <c r="F368" s="516" t="n"/>
      <c r="G368" s="516" t="n"/>
      <c r="H368" s="516" t="n"/>
    </row>
    <row r="369">
      <c r="A369" s="516" t="n"/>
      <c r="B369" s="516" t="n"/>
      <c r="C369" s="516" t="n"/>
      <c r="D369" s="516" t="n"/>
      <c r="E369" s="516" t="n"/>
      <c r="F369" s="516" t="n"/>
      <c r="G369" s="516" t="n"/>
      <c r="H369" s="516" t="n"/>
    </row>
    <row r="370">
      <c r="A370" s="516" t="n"/>
      <c r="B370" s="516" t="n"/>
      <c r="C370" s="516" t="n"/>
      <c r="D370" s="516" t="n"/>
      <c r="E370" s="516" t="n"/>
      <c r="F370" s="516" t="n"/>
      <c r="G370" s="516" t="n"/>
      <c r="H370" s="516" t="n"/>
    </row>
    <row r="371">
      <c r="A371" s="516" t="n"/>
      <c r="B371" s="516" t="n"/>
      <c r="C371" s="516" t="n"/>
      <c r="D371" s="516" t="n"/>
      <c r="E371" s="516" t="n"/>
      <c r="F371" s="516" t="n"/>
      <c r="G371" s="516" t="n"/>
      <c r="H371" s="516" t="n"/>
    </row>
    <row r="372">
      <c r="A372" s="516" t="n"/>
      <c r="B372" s="516" t="n"/>
      <c r="C372" s="516" t="n"/>
      <c r="D372" s="516" t="n"/>
      <c r="E372" s="516" t="n"/>
      <c r="F372" s="516" t="n"/>
      <c r="G372" s="516" t="n"/>
      <c r="H372" s="516" t="n"/>
    </row>
    <row r="373">
      <c r="A373" s="516" t="n"/>
      <c r="B373" s="516" t="n"/>
      <c r="C373" s="516" t="n"/>
      <c r="D373" s="516" t="n"/>
      <c r="E373" s="516" t="n"/>
      <c r="F373" s="516" t="n"/>
      <c r="G373" s="516" t="n"/>
      <c r="H373" s="516" t="n"/>
    </row>
    <row r="374">
      <c r="A374" s="516" t="n"/>
      <c r="B374" s="516" t="n"/>
      <c r="C374" s="516" t="n"/>
      <c r="D374" s="516" t="n"/>
      <c r="E374" s="516" t="n"/>
      <c r="F374" s="516" t="n"/>
      <c r="G374" s="516" t="n"/>
      <c r="H374" s="516" t="n"/>
    </row>
    <row r="375">
      <c r="A375" s="516" t="n"/>
      <c r="B375" s="516" t="n"/>
      <c r="C375" s="516" t="n"/>
      <c r="D375" s="516" t="n"/>
      <c r="E375" s="516" t="n"/>
      <c r="F375" s="516" t="n"/>
      <c r="G375" s="516" t="n"/>
      <c r="H375" s="516" t="n"/>
    </row>
    <row r="376">
      <c r="A376" s="516" t="n"/>
      <c r="B376" s="516" t="n"/>
      <c r="C376" s="516" t="n"/>
      <c r="D376" s="516" t="n"/>
      <c r="E376" s="516" t="n"/>
      <c r="F376" s="516" t="n"/>
      <c r="G376" s="516" t="n"/>
      <c r="H376" s="516" t="n"/>
    </row>
    <row r="377">
      <c r="A377" s="516" t="n"/>
      <c r="B377" s="516" t="n"/>
      <c r="C377" s="516" t="n"/>
      <c r="D377" s="516" t="n"/>
      <c r="E377" s="516" t="n"/>
      <c r="F377" s="516" t="n"/>
      <c r="G377" s="516" t="n"/>
      <c r="H377" s="516" t="n"/>
    </row>
    <row r="378">
      <c r="A378" s="516" t="n"/>
      <c r="B378" s="516" t="n"/>
      <c r="C378" s="516" t="n"/>
      <c r="D378" s="516" t="n"/>
      <c r="E378" s="516" t="n"/>
      <c r="F378" s="516" t="n"/>
      <c r="G378" s="516" t="n"/>
      <c r="H378" s="516" t="n"/>
    </row>
    <row r="379">
      <c r="A379" s="516" t="n"/>
      <c r="B379" s="516" t="n"/>
      <c r="C379" s="516" t="n"/>
      <c r="D379" s="516" t="n"/>
      <c r="E379" s="516" t="n"/>
      <c r="F379" s="516" t="n"/>
      <c r="G379" s="516" t="n"/>
      <c r="H379" s="516" t="n"/>
    </row>
    <row r="380">
      <c r="A380" s="516" t="n"/>
      <c r="B380" s="516" t="n"/>
      <c r="C380" s="516" t="n"/>
      <c r="D380" s="516" t="n"/>
      <c r="E380" s="516" t="n"/>
      <c r="F380" s="516" t="n"/>
      <c r="G380" s="516" t="n"/>
      <c r="H380" s="516" t="n"/>
    </row>
    <row r="381">
      <c r="A381" s="516" t="n"/>
      <c r="B381" s="516" t="n"/>
      <c r="C381" s="516" t="n"/>
      <c r="D381" s="516" t="n"/>
      <c r="E381" s="516" t="n"/>
      <c r="F381" s="516" t="n"/>
      <c r="G381" s="516" t="n"/>
      <c r="H381" s="516" t="n"/>
    </row>
    <row r="382">
      <c r="A382" s="516" t="n"/>
      <c r="B382" s="516" t="n"/>
      <c r="C382" s="516" t="n"/>
      <c r="D382" s="516" t="n"/>
      <c r="E382" s="516" t="n"/>
      <c r="F382" s="516" t="n"/>
      <c r="G382" s="516" t="n"/>
      <c r="H382" s="516" t="n"/>
    </row>
    <row r="383">
      <c r="A383" s="516" t="n"/>
      <c r="B383" s="516" t="n"/>
      <c r="C383" s="516" t="n"/>
      <c r="D383" s="516" t="n"/>
      <c r="E383" s="516" t="n"/>
      <c r="F383" s="516" t="n"/>
      <c r="G383" s="516" t="n"/>
      <c r="H383" s="516" t="n"/>
    </row>
    <row r="384">
      <c r="A384" s="516" t="n"/>
      <c r="B384" s="516" t="n"/>
      <c r="C384" s="516" t="n"/>
      <c r="D384" s="516" t="n"/>
      <c r="E384" s="516" t="n"/>
      <c r="F384" s="516" t="n"/>
      <c r="G384" s="516" t="n"/>
      <c r="H384" s="516" t="n"/>
    </row>
    <row r="385">
      <c r="A385" s="516" t="n"/>
      <c r="B385" s="516" t="n"/>
      <c r="C385" s="516" t="n"/>
      <c r="D385" s="516" t="n"/>
      <c r="E385" s="516" t="n"/>
      <c r="F385" s="516" t="n"/>
      <c r="G385" s="516" t="n"/>
      <c r="H385" s="516" t="n"/>
    </row>
    <row r="386">
      <c r="A386" s="516" t="n"/>
      <c r="B386" s="516" t="n"/>
      <c r="C386" s="516" t="n"/>
      <c r="D386" s="516" t="n"/>
      <c r="E386" s="516" t="n"/>
      <c r="F386" s="516" t="n"/>
      <c r="G386" s="516" t="n"/>
      <c r="H386" s="516" t="n"/>
    </row>
    <row r="387">
      <c r="A387" s="516" t="n"/>
      <c r="B387" s="516" t="n"/>
      <c r="C387" s="516" t="n"/>
      <c r="D387" s="516" t="n"/>
      <c r="E387" s="516" t="n"/>
      <c r="F387" s="516" t="n"/>
      <c r="G387" s="516" t="n"/>
      <c r="H387" s="516" t="n"/>
    </row>
    <row r="388">
      <c r="A388" s="516" t="n"/>
      <c r="B388" s="516" t="n"/>
      <c r="C388" s="516" t="n"/>
      <c r="D388" s="516" t="n"/>
      <c r="E388" s="516" t="n"/>
      <c r="F388" s="516" t="n"/>
      <c r="G388" s="516" t="n"/>
      <c r="H388" s="516" t="n"/>
    </row>
    <row r="389">
      <c r="A389" s="516" t="n"/>
      <c r="B389" s="516" t="n"/>
      <c r="C389" s="516" t="n"/>
      <c r="D389" s="516" t="n"/>
      <c r="E389" s="516" t="n"/>
      <c r="F389" s="516" t="n"/>
      <c r="G389" s="516" t="n"/>
      <c r="H389" s="516" t="n"/>
    </row>
    <row r="390">
      <c r="A390" s="516" t="n"/>
      <c r="B390" s="516" t="n"/>
      <c r="C390" s="516" t="n"/>
      <c r="D390" s="516" t="n"/>
      <c r="E390" s="516" t="n"/>
      <c r="F390" s="516" t="n"/>
      <c r="G390" s="516" t="n"/>
      <c r="H390" s="516" t="n"/>
    </row>
    <row r="391">
      <c r="A391" s="516" t="n"/>
      <c r="B391" s="516" t="n"/>
      <c r="C391" s="516" t="n"/>
      <c r="D391" s="516" t="n"/>
      <c r="E391" s="516" t="n"/>
      <c r="F391" s="516" t="n"/>
      <c r="G391" s="516" t="n"/>
      <c r="H391" s="516" t="n"/>
    </row>
    <row r="392">
      <c r="A392" s="516" t="n"/>
      <c r="B392" s="516" t="n"/>
      <c r="C392" s="516" t="n"/>
      <c r="D392" s="516" t="n"/>
      <c r="E392" s="516" t="n"/>
      <c r="F392" s="516" t="n"/>
      <c r="G392" s="516" t="n"/>
      <c r="H392" s="516" t="n"/>
    </row>
    <row r="393">
      <c r="A393" s="516" t="n"/>
      <c r="B393" s="516" t="n"/>
      <c r="C393" s="516" t="n"/>
      <c r="D393" s="516" t="n"/>
      <c r="E393" s="516" t="n"/>
      <c r="F393" s="516" t="n"/>
      <c r="G393" s="516" t="n"/>
      <c r="H393" s="516" t="n"/>
    </row>
    <row r="394">
      <c r="A394" s="516" t="n"/>
      <c r="B394" s="516" t="n"/>
      <c r="C394" s="516" t="n"/>
      <c r="D394" s="516" t="n"/>
      <c r="E394" s="516" t="n"/>
      <c r="F394" s="516" t="n"/>
      <c r="G394" s="516" t="n"/>
      <c r="H394" s="516" t="n"/>
    </row>
    <row r="395">
      <c r="A395" s="516" t="n"/>
      <c r="B395" s="516" t="n"/>
      <c r="C395" s="516" t="n"/>
      <c r="D395" s="516" t="n"/>
      <c r="E395" s="516" t="n"/>
      <c r="F395" s="516" t="n"/>
      <c r="G395" s="516" t="n"/>
      <c r="H395" s="516" t="n"/>
    </row>
    <row r="396">
      <c r="A396" s="516" t="n"/>
      <c r="B396" s="516" t="n"/>
      <c r="C396" s="516" t="n"/>
      <c r="D396" s="516" t="n"/>
      <c r="E396" s="516" t="n"/>
      <c r="F396" s="516" t="n"/>
      <c r="G396" s="516" t="n"/>
      <c r="H396" s="516" t="n"/>
    </row>
    <row r="397">
      <c r="A397" s="516" t="n"/>
      <c r="B397" s="516" t="n"/>
      <c r="C397" s="516" t="n"/>
      <c r="D397" s="516" t="n"/>
      <c r="E397" s="516" t="n"/>
      <c r="F397" s="516" t="n"/>
      <c r="G397" s="516" t="n"/>
      <c r="H397" s="516" t="n"/>
    </row>
    <row r="398">
      <c r="A398" s="516" t="n"/>
      <c r="B398" s="516" t="n"/>
      <c r="C398" s="516" t="n"/>
      <c r="D398" s="516" t="n"/>
      <c r="E398" s="516" t="n"/>
      <c r="F398" s="516" t="n"/>
      <c r="G398" s="516" t="n"/>
      <c r="H398" s="516" t="n"/>
    </row>
    <row r="399">
      <c r="A399" s="516" t="n"/>
      <c r="B399" s="516" t="n"/>
      <c r="C399" s="516" t="n"/>
      <c r="D399" s="516" t="n"/>
      <c r="E399" s="516" t="n"/>
      <c r="F399" s="516" t="n"/>
      <c r="G399" s="516" t="n"/>
      <c r="H399" s="516" t="n"/>
    </row>
    <row r="400">
      <c r="A400" s="516" t="n"/>
      <c r="B400" s="516" t="n"/>
      <c r="C400" s="516" t="n"/>
      <c r="D400" s="516" t="n"/>
      <c r="E400" s="516" t="n"/>
      <c r="F400" s="516" t="n"/>
      <c r="G400" s="516" t="n"/>
      <c r="H400" s="516" t="n"/>
    </row>
    <row r="401">
      <c r="A401" s="516" t="n"/>
      <c r="B401" s="516" t="n"/>
      <c r="C401" s="516" t="n"/>
      <c r="D401" s="516" t="n"/>
      <c r="E401" s="516" t="n"/>
      <c r="F401" s="516" t="n"/>
      <c r="G401" s="516" t="n"/>
      <c r="H401" s="516" t="n"/>
    </row>
    <row r="402">
      <c r="A402" s="516" t="n"/>
      <c r="B402" s="516" t="n"/>
      <c r="C402" s="516" t="n"/>
      <c r="D402" s="516" t="n"/>
      <c r="E402" s="516" t="n"/>
      <c r="F402" s="516" t="n"/>
      <c r="G402" s="516" t="n"/>
      <c r="H402" s="516" t="n"/>
    </row>
    <row r="403">
      <c r="A403" s="516" t="n"/>
      <c r="B403" s="516" t="n"/>
      <c r="C403" s="516" t="n"/>
      <c r="D403" s="516" t="n"/>
      <c r="E403" s="516" t="n"/>
      <c r="F403" s="516" t="n"/>
      <c r="G403" s="516" t="n"/>
      <c r="H403" s="516" t="n"/>
    </row>
    <row r="404">
      <c r="A404" s="516" t="n"/>
      <c r="B404" s="516" t="n"/>
      <c r="C404" s="516" t="n"/>
      <c r="D404" s="516" t="n"/>
      <c r="E404" s="516" t="n"/>
      <c r="F404" s="516" t="n"/>
      <c r="G404" s="516" t="n"/>
      <c r="H404" s="516" t="n"/>
    </row>
    <row r="405">
      <c r="A405" s="516" t="n"/>
      <c r="B405" s="516" t="n"/>
      <c r="C405" s="516" t="n"/>
      <c r="D405" s="516" t="n"/>
      <c r="E405" s="516" t="n"/>
      <c r="F405" s="516" t="n"/>
      <c r="G405" s="516" t="n"/>
      <c r="H405" s="516" t="n"/>
    </row>
    <row r="406">
      <c r="A406" s="516" t="n"/>
      <c r="B406" s="516" t="n"/>
      <c r="C406" s="516" t="n"/>
      <c r="D406" s="516" t="n"/>
      <c r="E406" s="516" t="n"/>
      <c r="F406" s="516" t="n"/>
      <c r="G406" s="516" t="n"/>
      <c r="H406" s="516" t="n"/>
    </row>
    <row r="407">
      <c r="A407" s="516" t="n"/>
      <c r="B407" s="516" t="n"/>
      <c r="C407" s="516" t="n"/>
      <c r="D407" s="516" t="n"/>
      <c r="E407" s="516" t="n"/>
      <c r="F407" s="516" t="n"/>
      <c r="G407" s="516" t="n"/>
      <c r="H407" s="516" t="n"/>
    </row>
    <row r="408">
      <c r="A408" s="516" t="n"/>
      <c r="B408" s="516" t="n"/>
      <c r="C408" s="516" t="n"/>
      <c r="D408" s="516" t="n"/>
      <c r="E408" s="516" t="n"/>
      <c r="F408" s="516" t="n"/>
      <c r="G408" s="516" t="n"/>
      <c r="H408" s="516" t="n"/>
    </row>
    <row r="409">
      <c r="A409" s="516" t="n"/>
      <c r="B409" s="516" t="n"/>
      <c r="C409" s="516" t="n"/>
      <c r="D409" s="516" t="n"/>
      <c r="E409" s="516" t="n"/>
      <c r="F409" s="516" t="n"/>
      <c r="G409" s="516" t="n"/>
      <c r="H409" s="516" t="n"/>
    </row>
    <row r="410">
      <c r="A410" s="516" t="n"/>
      <c r="B410" s="516" t="n"/>
      <c r="C410" s="516" t="n"/>
      <c r="D410" s="516" t="n"/>
      <c r="E410" s="516" t="n"/>
      <c r="F410" s="516" t="n"/>
      <c r="G410" s="516" t="n"/>
      <c r="H410" s="516" t="n"/>
    </row>
    <row r="411">
      <c r="A411" s="516" t="n"/>
      <c r="B411" s="516" t="n"/>
      <c r="C411" s="516" t="n"/>
      <c r="D411" s="516" t="n"/>
      <c r="E411" s="516" t="n"/>
      <c r="F411" s="516" t="n"/>
      <c r="G411" s="516" t="n"/>
      <c r="H411" s="516" t="n"/>
    </row>
    <row r="412">
      <c r="A412" s="516" t="n"/>
      <c r="B412" s="516" t="n"/>
      <c r="C412" s="516" t="n"/>
      <c r="D412" s="516" t="n"/>
      <c r="E412" s="516" t="n"/>
      <c r="F412" s="516" t="n"/>
      <c r="G412" s="516" t="n"/>
      <c r="H412" s="516" t="n"/>
    </row>
    <row r="413">
      <c r="A413" s="516" t="n"/>
      <c r="B413" s="516" t="n"/>
      <c r="C413" s="516" t="n"/>
      <c r="D413" s="516" t="n"/>
      <c r="E413" s="516" t="n"/>
      <c r="F413" s="516" t="n"/>
      <c r="G413" s="516" t="n"/>
      <c r="H413" s="516" t="n"/>
    </row>
    <row r="414">
      <c r="A414" s="516" t="n"/>
      <c r="B414" s="516" t="n"/>
      <c r="C414" s="516" t="n"/>
      <c r="D414" s="516" t="n"/>
      <c r="E414" s="516" t="n"/>
      <c r="F414" s="516" t="n"/>
      <c r="G414" s="516" t="n"/>
      <c r="H414" s="516" t="n"/>
    </row>
    <row r="415">
      <c r="A415" s="516" t="n"/>
      <c r="B415" s="516" t="n"/>
      <c r="C415" s="516" t="n"/>
      <c r="D415" s="516" t="n"/>
      <c r="E415" s="516" t="n"/>
      <c r="F415" s="516" t="n"/>
      <c r="G415" s="516" t="n"/>
      <c r="H415" s="516" t="n"/>
    </row>
    <row r="416">
      <c r="A416" s="516" t="n"/>
      <c r="B416" s="516" t="n"/>
      <c r="C416" s="516" t="n"/>
      <c r="D416" s="516" t="n"/>
      <c r="E416" s="516" t="n"/>
      <c r="F416" s="516" t="n"/>
      <c r="G416" s="516" t="n"/>
      <c r="H416" s="516" t="n"/>
    </row>
    <row r="417">
      <c r="A417" s="516" t="n"/>
      <c r="B417" s="516" t="n"/>
      <c r="C417" s="516" t="n"/>
      <c r="D417" s="516" t="n"/>
      <c r="E417" s="516" t="n"/>
      <c r="F417" s="516" t="n"/>
      <c r="G417" s="516" t="n"/>
      <c r="H417" s="516" t="n"/>
    </row>
    <row r="418">
      <c r="A418" s="516" t="n"/>
      <c r="B418" s="516" t="n"/>
      <c r="C418" s="516" t="n"/>
      <c r="D418" s="516" t="n"/>
      <c r="E418" s="516" t="n"/>
      <c r="F418" s="516" t="n"/>
      <c r="G418" s="516" t="n"/>
      <c r="H418" s="516" t="n"/>
    </row>
    <row r="419">
      <c r="A419" s="516" t="n"/>
      <c r="B419" s="516" t="n"/>
      <c r="C419" s="516" t="n"/>
      <c r="D419" s="516" t="n"/>
      <c r="E419" s="516" t="n"/>
      <c r="F419" s="516" t="n"/>
      <c r="G419" s="516" t="n"/>
      <c r="H419" s="516" t="n"/>
    </row>
    <row r="420">
      <c r="A420" s="516" t="n"/>
      <c r="B420" s="516" t="n"/>
      <c r="C420" s="516" t="n"/>
      <c r="D420" s="516" t="n"/>
      <c r="E420" s="516" t="n"/>
      <c r="F420" s="516" t="n"/>
      <c r="G420" s="516" t="n"/>
      <c r="H420" s="516" t="n"/>
    </row>
    <row r="421">
      <c r="A421" s="516" t="n"/>
      <c r="B421" s="516" t="n"/>
      <c r="C421" s="516" t="n"/>
      <c r="D421" s="516" t="n"/>
      <c r="E421" s="516" t="n"/>
      <c r="F421" s="516" t="n"/>
      <c r="G421" s="516" t="n"/>
      <c r="H421" s="516" t="n"/>
    </row>
    <row r="422">
      <c r="A422" s="516" t="n"/>
      <c r="B422" s="516" t="n"/>
      <c r="C422" s="516" t="n"/>
      <c r="D422" s="516" t="n"/>
      <c r="E422" s="516" t="n"/>
      <c r="F422" s="516" t="n"/>
      <c r="G422" s="516" t="n"/>
      <c r="H422" s="516" t="n"/>
    </row>
    <row r="423">
      <c r="A423" s="516" t="n"/>
      <c r="B423" s="516" t="n"/>
      <c r="C423" s="516" t="n"/>
      <c r="D423" s="516" t="n"/>
      <c r="E423" s="516" t="n"/>
      <c r="F423" s="516" t="n"/>
      <c r="G423" s="516" t="n"/>
      <c r="H423" s="516" t="n"/>
    </row>
    <row r="424">
      <c r="A424" s="516" t="n"/>
      <c r="B424" s="516" t="n"/>
      <c r="C424" s="516" t="n"/>
      <c r="D424" s="516" t="n"/>
      <c r="E424" s="516" t="n"/>
      <c r="F424" s="516" t="n"/>
      <c r="G424" s="516" t="n"/>
      <c r="H424" s="516" t="n"/>
    </row>
    <row r="425">
      <c r="A425" s="516" t="n"/>
      <c r="B425" s="516" t="n"/>
      <c r="C425" s="516" t="n"/>
      <c r="D425" s="516" t="n"/>
      <c r="E425" s="516" t="n"/>
      <c r="F425" s="516" t="n"/>
      <c r="G425" s="516" t="n"/>
      <c r="H425" s="516" t="n"/>
    </row>
    <row r="426">
      <c r="A426" s="516" t="n"/>
      <c r="B426" s="516" t="n"/>
      <c r="C426" s="516" t="n"/>
      <c r="D426" s="516" t="n"/>
      <c r="E426" s="516" t="n"/>
      <c r="F426" s="516" t="n"/>
      <c r="G426" s="516" t="n"/>
      <c r="H426" s="516" t="n"/>
    </row>
    <row r="427">
      <c r="A427" s="516" t="n"/>
      <c r="B427" s="516" t="n"/>
      <c r="C427" s="516" t="n"/>
      <c r="D427" s="516" t="n"/>
      <c r="E427" s="516" t="n"/>
      <c r="F427" s="516" t="n"/>
      <c r="G427" s="516" t="n"/>
      <c r="H427" s="516" t="n"/>
    </row>
    <row r="428">
      <c r="A428" s="516" t="n"/>
      <c r="B428" s="516" t="n"/>
      <c r="C428" s="516" t="n"/>
      <c r="D428" s="516" t="n"/>
      <c r="E428" s="516" t="n"/>
      <c r="F428" s="516" t="n"/>
      <c r="G428" s="516" t="n"/>
      <c r="H428" s="516" t="n"/>
    </row>
    <row r="429">
      <c r="A429" s="516" t="n"/>
      <c r="B429" s="516" t="n"/>
      <c r="C429" s="516" t="n"/>
      <c r="D429" s="516" t="n"/>
      <c r="E429" s="516" t="n"/>
      <c r="F429" s="516" t="n"/>
      <c r="G429" s="516" t="n"/>
      <c r="H429" s="516" t="n"/>
    </row>
    <row r="430">
      <c r="A430" s="516" t="n"/>
      <c r="B430" s="516" t="n"/>
      <c r="C430" s="516" t="n"/>
      <c r="D430" s="516" t="n"/>
      <c r="E430" s="516" t="n"/>
      <c r="F430" s="516" t="n"/>
      <c r="G430" s="516" t="n"/>
      <c r="H430" s="516" t="n"/>
    </row>
    <row r="431">
      <c r="A431" s="516" t="n"/>
      <c r="B431" s="516" t="n"/>
      <c r="C431" s="516" t="n"/>
      <c r="D431" s="516" t="n"/>
      <c r="E431" s="516" t="n"/>
      <c r="F431" s="516" t="n"/>
      <c r="G431" s="516" t="n"/>
      <c r="H431" s="516" t="n"/>
    </row>
    <row r="432">
      <c r="A432" s="516" t="n"/>
      <c r="B432" s="516" t="n"/>
      <c r="C432" s="516" t="n"/>
      <c r="D432" s="516" t="n"/>
      <c r="E432" s="516" t="n"/>
      <c r="F432" s="516" t="n"/>
      <c r="G432" s="516" t="n"/>
      <c r="H432" s="516" t="n"/>
    </row>
    <row r="433">
      <c r="A433" s="516" t="n"/>
      <c r="B433" s="516" t="n"/>
      <c r="C433" s="516" t="n"/>
      <c r="D433" s="516" t="n"/>
      <c r="E433" s="516" t="n"/>
      <c r="F433" s="516" t="n"/>
      <c r="G433" s="516" t="n"/>
      <c r="H433" s="516" t="n"/>
    </row>
    <row r="434">
      <c r="A434" s="516" t="n"/>
      <c r="B434" s="516" t="n"/>
      <c r="C434" s="516" t="n"/>
      <c r="D434" s="516" t="n"/>
      <c r="E434" s="516" t="n"/>
      <c r="F434" s="516" t="n"/>
      <c r="G434" s="516" t="n"/>
      <c r="H434" s="516" t="n"/>
    </row>
    <row r="435">
      <c r="A435" s="516" t="n"/>
      <c r="B435" s="516" t="n"/>
      <c r="C435" s="516" t="n"/>
      <c r="D435" s="516" t="n"/>
      <c r="E435" s="516" t="n"/>
      <c r="F435" s="516" t="n"/>
      <c r="G435" s="516" t="n"/>
      <c r="H435" s="516" t="n"/>
    </row>
    <row r="436">
      <c r="A436" s="516" t="n"/>
      <c r="B436" s="516" t="n"/>
      <c r="C436" s="516" t="n"/>
      <c r="D436" s="516" t="n"/>
      <c r="E436" s="516" t="n"/>
      <c r="F436" s="516" t="n"/>
      <c r="G436" s="516" t="n"/>
      <c r="H436" s="516" t="n"/>
    </row>
    <row r="437">
      <c r="A437" s="516" t="n"/>
      <c r="B437" s="516" t="n"/>
      <c r="C437" s="516" t="n"/>
      <c r="D437" s="516" t="n"/>
      <c r="E437" s="516" t="n"/>
      <c r="F437" s="516" t="n"/>
      <c r="G437" s="516" t="n"/>
      <c r="H437" s="516" t="n"/>
    </row>
    <row r="438">
      <c r="A438" s="516" t="n"/>
      <c r="B438" s="516" t="n"/>
      <c r="C438" s="516" t="n"/>
      <c r="D438" s="516" t="n"/>
      <c r="E438" s="516" t="n"/>
      <c r="F438" s="516" t="n"/>
      <c r="G438" s="516" t="n"/>
      <c r="H438" s="516" t="n"/>
    </row>
    <row r="439">
      <c r="A439" s="516" t="n"/>
      <c r="B439" s="516" t="n"/>
      <c r="C439" s="516" t="n"/>
      <c r="D439" s="516" t="n"/>
      <c r="E439" s="516" t="n"/>
      <c r="F439" s="516" t="n"/>
      <c r="G439" s="516" t="n"/>
      <c r="H439" s="516" t="n"/>
    </row>
    <row r="440">
      <c r="A440" s="516" t="n"/>
      <c r="B440" s="516" t="n"/>
      <c r="C440" s="516" t="n"/>
      <c r="D440" s="516" t="n"/>
      <c r="E440" s="516" t="n"/>
      <c r="F440" s="516" t="n"/>
      <c r="G440" s="516" t="n"/>
      <c r="H440" s="516" t="n"/>
    </row>
    <row r="441">
      <c r="A441" s="516" t="n"/>
      <c r="B441" s="516" t="n"/>
      <c r="C441" s="516" t="n"/>
      <c r="D441" s="516" t="n"/>
      <c r="E441" s="516" t="n"/>
      <c r="F441" s="516" t="n"/>
      <c r="G441" s="516" t="n"/>
      <c r="H441" s="516" t="n"/>
    </row>
    <row r="442">
      <c r="A442" s="516" t="n"/>
      <c r="B442" s="516" t="n"/>
      <c r="C442" s="516" t="n"/>
      <c r="D442" s="516" t="n"/>
      <c r="E442" s="516" t="n"/>
      <c r="F442" s="516" t="n"/>
      <c r="G442" s="516" t="n"/>
      <c r="H442" s="516" t="n"/>
    </row>
    <row r="443">
      <c r="A443" s="516" t="n"/>
      <c r="B443" s="516" t="n"/>
      <c r="C443" s="516" t="n"/>
      <c r="D443" s="516" t="n"/>
      <c r="E443" s="516" t="n"/>
      <c r="F443" s="516" t="n"/>
      <c r="G443" s="516" t="n"/>
      <c r="H443" s="516" t="n"/>
    </row>
    <row r="444">
      <c r="A444" s="516" t="n"/>
      <c r="B444" s="516" t="n"/>
      <c r="C444" s="516" t="n"/>
      <c r="D444" s="516" t="n"/>
      <c r="E444" s="516" t="n"/>
      <c r="F444" s="516" t="n"/>
      <c r="G444" s="516" t="n"/>
      <c r="H444" s="516" t="n"/>
    </row>
    <row r="445">
      <c r="A445" s="516" t="n"/>
      <c r="B445" s="516" t="n"/>
      <c r="C445" s="516" t="n"/>
      <c r="D445" s="516" t="n"/>
      <c r="E445" s="516" t="n"/>
      <c r="F445" s="516" t="n"/>
      <c r="G445" s="516" t="n"/>
      <c r="H445" s="516" t="n"/>
    </row>
    <row r="446">
      <c r="A446" s="516" t="n"/>
      <c r="B446" s="516" t="n"/>
      <c r="C446" s="516" t="n"/>
      <c r="D446" s="516" t="n"/>
      <c r="E446" s="516" t="n"/>
      <c r="F446" s="516" t="n"/>
      <c r="G446" s="516" t="n"/>
      <c r="H446" s="516" t="n"/>
    </row>
    <row r="447">
      <c r="A447" s="516" t="n"/>
      <c r="B447" s="516" t="n"/>
      <c r="C447" s="516" t="n"/>
      <c r="D447" s="516" t="n"/>
      <c r="E447" s="516" t="n"/>
      <c r="F447" s="516" t="n"/>
      <c r="G447" s="516" t="n"/>
      <c r="H447" s="516" t="n"/>
    </row>
    <row r="448">
      <c r="A448" s="516" t="n"/>
      <c r="B448" s="516" t="n"/>
      <c r="C448" s="516" t="n"/>
      <c r="D448" s="516" t="n"/>
      <c r="E448" s="516" t="n"/>
      <c r="F448" s="516" t="n"/>
      <c r="G448" s="516" t="n"/>
      <c r="H448" s="516" t="n"/>
    </row>
    <row r="449">
      <c r="A449" s="516" t="n"/>
      <c r="B449" s="516" t="n"/>
      <c r="C449" s="516" t="n"/>
      <c r="D449" s="516" t="n"/>
      <c r="E449" s="516" t="n"/>
      <c r="F449" s="516" t="n"/>
      <c r="G449" s="516" t="n"/>
      <c r="H449" s="516" t="n"/>
    </row>
    <row r="450">
      <c r="A450" s="516" t="n"/>
      <c r="B450" s="516" t="n"/>
      <c r="C450" s="516" t="n"/>
      <c r="D450" s="516" t="n"/>
      <c r="E450" s="516" t="n"/>
      <c r="F450" s="516" t="n"/>
      <c r="G450" s="516" t="n"/>
      <c r="H450" s="516" t="n"/>
    </row>
    <row r="451">
      <c r="A451" s="516" t="n"/>
      <c r="B451" s="516" t="n"/>
      <c r="C451" s="516" t="n"/>
      <c r="D451" s="516" t="n"/>
      <c r="E451" s="516" t="n"/>
      <c r="F451" s="516" t="n"/>
      <c r="G451" s="516" t="n"/>
      <c r="H451" s="516" t="n"/>
    </row>
    <row r="452">
      <c r="A452" s="516" t="n"/>
      <c r="B452" s="516" t="n"/>
      <c r="C452" s="516" t="n"/>
      <c r="D452" s="516" t="n"/>
      <c r="E452" s="516" t="n"/>
      <c r="F452" s="516" t="n"/>
      <c r="G452" s="516" t="n"/>
      <c r="H452" s="516" t="n"/>
    </row>
    <row r="453">
      <c r="A453" s="516" t="n"/>
      <c r="B453" s="516" t="n"/>
      <c r="C453" s="516" t="n"/>
      <c r="D453" s="516" t="n"/>
      <c r="E453" s="516" t="n"/>
      <c r="F453" s="516" t="n"/>
      <c r="G453" s="516" t="n"/>
      <c r="H453" s="516" t="n"/>
    </row>
    <row r="454">
      <c r="A454" s="516" t="n"/>
      <c r="B454" s="516" t="n"/>
      <c r="C454" s="516" t="n"/>
      <c r="D454" s="516" t="n"/>
      <c r="E454" s="516" t="n"/>
      <c r="F454" s="516" t="n"/>
      <c r="G454" s="516" t="n"/>
      <c r="H454" s="516" t="n"/>
    </row>
    <row r="455">
      <c r="A455" s="516" t="n"/>
      <c r="B455" s="516" t="n"/>
      <c r="C455" s="516" t="n"/>
      <c r="D455" s="516" t="n"/>
      <c r="E455" s="516" t="n"/>
      <c r="F455" s="516" t="n"/>
      <c r="G455" s="516" t="n"/>
      <c r="H455" s="516" t="n"/>
    </row>
    <row r="456">
      <c r="A456" s="516" t="n"/>
      <c r="B456" s="516" t="n"/>
      <c r="C456" s="516" t="n"/>
      <c r="D456" s="516" t="n"/>
      <c r="E456" s="516" t="n"/>
      <c r="F456" s="516" t="n"/>
      <c r="G456" s="516" t="n"/>
      <c r="H456" s="516" t="n"/>
    </row>
    <row r="457">
      <c r="A457" s="516" t="n"/>
      <c r="B457" s="516" t="n"/>
      <c r="C457" s="516" t="n"/>
      <c r="D457" s="516" t="n"/>
      <c r="E457" s="516" t="n"/>
      <c r="F457" s="516" t="n"/>
      <c r="G457" s="516" t="n"/>
      <c r="H457" s="516" t="n"/>
    </row>
    <row r="458">
      <c r="A458" s="516" t="n"/>
      <c r="B458" s="516" t="n"/>
      <c r="C458" s="516" t="n"/>
      <c r="D458" s="516" t="n"/>
      <c r="E458" s="516" t="n"/>
      <c r="F458" s="516" t="n"/>
      <c r="G458" s="516" t="n"/>
      <c r="H458" s="516" t="n"/>
    </row>
    <row r="459">
      <c r="A459" s="516" t="n"/>
      <c r="B459" s="516" t="n"/>
      <c r="C459" s="516" t="n"/>
      <c r="D459" s="516" t="n"/>
      <c r="E459" s="516" t="n"/>
      <c r="F459" s="516" t="n"/>
      <c r="G459" s="516" t="n"/>
      <c r="H459" s="516" t="n"/>
    </row>
    <row r="460">
      <c r="A460" s="516" t="n"/>
      <c r="B460" s="516" t="n"/>
      <c r="C460" s="516" t="n"/>
      <c r="D460" s="516" t="n"/>
      <c r="E460" s="516" t="n"/>
      <c r="F460" s="516" t="n"/>
      <c r="G460" s="516" t="n"/>
      <c r="H460" s="516" t="n"/>
    </row>
    <row r="461">
      <c r="A461" s="516" t="n"/>
      <c r="B461" s="516" t="n"/>
      <c r="C461" s="516" t="n"/>
      <c r="D461" s="516" t="n"/>
      <c r="E461" s="516" t="n"/>
      <c r="F461" s="516" t="n"/>
      <c r="G461" s="516" t="n"/>
      <c r="H461" s="516" t="n"/>
    </row>
    <row r="462">
      <c r="A462" s="516" t="n"/>
      <c r="B462" s="516" t="n"/>
      <c r="C462" s="516" t="n"/>
      <c r="D462" s="516" t="n"/>
      <c r="E462" s="516" t="n"/>
      <c r="F462" s="516" t="n"/>
      <c r="G462" s="516" t="n"/>
      <c r="H462" s="516" t="n"/>
    </row>
    <row r="463">
      <c r="A463" s="516" t="n"/>
      <c r="B463" s="516" t="n"/>
      <c r="C463" s="516" t="n"/>
      <c r="D463" s="516" t="n"/>
      <c r="E463" s="516" t="n"/>
      <c r="F463" s="516" t="n"/>
      <c r="G463" s="516" t="n"/>
      <c r="H463" s="516" t="n"/>
    </row>
    <row r="464">
      <c r="A464" s="516" t="n"/>
      <c r="B464" s="516" t="n"/>
      <c r="C464" s="516" t="n"/>
      <c r="D464" s="516" t="n"/>
      <c r="E464" s="516" t="n"/>
      <c r="F464" s="516" t="n"/>
      <c r="G464" s="516" t="n"/>
      <c r="H464" s="516" t="n"/>
    </row>
    <row r="465">
      <c r="A465" s="516" t="n"/>
      <c r="B465" s="516" t="n"/>
      <c r="C465" s="516" t="n"/>
      <c r="D465" s="516" t="n"/>
      <c r="E465" s="516" t="n"/>
      <c r="F465" s="516" t="n"/>
      <c r="G465" s="516" t="n"/>
      <c r="H465" s="516" t="n"/>
    </row>
    <row r="466">
      <c r="A466" s="516" t="n"/>
      <c r="B466" s="516" t="n"/>
      <c r="C466" s="516" t="n"/>
      <c r="D466" s="516" t="n"/>
      <c r="E466" s="516" t="n"/>
      <c r="F466" s="516" t="n"/>
      <c r="G466" s="516" t="n"/>
      <c r="H466" s="516" t="n"/>
    </row>
    <row r="467">
      <c r="A467" s="516" t="n"/>
      <c r="B467" s="516" t="n"/>
      <c r="C467" s="516" t="n"/>
      <c r="D467" s="516" t="n"/>
      <c r="E467" s="516" t="n"/>
      <c r="F467" s="516" t="n"/>
      <c r="G467" s="516" t="n"/>
      <c r="H467" s="516" t="n"/>
    </row>
    <row r="468">
      <c r="A468" s="516" t="n"/>
      <c r="B468" s="516" t="n"/>
      <c r="C468" s="516" t="n"/>
      <c r="D468" s="516" t="n"/>
      <c r="E468" s="516" t="n"/>
      <c r="F468" s="516" t="n"/>
      <c r="G468" s="516" t="n"/>
      <c r="H468" s="516" t="n"/>
    </row>
    <row r="469">
      <c r="A469" s="516" t="n"/>
      <c r="B469" s="516" t="n"/>
      <c r="C469" s="516" t="n"/>
      <c r="D469" s="516" t="n"/>
      <c r="E469" s="516" t="n"/>
      <c r="F469" s="516" t="n"/>
      <c r="G469" s="516" t="n"/>
      <c r="H469" s="516" t="n"/>
    </row>
    <row r="470">
      <c r="A470" s="516" t="n"/>
      <c r="B470" s="516" t="n"/>
      <c r="C470" s="516" t="n"/>
      <c r="D470" s="516" t="n"/>
      <c r="E470" s="516" t="n"/>
      <c r="F470" s="516" t="n"/>
      <c r="G470" s="516" t="n"/>
      <c r="H470" s="516" t="n"/>
    </row>
    <row r="471">
      <c r="A471" s="516" t="n"/>
      <c r="B471" s="516" t="n"/>
      <c r="C471" s="516" t="n"/>
      <c r="D471" s="516" t="n"/>
      <c r="E471" s="516" t="n"/>
      <c r="F471" s="516" t="n"/>
      <c r="G471" s="516" t="n"/>
      <c r="H471" s="516" t="n"/>
    </row>
    <row r="472">
      <c r="A472" s="516" t="n"/>
      <c r="B472" s="516" t="n"/>
      <c r="C472" s="516" t="n"/>
      <c r="D472" s="516" t="n"/>
      <c r="E472" s="516" t="n"/>
      <c r="F472" s="516" t="n"/>
      <c r="G472" s="516" t="n"/>
      <c r="H472" s="516" t="n"/>
    </row>
    <row r="473">
      <c r="A473" s="516" t="n"/>
      <c r="B473" s="516" t="n"/>
      <c r="C473" s="516" t="n"/>
      <c r="D473" s="516" t="n"/>
      <c r="E473" s="516" t="n"/>
      <c r="F473" s="516" t="n"/>
      <c r="G473" s="516" t="n"/>
      <c r="H473" s="516" t="n"/>
    </row>
    <row r="474">
      <c r="A474" s="516" t="n"/>
      <c r="B474" s="516" t="n"/>
      <c r="C474" s="516" t="n"/>
      <c r="D474" s="516" t="n"/>
      <c r="E474" s="516" t="n"/>
      <c r="F474" s="516" t="n"/>
      <c r="G474" s="516" t="n"/>
      <c r="H474" s="516" t="n"/>
    </row>
    <row r="475">
      <c r="A475" s="516" t="n"/>
      <c r="B475" s="516" t="n"/>
      <c r="C475" s="516" t="n"/>
      <c r="D475" s="516" t="n"/>
      <c r="E475" s="516" t="n"/>
      <c r="F475" s="516" t="n"/>
      <c r="G475" s="516" t="n"/>
      <c r="H475" s="516" t="n"/>
    </row>
    <row r="476">
      <c r="A476" s="516" t="n"/>
      <c r="B476" s="516" t="n"/>
      <c r="C476" s="516" t="n"/>
      <c r="D476" s="516" t="n"/>
      <c r="E476" s="516" t="n"/>
      <c r="F476" s="516" t="n"/>
      <c r="G476" s="516" t="n"/>
      <c r="H476" s="516" t="n"/>
    </row>
    <row r="477">
      <c r="A477" s="516" t="n"/>
      <c r="B477" s="516" t="n"/>
      <c r="C477" s="516" t="n"/>
      <c r="D477" s="516" t="n"/>
      <c r="E477" s="516" t="n"/>
      <c r="F477" s="516" t="n"/>
      <c r="G477" s="516" t="n"/>
      <c r="H477" s="516" t="n"/>
    </row>
    <row r="478">
      <c r="A478" s="516" t="n"/>
      <c r="B478" s="516" t="n"/>
      <c r="C478" s="516" t="n"/>
      <c r="D478" s="516" t="n"/>
      <c r="E478" s="516" t="n"/>
      <c r="F478" s="516" t="n"/>
      <c r="G478" s="516" t="n"/>
      <c r="H478" s="516" t="n"/>
    </row>
    <row r="479">
      <c r="A479" s="516" t="n"/>
      <c r="B479" s="516" t="n"/>
      <c r="C479" s="516" t="n"/>
      <c r="D479" s="516" t="n"/>
      <c r="E479" s="516" t="n"/>
      <c r="F479" s="516" t="n"/>
      <c r="G479" s="516" t="n"/>
      <c r="H479" s="516" t="n"/>
    </row>
    <row r="480">
      <c r="A480" s="516" t="n"/>
      <c r="B480" s="516" t="n"/>
      <c r="C480" s="516" t="n"/>
      <c r="D480" s="516" t="n"/>
      <c r="E480" s="516" t="n"/>
      <c r="F480" s="516" t="n"/>
      <c r="G480" s="516" t="n"/>
      <c r="H480" s="516" t="n"/>
    </row>
    <row r="481">
      <c r="A481" s="516" t="n"/>
      <c r="B481" s="516" t="n"/>
      <c r="C481" s="516" t="n"/>
      <c r="D481" s="516" t="n"/>
      <c r="E481" s="516" t="n"/>
      <c r="F481" s="516" t="n"/>
      <c r="G481" s="516" t="n"/>
      <c r="H481" s="516" t="n"/>
    </row>
    <row r="482">
      <c r="A482" s="516" t="n"/>
      <c r="B482" s="516" t="n"/>
      <c r="C482" s="516" t="n"/>
      <c r="D482" s="516" t="n"/>
      <c r="E482" s="516" t="n"/>
      <c r="F482" s="516" t="n"/>
      <c r="G482" s="516" t="n"/>
      <c r="H482" s="516" t="n"/>
    </row>
    <row r="483">
      <c r="A483" s="516" t="n"/>
      <c r="B483" s="516" t="n"/>
      <c r="C483" s="516" t="n"/>
      <c r="D483" s="516" t="n"/>
      <c r="E483" s="516" t="n"/>
      <c r="F483" s="516" t="n"/>
      <c r="G483" s="516" t="n"/>
      <c r="H483" s="516" t="n"/>
    </row>
    <row r="484">
      <c r="A484" s="516" t="n"/>
      <c r="B484" s="516" t="n"/>
      <c r="C484" s="516" t="n"/>
      <c r="D484" s="516" t="n"/>
      <c r="E484" s="516" t="n"/>
      <c r="F484" s="516" t="n"/>
      <c r="G484" s="516" t="n"/>
      <c r="H484" s="516" t="n"/>
    </row>
    <row r="485">
      <c r="A485" s="516" t="n"/>
      <c r="B485" s="516" t="n"/>
      <c r="C485" s="516" t="n"/>
      <c r="D485" s="516" t="n"/>
      <c r="E485" s="516" t="n"/>
      <c r="F485" s="516" t="n"/>
      <c r="G485" s="516" t="n"/>
      <c r="H485" s="516" t="n"/>
    </row>
    <row r="486">
      <c r="A486" s="516" t="n"/>
      <c r="B486" s="516" t="n"/>
      <c r="C486" s="516" t="n"/>
      <c r="D486" s="516" t="n"/>
      <c r="E486" s="516" t="n"/>
      <c r="F486" s="516" t="n"/>
      <c r="G486" s="516" t="n"/>
      <c r="H486" s="516" t="n"/>
    </row>
    <row r="487">
      <c r="A487" s="516" t="n"/>
      <c r="B487" s="516" t="n"/>
      <c r="C487" s="516" t="n"/>
      <c r="D487" s="516" t="n"/>
      <c r="E487" s="516" t="n"/>
      <c r="F487" s="516" t="n"/>
      <c r="G487" s="516" t="n"/>
      <c r="H487" s="516" t="n"/>
    </row>
    <row r="488">
      <c r="A488" s="516" t="n"/>
      <c r="B488" s="516" t="n"/>
      <c r="C488" s="516" t="n"/>
      <c r="D488" s="516" t="n"/>
      <c r="E488" s="516" t="n"/>
      <c r="F488" s="516" t="n"/>
      <c r="G488" s="516" t="n"/>
      <c r="H488" s="516" t="n"/>
    </row>
    <row r="489">
      <c r="A489" s="516" t="n"/>
      <c r="B489" s="516" t="n"/>
      <c r="C489" s="516" t="n"/>
      <c r="D489" s="516" t="n"/>
      <c r="E489" s="516" t="n"/>
      <c r="F489" s="516" t="n"/>
      <c r="G489" s="516" t="n"/>
      <c r="H489" s="516" t="n"/>
    </row>
    <row r="490">
      <c r="A490" s="516" t="n"/>
      <c r="B490" s="516" t="n"/>
      <c r="C490" s="516" t="n"/>
      <c r="D490" s="516" t="n"/>
      <c r="E490" s="516" t="n"/>
      <c r="F490" s="516" t="n"/>
      <c r="G490" s="516" t="n"/>
      <c r="H490" s="516" t="n"/>
    </row>
    <row r="491">
      <c r="A491" s="516" t="n"/>
      <c r="B491" s="516" t="n"/>
      <c r="C491" s="516" t="n"/>
      <c r="D491" s="516" t="n"/>
      <c r="E491" s="516" t="n"/>
      <c r="F491" s="516" t="n"/>
      <c r="G491" s="516" t="n"/>
      <c r="H491" s="516" t="n"/>
    </row>
    <row r="492">
      <c r="A492" s="516" t="n"/>
      <c r="B492" s="516" t="n"/>
      <c r="C492" s="516" t="n"/>
      <c r="D492" s="516" t="n"/>
      <c r="E492" s="516" t="n"/>
      <c r="F492" s="516" t="n"/>
      <c r="G492" s="516" t="n"/>
      <c r="H492" s="516" t="n"/>
    </row>
    <row r="493">
      <c r="A493" s="516" t="n"/>
      <c r="B493" s="516" t="n"/>
      <c r="C493" s="516" t="n"/>
      <c r="D493" s="516" t="n"/>
      <c r="E493" s="516" t="n"/>
      <c r="F493" s="516" t="n"/>
      <c r="G493" s="516" t="n"/>
      <c r="H493" s="516" t="n"/>
    </row>
    <row r="494">
      <c r="A494" s="516" t="n"/>
      <c r="B494" s="516" t="n"/>
      <c r="C494" s="516" t="n"/>
      <c r="D494" s="516" t="n"/>
      <c r="E494" s="516" t="n"/>
      <c r="F494" s="516" t="n"/>
      <c r="G494" s="516" t="n"/>
      <c r="H494" s="516" t="n"/>
    </row>
    <row r="495">
      <c r="A495" s="516" t="n"/>
      <c r="B495" s="516" t="n"/>
      <c r="C495" s="516" t="n"/>
      <c r="D495" s="516" t="n"/>
      <c r="E495" s="516" t="n"/>
      <c r="F495" s="516" t="n"/>
      <c r="G495" s="516" t="n"/>
      <c r="H495" s="516" t="n"/>
    </row>
    <row r="496">
      <c r="A496" s="516" t="n"/>
      <c r="B496" s="516" t="n"/>
      <c r="C496" s="516" t="n"/>
      <c r="D496" s="516" t="n"/>
      <c r="E496" s="516" t="n"/>
      <c r="F496" s="516" t="n"/>
      <c r="G496" s="516" t="n"/>
      <c r="H496" s="516" t="n"/>
    </row>
    <row r="497">
      <c r="A497" s="516" t="n"/>
      <c r="B497" s="516" t="n"/>
      <c r="C497" s="516" t="n"/>
      <c r="D497" s="516" t="n"/>
      <c r="E497" s="516" t="n"/>
      <c r="F497" s="516" t="n"/>
      <c r="G497" s="516" t="n"/>
      <c r="H497" s="516" t="n"/>
    </row>
    <row r="498">
      <c r="A498" s="516" t="n"/>
      <c r="B498" s="516" t="n"/>
      <c r="C498" s="516" t="n"/>
      <c r="D498" s="516" t="n"/>
      <c r="E498" s="516" t="n"/>
      <c r="F498" s="516" t="n"/>
      <c r="G498" s="516" t="n"/>
      <c r="H498" s="516" t="n"/>
    </row>
    <row r="499">
      <c r="A499" s="516" t="n"/>
      <c r="B499" s="516" t="n"/>
      <c r="C499" s="516" t="n"/>
      <c r="D499" s="516" t="n"/>
      <c r="E499" s="516" t="n"/>
      <c r="F499" s="516" t="n"/>
      <c r="G499" s="516" t="n"/>
      <c r="H499" s="516" t="n"/>
    </row>
    <row r="500">
      <c r="A500" s="516" t="n"/>
      <c r="B500" s="516" t="n"/>
      <c r="C500" s="516" t="n"/>
      <c r="D500" s="516" t="n"/>
      <c r="E500" s="516" t="n"/>
      <c r="F500" s="516" t="n"/>
      <c r="G500" s="516" t="n"/>
      <c r="H500" s="516" t="n"/>
    </row>
    <row r="501">
      <c r="A501" s="516" t="n"/>
      <c r="B501" s="516" t="n"/>
      <c r="C501" s="516" t="n"/>
      <c r="D501" s="516" t="n"/>
      <c r="E501" s="516" t="n"/>
      <c r="F501" s="516" t="n"/>
      <c r="G501" s="516" t="n"/>
      <c r="H501" s="516" t="n"/>
    </row>
    <row r="502">
      <c r="A502" s="516" t="n"/>
      <c r="B502" s="516" t="n"/>
      <c r="C502" s="516" t="n"/>
      <c r="D502" s="516" t="n"/>
      <c r="E502" s="516" t="n"/>
      <c r="F502" s="516" t="n"/>
      <c r="G502" s="516" t="n"/>
      <c r="H502" s="516" t="n"/>
    </row>
    <row r="503">
      <c r="A503" s="516" t="n"/>
      <c r="B503" s="516" t="n"/>
      <c r="C503" s="516" t="n"/>
      <c r="D503" s="516" t="n"/>
      <c r="E503" s="516" t="n"/>
      <c r="F503" s="516" t="n"/>
      <c r="G503" s="516" t="n"/>
      <c r="H503" s="516" t="n"/>
    </row>
    <row r="504">
      <c r="A504" s="516" t="n"/>
      <c r="B504" s="516" t="n"/>
      <c r="C504" s="516" t="n"/>
      <c r="D504" s="516" t="n"/>
      <c r="E504" s="516" t="n"/>
      <c r="F504" s="516" t="n"/>
      <c r="G504" s="516" t="n"/>
      <c r="H504" s="516" t="n"/>
    </row>
    <row r="505">
      <c r="A505" s="516" t="n"/>
      <c r="B505" s="516" t="n"/>
      <c r="C505" s="516" t="n"/>
      <c r="D505" s="516" t="n"/>
      <c r="E505" s="516" t="n"/>
      <c r="F505" s="516" t="n"/>
      <c r="G505" s="516" t="n"/>
      <c r="H505" s="516" t="n"/>
    </row>
    <row r="506">
      <c r="A506" s="516" t="n"/>
      <c r="B506" s="516" t="n"/>
      <c r="C506" s="516" t="n"/>
      <c r="D506" s="516" t="n"/>
      <c r="E506" s="516" t="n"/>
      <c r="F506" s="516" t="n"/>
      <c r="G506" s="516" t="n"/>
      <c r="H506" s="516" t="n"/>
    </row>
    <row r="507">
      <c r="A507" s="516" t="n"/>
      <c r="B507" s="516" t="n"/>
      <c r="C507" s="516" t="n"/>
      <c r="D507" s="516" t="n"/>
      <c r="E507" s="516" t="n"/>
      <c r="F507" s="516" t="n"/>
      <c r="G507" s="516" t="n"/>
      <c r="H507" s="516" t="n"/>
    </row>
    <row r="508">
      <c r="A508" s="516" t="n"/>
      <c r="B508" s="516" t="n"/>
      <c r="C508" s="516" t="n"/>
      <c r="D508" s="516" t="n"/>
      <c r="E508" s="516" t="n"/>
      <c r="F508" s="516" t="n"/>
      <c r="G508" s="516" t="n"/>
      <c r="H508" s="516" t="n"/>
    </row>
    <row r="509">
      <c r="A509" s="516" t="n"/>
      <c r="B509" s="516" t="n"/>
      <c r="C509" s="516" t="n"/>
      <c r="D509" s="516" t="n"/>
      <c r="E509" s="516" t="n"/>
      <c r="F509" s="516" t="n"/>
      <c r="G509" s="516" t="n"/>
      <c r="H509" s="516" t="n"/>
    </row>
    <row r="510">
      <c r="A510" s="516" t="n"/>
      <c r="B510" s="516" t="n"/>
      <c r="C510" s="516" t="n"/>
      <c r="D510" s="516" t="n"/>
      <c r="E510" s="516" t="n"/>
      <c r="F510" s="516" t="n"/>
      <c r="G510" s="516" t="n"/>
      <c r="H510" s="516" t="n"/>
    </row>
    <row r="511">
      <c r="A511" s="516" t="n"/>
      <c r="B511" s="516" t="n"/>
      <c r="C511" s="516" t="n"/>
      <c r="D511" s="516" t="n"/>
      <c r="E511" s="516" t="n"/>
      <c r="F511" s="516" t="n"/>
      <c r="G511" s="516" t="n"/>
      <c r="H511" s="516" t="n"/>
    </row>
    <row r="512">
      <c r="A512" s="516" t="n"/>
      <c r="B512" s="516" t="n"/>
      <c r="C512" s="516" t="n"/>
      <c r="D512" s="516" t="n"/>
      <c r="E512" s="516" t="n"/>
      <c r="F512" s="516" t="n"/>
      <c r="G512" s="516" t="n"/>
      <c r="H512" s="516" t="n"/>
    </row>
    <row r="513">
      <c r="A513" s="516" t="n"/>
      <c r="B513" s="516" t="n"/>
      <c r="C513" s="516" t="n"/>
      <c r="D513" s="516" t="n"/>
      <c r="E513" s="516" t="n"/>
      <c r="F513" s="516" t="n"/>
      <c r="G513" s="516" t="n"/>
      <c r="H513" s="516" t="n"/>
    </row>
    <row r="514">
      <c r="A514" s="516" t="n"/>
      <c r="B514" s="516" t="n"/>
      <c r="C514" s="516" t="n"/>
      <c r="D514" s="516" t="n"/>
      <c r="E514" s="516" t="n"/>
      <c r="F514" s="516" t="n"/>
      <c r="G514" s="516" t="n"/>
      <c r="H514" s="516" t="n"/>
    </row>
    <row r="515">
      <c r="A515" s="516" t="n"/>
      <c r="B515" s="516" t="n"/>
      <c r="C515" s="516" t="n"/>
      <c r="D515" s="516" t="n"/>
      <c r="E515" s="516" t="n"/>
      <c r="F515" s="516" t="n"/>
      <c r="G515" s="516" t="n"/>
      <c r="H515" s="516" t="n"/>
    </row>
    <row r="516">
      <c r="A516" s="516" t="n"/>
      <c r="B516" s="516" t="n"/>
      <c r="C516" s="516" t="n"/>
      <c r="D516" s="516" t="n"/>
      <c r="E516" s="516" t="n"/>
      <c r="F516" s="516" t="n"/>
      <c r="G516" s="516" t="n"/>
      <c r="H516" s="516" t="n"/>
    </row>
    <row r="517">
      <c r="A517" s="516" t="n"/>
      <c r="B517" s="516" t="n"/>
      <c r="C517" s="516" t="n"/>
      <c r="D517" s="516" t="n"/>
      <c r="E517" s="516" t="n"/>
      <c r="F517" s="516" t="n"/>
      <c r="G517" s="516" t="n"/>
      <c r="H517" s="516" t="n"/>
    </row>
    <row r="518">
      <c r="A518" s="516" t="n"/>
      <c r="B518" s="516" t="n"/>
      <c r="C518" s="516" t="n"/>
      <c r="D518" s="516" t="n"/>
      <c r="E518" s="516" t="n"/>
      <c r="F518" s="516" t="n"/>
      <c r="G518" s="516" t="n"/>
      <c r="H518" s="516" t="n"/>
    </row>
    <row r="519">
      <c r="A519" s="516" t="n"/>
      <c r="B519" s="516" t="n"/>
      <c r="C519" s="516" t="n"/>
      <c r="D519" s="516" t="n"/>
      <c r="E519" s="516" t="n"/>
      <c r="F519" s="516" t="n"/>
      <c r="G519" s="516" t="n"/>
      <c r="H519" s="516" t="n"/>
    </row>
    <row r="520">
      <c r="A520" s="516" t="n"/>
      <c r="B520" s="516" t="n"/>
      <c r="C520" s="516" t="n"/>
      <c r="D520" s="516" t="n"/>
      <c r="E520" s="516" t="n"/>
      <c r="F520" s="516" t="n"/>
      <c r="G520" s="516" t="n"/>
      <c r="H520" s="516" t="n"/>
    </row>
    <row r="521">
      <c r="A521" s="516" t="n"/>
      <c r="B521" s="516" t="n"/>
      <c r="C521" s="516" t="n"/>
      <c r="D521" s="516" t="n"/>
      <c r="E521" s="516" t="n"/>
      <c r="F521" s="516" t="n"/>
      <c r="G521" s="516" t="n"/>
      <c r="H521" s="516" t="n"/>
    </row>
    <row r="522">
      <c r="A522" s="516" t="n"/>
      <c r="B522" s="516" t="n"/>
      <c r="C522" s="516" t="n"/>
      <c r="D522" s="516" t="n"/>
      <c r="E522" s="516" t="n"/>
      <c r="F522" s="516" t="n"/>
      <c r="G522" s="516" t="n"/>
      <c r="H522" s="516" t="n"/>
    </row>
    <row r="523">
      <c r="A523" s="516" t="n"/>
      <c r="B523" s="516" t="n"/>
      <c r="C523" s="516" t="n"/>
      <c r="D523" s="516" t="n"/>
      <c r="E523" s="516" t="n"/>
      <c r="F523" s="516" t="n"/>
      <c r="G523" s="516" t="n"/>
      <c r="H523" s="516" t="n"/>
    </row>
    <row r="524">
      <c r="A524" s="516" t="n"/>
      <c r="B524" s="516" t="n"/>
      <c r="C524" s="516" t="n"/>
      <c r="D524" s="516" t="n"/>
      <c r="E524" s="516" t="n"/>
      <c r="F524" s="516" t="n"/>
      <c r="G524" s="516" t="n"/>
      <c r="H524" s="516" t="n"/>
    </row>
    <row r="525">
      <c r="A525" s="516" t="n"/>
      <c r="B525" s="516" t="n"/>
      <c r="C525" s="516" t="n"/>
      <c r="D525" s="516" t="n"/>
      <c r="E525" s="516" t="n"/>
      <c r="F525" s="516" t="n"/>
      <c r="G525" s="516" t="n"/>
      <c r="H525" s="516" t="n"/>
    </row>
    <row r="526">
      <c r="A526" s="516" t="n"/>
      <c r="B526" s="516" t="n"/>
      <c r="C526" s="516" t="n"/>
      <c r="D526" s="516" t="n"/>
      <c r="E526" s="516" t="n"/>
      <c r="F526" s="516" t="n"/>
      <c r="G526" s="516" t="n"/>
      <c r="H526" s="516" t="n"/>
    </row>
    <row r="527">
      <c r="A527" s="516" t="n"/>
      <c r="B527" s="516" t="n"/>
      <c r="C527" s="516" t="n"/>
      <c r="D527" s="516" t="n"/>
      <c r="E527" s="516" t="n"/>
      <c r="F527" s="516" t="n"/>
      <c r="G527" s="516" t="n"/>
      <c r="H527" s="516" t="n"/>
    </row>
    <row r="528">
      <c r="A528" s="516" t="n"/>
      <c r="B528" s="516" t="n"/>
      <c r="C528" s="516" t="n"/>
      <c r="D528" s="516" t="n"/>
      <c r="E528" s="516" t="n"/>
      <c r="F528" s="516" t="n"/>
      <c r="G528" s="516" t="n"/>
      <c r="H528" s="516" t="n"/>
    </row>
    <row r="529">
      <c r="A529" s="516" t="n"/>
      <c r="B529" s="516" t="n"/>
      <c r="C529" s="516" t="n"/>
      <c r="D529" s="516" t="n"/>
      <c r="E529" s="516" t="n"/>
      <c r="F529" s="516" t="n"/>
      <c r="G529" s="516" t="n"/>
      <c r="H529" s="516" t="n"/>
    </row>
    <row r="530">
      <c r="A530" s="516" t="n"/>
      <c r="B530" s="516" t="n"/>
      <c r="C530" s="516" t="n"/>
      <c r="D530" s="516" t="n"/>
      <c r="E530" s="516" t="n"/>
      <c r="F530" s="516" t="n"/>
      <c r="G530" s="516" t="n"/>
      <c r="H530" s="516" t="n"/>
    </row>
    <row r="531">
      <c r="A531" s="516" t="n"/>
      <c r="B531" s="516" t="n"/>
      <c r="C531" s="516" t="n"/>
      <c r="D531" s="516" t="n"/>
      <c r="E531" s="516" t="n"/>
      <c r="F531" s="516" t="n"/>
      <c r="G531" s="516" t="n"/>
      <c r="H531" s="516" t="n"/>
    </row>
    <row r="532">
      <c r="A532" s="516" t="n"/>
      <c r="B532" s="516" t="n"/>
      <c r="C532" s="516" t="n"/>
      <c r="D532" s="516" t="n"/>
      <c r="E532" s="516" t="n"/>
      <c r="F532" s="516" t="n"/>
      <c r="G532" s="516" t="n"/>
      <c r="H532" s="516" t="n"/>
    </row>
    <row r="533">
      <c r="A533" s="516" t="n"/>
      <c r="B533" s="516" t="n"/>
      <c r="C533" s="516" t="n"/>
      <c r="D533" s="516" t="n"/>
      <c r="E533" s="516" t="n"/>
      <c r="F533" s="516" t="n"/>
      <c r="G533" s="516" t="n"/>
      <c r="H533" s="516" t="n"/>
    </row>
    <row r="534">
      <c r="A534" s="516" t="n"/>
      <c r="B534" s="516" t="n"/>
      <c r="C534" s="516" t="n"/>
      <c r="D534" s="516" t="n"/>
      <c r="E534" s="516" t="n"/>
      <c r="F534" s="516" t="n"/>
      <c r="G534" s="516" t="n"/>
      <c r="H534" s="516" t="n"/>
    </row>
    <row r="535">
      <c r="A535" s="516" t="n"/>
      <c r="B535" s="516" t="n"/>
      <c r="C535" s="516" t="n"/>
      <c r="D535" s="516" t="n"/>
      <c r="E535" s="516" t="n"/>
      <c r="F535" s="516" t="n"/>
      <c r="G535" s="516" t="n"/>
      <c r="H535" s="516" t="n"/>
    </row>
    <row r="536">
      <c r="A536" s="516" t="n"/>
      <c r="B536" s="516" t="n"/>
      <c r="C536" s="516" t="n"/>
      <c r="D536" s="516" t="n"/>
      <c r="E536" s="516" t="n"/>
      <c r="F536" s="516" t="n"/>
      <c r="G536" s="516" t="n"/>
      <c r="H536" s="516" t="n"/>
    </row>
    <row r="537">
      <c r="A537" s="516" t="n"/>
      <c r="B537" s="516" t="n"/>
      <c r="C537" s="516" t="n"/>
      <c r="D537" s="516" t="n"/>
      <c r="E537" s="516" t="n"/>
      <c r="F537" s="516" t="n"/>
      <c r="G537" s="516" t="n"/>
      <c r="H537" s="516" t="n"/>
    </row>
    <row r="538">
      <c r="A538" s="516" t="n"/>
      <c r="B538" s="516" t="n"/>
      <c r="C538" s="516" t="n"/>
      <c r="D538" s="516" t="n"/>
      <c r="E538" s="516" t="n"/>
      <c r="F538" s="516" t="n"/>
      <c r="G538" s="516" t="n"/>
      <c r="H538" s="516" t="n"/>
    </row>
    <row r="539">
      <c r="A539" s="516" t="n"/>
      <c r="B539" s="516" t="n"/>
      <c r="C539" s="516" t="n"/>
      <c r="D539" s="516" t="n"/>
      <c r="E539" s="516" t="n"/>
      <c r="F539" s="516" t="n"/>
      <c r="G539" s="516" t="n"/>
      <c r="H539" s="516" t="n"/>
    </row>
    <row r="540">
      <c r="A540" s="516" t="n"/>
      <c r="B540" s="516" t="n"/>
      <c r="C540" s="516" t="n"/>
      <c r="D540" s="516" t="n"/>
      <c r="E540" s="516" t="n"/>
      <c r="F540" s="516" t="n"/>
      <c r="G540" s="516" t="n"/>
      <c r="H540" s="516" t="n"/>
    </row>
    <row r="541">
      <c r="A541" s="516" t="n"/>
      <c r="B541" s="516" t="n"/>
      <c r="C541" s="516" t="n"/>
      <c r="D541" s="516" t="n"/>
      <c r="E541" s="516" t="n"/>
      <c r="F541" s="516" t="n"/>
      <c r="G541" s="516" t="n"/>
      <c r="H541" s="516" t="n"/>
    </row>
    <row r="542">
      <c r="A542" s="516" t="n"/>
      <c r="B542" s="516" t="n"/>
      <c r="C542" s="516" t="n"/>
      <c r="D542" s="516" t="n"/>
      <c r="E542" s="516" t="n"/>
      <c r="F542" s="516" t="n"/>
      <c r="G542" s="516" t="n"/>
      <c r="H542" s="516" t="n"/>
    </row>
    <row r="543">
      <c r="A543" s="516" t="n"/>
      <c r="B543" s="516" t="n"/>
      <c r="C543" s="516" t="n"/>
      <c r="D543" s="516" t="n"/>
      <c r="E543" s="516" t="n"/>
      <c r="F543" s="516" t="n"/>
      <c r="G543" s="516" t="n"/>
      <c r="H543" s="516" t="n"/>
    </row>
    <row r="544">
      <c r="A544" s="516" t="n"/>
      <c r="B544" s="516" t="n"/>
      <c r="C544" s="516" t="n"/>
      <c r="D544" s="516" t="n"/>
      <c r="E544" s="516" t="n"/>
      <c r="F544" s="516" t="n"/>
      <c r="G544" s="516" t="n"/>
      <c r="H544" s="516" t="n"/>
    </row>
    <row r="545">
      <c r="A545" s="516" t="n"/>
      <c r="B545" s="516" t="n"/>
      <c r="C545" s="516" t="n"/>
      <c r="D545" s="516" t="n"/>
      <c r="E545" s="516" t="n"/>
      <c r="F545" s="516" t="n"/>
      <c r="G545" s="516" t="n"/>
      <c r="H545" s="516" t="n"/>
    </row>
    <row r="546">
      <c r="A546" s="516" t="n"/>
      <c r="B546" s="516" t="n"/>
      <c r="C546" s="516" t="n"/>
      <c r="D546" s="516" t="n"/>
      <c r="E546" s="516" t="n"/>
      <c r="F546" s="516" t="n"/>
      <c r="G546" s="516" t="n"/>
      <c r="H546" s="516" t="n"/>
    </row>
    <row r="547">
      <c r="A547" s="516" t="n"/>
      <c r="B547" s="516" t="n"/>
      <c r="C547" s="516" t="n"/>
      <c r="D547" s="516" t="n"/>
      <c r="E547" s="516" t="n"/>
      <c r="F547" s="516" t="n"/>
      <c r="G547" s="516" t="n"/>
      <c r="H547" s="516" t="n"/>
    </row>
    <row r="548">
      <c r="A548" s="516" t="n"/>
      <c r="B548" s="516" t="n"/>
      <c r="C548" s="516" t="n"/>
      <c r="D548" s="516" t="n"/>
      <c r="E548" s="516" t="n"/>
      <c r="F548" s="516" t="n"/>
      <c r="G548" s="516" t="n"/>
      <c r="H548" s="516" t="n"/>
    </row>
    <row r="549">
      <c r="A549" s="516" t="n"/>
      <c r="B549" s="516" t="n"/>
      <c r="C549" s="516" t="n"/>
      <c r="D549" s="516" t="n"/>
      <c r="E549" s="516" t="n"/>
      <c r="F549" s="516" t="n"/>
      <c r="G549" s="516" t="n"/>
      <c r="H549" s="516" t="n"/>
    </row>
    <row r="550">
      <c r="A550" s="516" t="n"/>
      <c r="B550" s="516" t="n"/>
      <c r="C550" s="516" t="n"/>
      <c r="D550" s="516" t="n"/>
      <c r="E550" s="516" t="n"/>
      <c r="F550" s="516" t="n"/>
      <c r="G550" s="516" t="n"/>
      <c r="H550" s="516" t="n"/>
    </row>
    <row r="551">
      <c r="A551" s="516" t="n"/>
      <c r="B551" s="516" t="n"/>
      <c r="C551" s="516" t="n"/>
      <c r="D551" s="516" t="n"/>
      <c r="E551" s="516" t="n"/>
      <c r="F551" s="516" t="n"/>
      <c r="G551" s="516" t="n"/>
      <c r="H551" s="516" t="n"/>
    </row>
    <row r="552">
      <c r="A552" s="516" t="n"/>
      <c r="B552" s="516" t="n"/>
      <c r="C552" s="516" t="n"/>
      <c r="D552" s="516" t="n"/>
      <c r="E552" s="516" t="n"/>
      <c r="F552" s="516" t="n"/>
      <c r="G552" s="516" t="n"/>
      <c r="H552" s="516" t="n"/>
    </row>
    <row r="553">
      <c r="A553" s="516" t="n"/>
      <c r="B553" s="516" t="n"/>
      <c r="C553" s="516" t="n"/>
      <c r="D553" s="516" t="n"/>
      <c r="E553" s="516" t="n"/>
      <c r="F553" s="516" t="n"/>
      <c r="G553" s="516" t="n"/>
      <c r="H553" s="516" t="n"/>
    </row>
    <row r="554">
      <c r="A554" s="516" t="n"/>
      <c r="B554" s="516" t="n"/>
      <c r="C554" s="516" t="n"/>
      <c r="D554" s="516" t="n"/>
      <c r="E554" s="516" t="n"/>
      <c r="F554" s="516" t="n"/>
      <c r="G554" s="516" t="n"/>
      <c r="H554" s="516" t="n"/>
    </row>
    <row r="555">
      <c r="A555" s="516" t="n"/>
      <c r="B555" s="516" t="n"/>
      <c r="C555" s="516" t="n"/>
      <c r="D555" s="516" t="n"/>
      <c r="E555" s="516" t="n"/>
      <c r="F555" s="516" t="n"/>
      <c r="G555" s="516" t="n"/>
      <c r="H555" s="516" t="n"/>
    </row>
    <row r="556">
      <c r="A556" s="516" t="n"/>
      <c r="B556" s="516" t="n"/>
      <c r="C556" s="516" t="n"/>
      <c r="D556" s="516" t="n"/>
      <c r="E556" s="516" t="n"/>
      <c r="F556" s="516" t="n"/>
      <c r="G556" s="516" t="n"/>
      <c r="H556" s="516" t="n"/>
    </row>
    <row r="557">
      <c r="A557" s="516" t="n"/>
      <c r="B557" s="516" t="n"/>
      <c r="C557" s="516" t="n"/>
      <c r="D557" s="516" t="n"/>
      <c r="E557" s="516" t="n"/>
      <c r="F557" s="516" t="n"/>
      <c r="G557" s="516" t="n"/>
      <c r="H557" s="516" t="n"/>
    </row>
    <row r="558">
      <c r="A558" s="516" t="n"/>
      <c r="B558" s="516" t="n"/>
      <c r="C558" s="516" t="n"/>
      <c r="D558" s="516" t="n"/>
      <c r="E558" s="516" t="n"/>
      <c r="F558" s="516" t="n"/>
      <c r="G558" s="516" t="n"/>
      <c r="H558" s="516" t="n"/>
    </row>
    <row r="559">
      <c r="A559" s="516" t="n"/>
      <c r="B559" s="516" t="n"/>
      <c r="C559" s="516" t="n"/>
      <c r="D559" s="516" t="n"/>
      <c r="E559" s="516" t="n"/>
      <c r="F559" s="516" t="n"/>
      <c r="G559" s="516" t="n"/>
      <c r="H559" s="516" t="n"/>
    </row>
    <row r="560">
      <c r="A560" s="516" t="n"/>
      <c r="B560" s="516" t="n"/>
      <c r="C560" s="516" t="n"/>
      <c r="D560" s="516" t="n"/>
      <c r="E560" s="516" t="n"/>
      <c r="F560" s="516" t="n"/>
      <c r="G560" s="516" t="n"/>
      <c r="H560" s="516" t="n"/>
    </row>
    <row r="561">
      <c r="A561" s="516" t="n"/>
      <c r="B561" s="516" t="n"/>
      <c r="C561" s="516" t="n"/>
      <c r="D561" s="516" t="n"/>
      <c r="E561" s="516" t="n"/>
      <c r="F561" s="516" t="n"/>
      <c r="G561" s="516" t="n"/>
      <c r="H561" s="516" t="n"/>
    </row>
    <row r="562">
      <c r="A562" s="516" t="n"/>
      <c r="B562" s="516" t="n"/>
      <c r="C562" s="516" t="n"/>
      <c r="D562" s="516" t="n"/>
      <c r="E562" s="516" t="n"/>
      <c r="F562" s="516" t="n"/>
      <c r="G562" s="516" t="n"/>
      <c r="H562" s="516" t="n"/>
    </row>
    <row r="563">
      <c r="A563" s="516" t="n"/>
      <c r="B563" s="516" t="n"/>
      <c r="C563" s="516" t="n"/>
      <c r="D563" s="516" t="n"/>
      <c r="E563" s="516" t="n"/>
      <c r="F563" s="516" t="n"/>
      <c r="G563" s="516" t="n"/>
      <c r="H563" s="516" t="n"/>
    </row>
    <row r="564">
      <c r="A564" s="516" t="n"/>
      <c r="B564" s="516" t="n"/>
      <c r="C564" s="516" t="n"/>
      <c r="D564" s="516" t="n"/>
      <c r="E564" s="516" t="n"/>
      <c r="F564" s="516" t="n"/>
      <c r="G564" s="516" t="n"/>
      <c r="H564" s="516" t="n"/>
    </row>
    <row r="565">
      <c r="A565" s="516" t="n"/>
      <c r="B565" s="516" t="n"/>
      <c r="C565" s="516" t="n"/>
      <c r="D565" s="516" t="n"/>
      <c r="E565" s="516" t="n"/>
      <c r="F565" s="516" t="n"/>
      <c r="G565" s="516" t="n"/>
      <c r="H565" s="516" t="n"/>
    </row>
    <row r="566">
      <c r="A566" s="516" t="n"/>
      <c r="B566" s="516" t="n"/>
      <c r="C566" s="516" t="n"/>
      <c r="D566" s="516" t="n"/>
      <c r="E566" s="516" t="n"/>
      <c r="F566" s="516" t="n"/>
      <c r="G566" s="516" t="n"/>
      <c r="H566" s="516" t="n"/>
    </row>
    <row r="567">
      <c r="A567" s="516" t="n"/>
      <c r="B567" s="516" t="n"/>
      <c r="C567" s="516" t="n"/>
      <c r="D567" s="516" t="n"/>
      <c r="E567" s="516" t="n"/>
      <c r="F567" s="516" t="n"/>
      <c r="G567" s="516" t="n"/>
      <c r="H567" s="516" t="n"/>
    </row>
    <row r="568">
      <c r="A568" s="516" t="n"/>
      <c r="B568" s="516" t="n"/>
      <c r="C568" s="516" t="n"/>
      <c r="D568" s="516" t="n"/>
      <c r="E568" s="516" t="n"/>
      <c r="F568" s="516" t="n"/>
      <c r="G568" s="516" t="n"/>
      <c r="H568" s="516" t="n"/>
    </row>
    <row r="569">
      <c r="A569" s="516" t="n"/>
      <c r="B569" s="516" t="n"/>
      <c r="C569" s="516" t="n"/>
      <c r="D569" s="516" t="n"/>
      <c r="E569" s="516" t="n"/>
      <c r="F569" s="516" t="n"/>
      <c r="G569" s="516" t="n"/>
      <c r="H569" s="516" t="n"/>
    </row>
    <row r="570">
      <c r="A570" s="516" t="n"/>
      <c r="B570" s="516" t="n"/>
      <c r="C570" s="516" t="n"/>
      <c r="D570" s="516" t="n"/>
      <c r="E570" s="516" t="n"/>
      <c r="F570" s="516" t="n"/>
      <c r="G570" s="516" t="n"/>
      <c r="H570" s="516" t="n"/>
    </row>
    <row r="571">
      <c r="A571" s="516" t="n"/>
      <c r="B571" s="516" t="n"/>
      <c r="C571" s="516" t="n"/>
      <c r="D571" s="516" t="n"/>
      <c r="E571" s="516" t="n"/>
      <c r="F571" s="516" t="n"/>
      <c r="G571" s="516" t="n"/>
      <c r="H571" s="516" t="n"/>
    </row>
    <row r="572">
      <c r="A572" s="516" t="n"/>
      <c r="B572" s="516" t="n"/>
      <c r="C572" s="516" t="n"/>
      <c r="D572" s="516" t="n"/>
      <c r="E572" s="516" t="n"/>
      <c r="F572" s="516" t="n"/>
      <c r="G572" s="516" t="n"/>
      <c r="H572" s="516" t="n"/>
    </row>
    <row r="573">
      <c r="A573" s="516" t="n"/>
      <c r="B573" s="516" t="n"/>
      <c r="C573" s="516" t="n"/>
      <c r="D573" s="516" t="n"/>
      <c r="E573" s="516" t="n"/>
      <c r="F573" s="516" t="n"/>
      <c r="G573" s="516" t="n"/>
      <c r="H573" s="516" t="n"/>
    </row>
    <row r="574">
      <c r="A574" s="516" t="n"/>
      <c r="B574" s="516" t="n"/>
      <c r="C574" s="516" t="n"/>
      <c r="D574" s="516" t="n"/>
      <c r="E574" s="516" t="n"/>
      <c r="F574" s="516" t="n"/>
      <c r="G574" s="516" t="n"/>
      <c r="H574" s="516" t="n"/>
    </row>
    <row r="575">
      <c r="A575" s="516" t="n"/>
      <c r="B575" s="516" t="n"/>
      <c r="C575" s="516" t="n"/>
      <c r="D575" s="516" t="n"/>
      <c r="E575" s="516" t="n"/>
      <c r="F575" s="516" t="n"/>
      <c r="G575" s="516" t="n"/>
      <c r="H575" s="516" t="n"/>
    </row>
    <row r="576">
      <c r="A576" s="516" t="n"/>
      <c r="B576" s="516" t="n"/>
      <c r="C576" s="516" t="n"/>
      <c r="D576" s="516" t="n"/>
      <c r="E576" s="516" t="n"/>
      <c r="F576" s="516" t="n"/>
      <c r="G576" s="516" t="n"/>
      <c r="H576" s="516" t="n"/>
    </row>
    <row r="577">
      <c r="A577" s="516" t="n"/>
      <c r="B577" s="516" t="n"/>
      <c r="C577" s="516" t="n"/>
      <c r="D577" s="516" t="n"/>
      <c r="E577" s="516" t="n"/>
      <c r="F577" s="516" t="n"/>
      <c r="G577" s="516" t="n"/>
      <c r="H577" s="516" t="n"/>
    </row>
    <row r="578">
      <c r="A578" s="516" t="n"/>
      <c r="B578" s="516" t="n"/>
      <c r="C578" s="516" t="n"/>
      <c r="D578" s="516" t="n"/>
      <c r="E578" s="516" t="n"/>
      <c r="F578" s="516" t="n"/>
      <c r="G578" s="516" t="n"/>
      <c r="H578" s="516" t="n"/>
    </row>
    <row r="579">
      <c r="A579" s="516" t="n"/>
      <c r="B579" s="516" t="n"/>
      <c r="C579" s="516" t="n"/>
      <c r="D579" s="516" t="n"/>
      <c r="E579" s="516" t="n"/>
      <c r="F579" s="516" t="n"/>
      <c r="G579" s="516" t="n"/>
      <c r="H579" s="516" t="n"/>
    </row>
    <row r="580">
      <c r="A580" s="516" t="n"/>
      <c r="B580" s="516" t="n"/>
      <c r="C580" s="516" t="n"/>
      <c r="D580" s="516" t="n"/>
      <c r="E580" s="516" t="n"/>
      <c r="F580" s="516" t="n"/>
      <c r="G580" s="516" t="n"/>
      <c r="H580" s="516" t="n"/>
    </row>
    <row r="581">
      <c r="A581" s="516" t="n"/>
      <c r="B581" s="516" t="n"/>
      <c r="C581" s="516" t="n"/>
      <c r="D581" s="516" t="n"/>
      <c r="E581" s="516" t="n"/>
      <c r="F581" s="516" t="n"/>
      <c r="G581" s="516" t="n"/>
      <c r="H581" s="516" t="n"/>
    </row>
    <row r="582">
      <c r="A582" s="516" t="n"/>
      <c r="B582" s="516" t="n"/>
      <c r="C582" s="516" t="n"/>
      <c r="D582" s="516" t="n"/>
      <c r="E582" s="516" t="n"/>
      <c r="F582" s="516" t="n"/>
      <c r="G582" s="516" t="n"/>
      <c r="H582" s="516" t="n"/>
    </row>
    <row r="583">
      <c r="A583" s="516" t="n"/>
      <c r="B583" s="516" t="n"/>
      <c r="C583" s="516" t="n"/>
      <c r="D583" s="516" t="n"/>
      <c r="E583" s="516" t="n"/>
      <c r="F583" s="516" t="n"/>
      <c r="G583" s="516" t="n"/>
      <c r="H583" s="516" t="n"/>
    </row>
    <row r="584">
      <c r="A584" s="516" t="n"/>
      <c r="B584" s="516" t="n"/>
      <c r="C584" s="516" t="n"/>
      <c r="D584" s="516" t="n"/>
      <c r="E584" s="516" t="n"/>
      <c r="F584" s="516" t="n"/>
      <c r="G584" s="516" t="n"/>
      <c r="H584" s="516" t="n"/>
    </row>
    <row r="585">
      <c r="A585" s="516" t="n"/>
      <c r="B585" s="516" t="n"/>
      <c r="C585" s="516" t="n"/>
      <c r="D585" s="516" t="n"/>
      <c r="E585" s="516" t="n"/>
      <c r="F585" s="516" t="n"/>
      <c r="G585" s="516" t="n"/>
      <c r="H585" s="516" t="n"/>
    </row>
    <row r="586">
      <c r="A586" s="516" t="n"/>
      <c r="B586" s="516" t="n"/>
      <c r="C586" s="516" t="n"/>
      <c r="D586" s="516" t="n"/>
      <c r="E586" s="516" t="n"/>
      <c r="F586" s="516" t="n"/>
      <c r="G586" s="516" t="n"/>
      <c r="H586" s="516" t="n"/>
    </row>
    <row r="587">
      <c r="A587" s="516" t="n"/>
      <c r="B587" s="516" t="n"/>
      <c r="C587" s="516" t="n"/>
      <c r="D587" s="516" t="n"/>
      <c r="E587" s="516" t="n"/>
      <c r="F587" s="516" t="n"/>
      <c r="G587" s="516" t="n"/>
      <c r="H587" s="516" t="n"/>
    </row>
    <row r="588">
      <c r="A588" s="516" t="n"/>
      <c r="B588" s="516" t="n"/>
      <c r="C588" s="516" t="n"/>
      <c r="D588" s="516" t="n"/>
      <c r="E588" s="516" t="n"/>
      <c r="F588" s="516" t="n"/>
      <c r="G588" s="516" t="n"/>
      <c r="H588" s="516" t="n"/>
    </row>
    <row r="589">
      <c r="A589" s="516" t="n"/>
      <c r="B589" s="516" t="n"/>
      <c r="C589" s="516" t="n"/>
      <c r="D589" s="516" t="n"/>
      <c r="E589" s="516" t="n"/>
      <c r="F589" s="516" t="n"/>
      <c r="G589" s="516" t="n"/>
      <c r="H589" s="516" t="n"/>
    </row>
    <row r="590">
      <c r="A590" s="516" t="n"/>
      <c r="B590" s="516" t="n"/>
      <c r="C590" s="516" t="n"/>
      <c r="D590" s="516" t="n"/>
      <c r="E590" s="516" t="n"/>
      <c r="F590" s="516" t="n"/>
      <c r="G590" s="516" t="n"/>
      <c r="H590" s="516" t="n"/>
    </row>
    <row r="591">
      <c r="A591" s="516" t="n"/>
      <c r="B591" s="516" t="n"/>
      <c r="C591" s="516" t="n"/>
      <c r="D591" s="516" t="n"/>
      <c r="E591" s="516" t="n"/>
      <c r="F591" s="516" t="n"/>
      <c r="G591" s="516" t="n"/>
      <c r="H591" s="516" t="n"/>
    </row>
    <row r="592">
      <c r="A592" s="516" t="n"/>
      <c r="B592" s="516" t="n"/>
      <c r="C592" s="516" t="n"/>
      <c r="D592" s="516" t="n"/>
      <c r="E592" s="516" t="n"/>
      <c r="F592" s="516" t="n"/>
      <c r="G592" s="516" t="n"/>
      <c r="H592" s="516" t="n"/>
    </row>
    <row r="593">
      <c r="A593" s="516" t="n"/>
      <c r="B593" s="516" t="n"/>
      <c r="C593" s="516" t="n"/>
      <c r="D593" s="516" t="n"/>
      <c r="E593" s="516" t="n"/>
      <c r="F593" s="516" t="n"/>
      <c r="G593" s="516" t="n"/>
      <c r="H593" s="516" t="n"/>
    </row>
    <row r="594">
      <c r="A594" s="516" t="n"/>
      <c r="B594" s="516" t="n"/>
      <c r="C594" s="516" t="n"/>
      <c r="D594" s="516" t="n"/>
      <c r="E594" s="516" t="n"/>
      <c r="F594" s="516" t="n"/>
      <c r="G594" s="516" t="n"/>
      <c r="H594" s="516" t="n"/>
    </row>
    <row r="595">
      <c r="A595" s="516" t="n"/>
      <c r="B595" s="516" t="n"/>
      <c r="C595" s="516" t="n"/>
      <c r="D595" s="516" t="n"/>
      <c r="E595" s="516" t="n"/>
      <c r="F595" s="516" t="n"/>
      <c r="G595" s="516" t="n"/>
      <c r="H595" s="516" t="n"/>
    </row>
    <row r="596">
      <c r="A596" s="516" t="n"/>
      <c r="B596" s="516" t="n"/>
      <c r="C596" s="516" t="n"/>
      <c r="D596" s="516" t="n"/>
      <c r="E596" s="516" t="n"/>
      <c r="F596" s="516" t="n"/>
      <c r="G596" s="516" t="n"/>
      <c r="H596" s="516" t="n"/>
    </row>
    <row r="597">
      <c r="A597" s="516" t="n"/>
      <c r="B597" s="516" t="n"/>
      <c r="C597" s="516" t="n"/>
      <c r="D597" s="516" t="n"/>
      <c r="E597" s="516" t="n"/>
      <c r="F597" s="516" t="n"/>
      <c r="G597" s="516" t="n"/>
      <c r="H597" s="516" t="n"/>
    </row>
    <row r="598">
      <c r="A598" s="516" t="n"/>
      <c r="B598" s="516" t="n"/>
      <c r="C598" s="516" t="n"/>
      <c r="D598" s="516" t="n"/>
      <c r="E598" s="516" t="n"/>
      <c r="F598" s="516" t="n"/>
      <c r="G598" s="516" t="n"/>
      <c r="H598" s="516" t="n"/>
    </row>
    <row r="599">
      <c r="A599" s="516" t="n"/>
      <c r="B599" s="516" t="n"/>
      <c r="C599" s="516" t="n"/>
      <c r="D599" s="516" t="n"/>
      <c r="E599" s="516" t="n"/>
      <c r="F599" s="516" t="n"/>
      <c r="G599" s="516" t="n"/>
      <c r="H599" s="516" t="n"/>
    </row>
    <row r="600">
      <c r="A600" s="516" t="n"/>
      <c r="B600" s="516" t="n"/>
      <c r="C600" s="516" t="n"/>
      <c r="D600" s="516" t="n"/>
      <c r="E600" s="516" t="n"/>
      <c r="F600" s="516" t="n"/>
      <c r="G600" s="516" t="n"/>
      <c r="H600" s="516" t="n"/>
    </row>
    <row r="601">
      <c r="A601" s="516" t="n"/>
      <c r="B601" s="516" t="n"/>
      <c r="C601" s="516" t="n"/>
      <c r="D601" s="516" t="n"/>
      <c r="E601" s="516" t="n"/>
      <c r="F601" s="516" t="n"/>
      <c r="G601" s="516" t="n"/>
      <c r="H601" s="516" t="n"/>
    </row>
    <row r="602">
      <c r="A602" s="516" t="n"/>
      <c r="B602" s="516" t="n"/>
      <c r="C602" s="516" t="n"/>
      <c r="D602" s="516" t="n"/>
      <c r="E602" s="516" t="n"/>
      <c r="F602" s="516" t="n"/>
      <c r="G602" s="516" t="n"/>
      <c r="H602" s="516" t="n"/>
    </row>
    <row r="603">
      <c r="A603" s="516" t="n"/>
      <c r="B603" s="516" t="n"/>
      <c r="C603" s="516" t="n"/>
      <c r="D603" s="516" t="n"/>
      <c r="E603" s="516" t="n"/>
      <c r="F603" s="516" t="n"/>
      <c r="G603" s="516" t="n"/>
      <c r="H603" s="516" t="n"/>
    </row>
    <row r="604">
      <c r="A604" s="516" t="n"/>
      <c r="B604" s="516" t="n"/>
      <c r="C604" s="516" t="n"/>
      <c r="D604" s="516" t="n"/>
      <c r="E604" s="516" t="n"/>
      <c r="F604" s="516" t="n"/>
      <c r="G604" s="516" t="n"/>
      <c r="H604" s="516" t="n"/>
    </row>
    <row r="605">
      <c r="A605" s="516" t="n"/>
      <c r="B605" s="516" t="n"/>
      <c r="C605" s="516" t="n"/>
      <c r="D605" s="516" t="n"/>
      <c r="E605" s="516" t="n"/>
      <c r="F605" s="516" t="n"/>
      <c r="G605" s="516" t="n"/>
      <c r="H605" s="516" t="n"/>
    </row>
    <row r="606">
      <c r="A606" s="516" t="n"/>
      <c r="B606" s="516" t="n"/>
      <c r="C606" s="516" t="n"/>
      <c r="D606" s="516" t="n"/>
      <c r="E606" s="516" t="n"/>
      <c r="F606" s="516" t="n"/>
      <c r="G606" s="516" t="n"/>
      <c r="H606" s="516" t="n"/>
    </row>
    <row r="607">
      <c r="A607" s="516" t="n"/>
      <c r="B607" s="516" t="n"/>
      <c r="C607" s="516" t="n"/>
      <c r="D607" s="516" t="n"/>
      <c r="E607" s="516" t="n"/>
      <c r="F607" s="516" t="n"/>
      <c r="G607" s="516" t="n"/>
      <c r="H607" s="516" t="n"/>
    </row>
    <row r="608">
      <c r="A608" s="516" t="n"/>
      <c r="B608" s="516" t="n"/>
      <c r="C608" s="516" t="n"/>
      <c r="D608" s="516" t="n"/>
      <c r="E608" s="516" t="n"/>
      <c r="F608" s="516" t="n"/>
      <c r="G608" s="516" t="n"/>
      <c r="H608" s="516" t="n"/>
    </row>
    <row r="609">
      <c r="A609" s="516" t="n"/>
      <c r="B609" s="516" t="n"/>
      <c r="C609" s="516" t="n"/>
      <c r="D609" s="516" t="n"/>
      <c r="E609" s="516" t="n"/>
      <c r="F609" s="516" t="n"/>
      <c r="G609" s="516" t="n"/>
      <c r="H609" s="516" t="n"/>
    </row>
    <row r="610">
      <c r="A610" s="516" t="n"/>
      <c r="B610" s="516" t="n"/>
      <c r="C610" s="516" t="n"/>
      <c r="D610" s="516" t="n"/>
      <c r="E610" s="516" t="n"/>
      <c r="F610" s="516" t="n"/>
      <c r="G610" s="516" t="n"/>
      <c r="H610" s="516" t="n"/>
    </row>
    <row r="611">
      <c r="A611" s="516" t="n"/>
      <c r="B611" s="516" t="n"/>
      <c r="C611" s="516" t="n"/>
      <c r="D611" s="516" t="n"/>
      <c r="E611" s="516" t="n"/>
      <c r="F611" s="516" t="n"/>
      <c r="G611" s="516" t="n"/>
      <c r="H611" s="516" t="n"/>
    </row>
    <row r="612">
      <c r="A612" s="516" t="n"/>
      <c r="B612" s="516" t="n"/>
      <c r="C612" s="516" t="n"/>
      <c r="D612" s="516" t="n"/>
      <c r="E612" s="516" t="n"/>
      <c r="F612" s="516" t="n"/>
      <c r="G612" s="516" t="n"/>
      <c r="H612" s="516" t="n"/>
    </row>
    <row r="613">
      <c r="A613" s="516" t="n"/>
      <c r="B613" s="516" t="n"/>
      <c r="C613" s="516" t="n"/>
      <c r="D613" s="516" t="n"/>
      <c r="E613" s="516" t="n"/>
      <c r="F613" s="516" t="n"/>
      <c r="G613" s="516" t="n"/>
      <c r="H613" s="516" t="n"/>
    </row>
    <row r="614">
      <c r="A614" s="516" t="n"/>
      <c r="B614" s="516" t="n"/>
      <c r="C614" s="516" t="n"/>
      <c r="D614" s="516" t="n"/>
      <c r="E614" s="516" t="n"/>
      <c r="F614" s="516" t="n"/>
      <c r="G614" s="516" t="n"/>
      <c r="H614" s="516" t="n"/>
    </row>
    <row r="615">
      <c r="A615" s="516" t="n"/>
      <c r="B615" s="516" t="n"/>
      <c r="C615" s="516" t="n"/>
      <c r="D615" s="516" t="n"/>
      <c r="E615" s="516" t="n"/>
      <c r="F615" s="516" t="n"/>
      <c r="G615" s="516" t="n"/>
      <c r="H615" s="516" t="n"/>
    </row>
    <row r="616">
      <c r="A616" s="516" t="n"/>
      <c r="B616" s="516" t="n"/>
      <c r="C616" s="516" t="n"/>
      <c r="D616" s="516" t="n"/>
      <c r="E616" s="516" t="n"/>
      <c r="F616" s="516" t="n"/>
      <c r="G616" s="516" t="n"/>
      <c r="H616" s="516" t="n"/>
    </row>
    <row r="617">
      <c r="A617" s="516" t="n"/>
      <c r="B617" s="516" t="n"/>
      <c r="C617" s="516" t="n"/>
      <c r="D617" s="516" t="n"/>
      <c r="E617" s="516" t="n"/>
      <c r="F617" s="516" t="n"/>
      <c r="G617" s="516" t="n"/>
      <c r="H617" s="516" t="n"/>
    </row>
    <row r="618">
      <c r="A618" s="516" t="n"/>
      <c r="B618" s="516" t="n"/>
      <c r="C618" s="516" t="n"/>
      <c r="D618" s="516" t="n"/>
      <c r="E618" s="516" t="n"/>
      <c r="F618" s="516" t="n"/>
      <c r="G618" s="516" t="n"/>
      <c r="H618" s="516" t="n"/>
    </row>
    <row r="619">
      <c r="A619" s="516" t="n"/>
      <c r="B619" s="516" t="n"/>
      <c r="C619" s="516" t="n"/>
      <c r="D619" s="516" t="n"/>
      <c r="E619" s="516" t="n"/>
      <c r="F619" s="516" t="n"/>
      <c r="G619" s="516" t="n"/>
      <c r="H619" s="516" t="n"/>
    </row>
    <row r="620">
      <c r="A620" s="516" t="n"/>
      <c r="B620" s="516" t="n"/>
      <c r="C620" s="516" t="n"/>
      <c r="D620" s="516" t="n"/>
      <c r="E620" s="516" t="n"/>
      <c r="F620" s="516" t="n"/>
      <c r="G620" s="516" t="n"/>
      <c r="H620" s="516" t="n"/>
    </row>
    <row r="621">
      <c r="A621" s="516" t="n"/>
      <c r="B621" s="516" t="n"/>
      <c r="C621" s="516" t="n"/>
      <c r="D621" s="516" t="n"/>
      <c r="E621" s="516" t="n"/>
      <c r="F621" s="516" t="n"/>
      <c r="G621" s="516" t="n"/>
      <c r="H621" s="516" t="n"/>
    </row>
    <row r="622">
      <c r="A622" s="516" t="n"/>
      <c r="B622" s="516" t="n"/>
      <c r="C622" s="516" t="n"/>
      <c r="D622" s="516" t="n"/>
      <c r="E622" s="516" t="n"/>
      <c r="F622" s="516" t="n"/>
      <c r="G622" s="516" t="n"/>
      <c r="H622" s="516" t="n"/>
    </row>
    <row r="623">
      <c r="A623" s="516" t="n"/>
      <c r="B623" s="516" t="n"/>
      <c r="C623" s="516" t="n"/>
      <c r="D623" s="516" t="n"/>
      <c r="E623" s="516" t="n"/>
      <c r="F623" s="516" t="n"/>
      <c r="G623" s="516" t="n"/>
      <c r="H623" s="516" t="n"/>
    </row>
    <row r="624">
      <c r="A624" s="516" t="n"/>
      <c r="B624" s="516" t="n"/>
      <c r="C624" s="516" t="n"/>
      <c r="D624" s="516" t="n"/>
      <c r="E624" s="516" t="n"/>
      <c r="F624" s="516" t="n"/>
      <c r="G624" s="516" t="n"/>
      <c r="H624" s="516" t="n"/>
    </row>
    <row r="625">
      <c r="A625" s="516" t="n"/>
      <c r="B625" s="516" t="n"/>
      <c r="C625" s="516" t="n"/>
      <c r="D625" s="516" t="n"/>
      <c r="E625" s="516" t="n"/>
      <c r="F625" s="516" t="n"/>
      <c r="G625" s="516" t="n"/>
      <c r="H625" s="516" t="n"/>
    </row>
    <row r="626">
      <c r="A626" s="516" t="n"/>
      <c r="B626" s="516" t="n"/>
      <c r="C626" s="516" t="n"/>
      <c r="D626" s="516" t="n"/>
      <c r="E626" s="516" t="n"/>
      <c r="F626" s="516" t="n"/>
      <c r="G626" s="516" t="n"/>
      <c r="H626" s="516" t="n"/>
    </row>
    <row r="627">
      <c r="A627" s="516" t="n"/>
      <c r="B627" s="516" t="n"/>
      <c r="C627" s="516" t="n"/>
      <c r="D627" s="516" t="n"/>
      <c r="E627" s="516" t="n"/>
      <c r="F627" s="516" t="n"/>
      <c r="G627" s="516" t="n"/>
      <c r="H627" s="516" t="n"/>
    </row>
    <row r="628">
      <c r="A628" s="516" t="n"/>
      <c r="B628" s="516" t="n"/>
      <c r="C628" s="516" t="n"/>
      <c r="D628" s="516" t="n"/>
      <c r="E628" s="516" t="n"/>
      <c r="F628" s="516" t="n"/>
      <c r="G628" s="516" t="n"/>
      <c r="H628" s="516" t="n"/>
    </row>
    <row r="629">
      <c r="A629" s="516" t="n"/>
      <c r="B629" s="516" t="n"/>
      <c r="C629" s="516" t="n"/>
      <c r="D629" s="516" t="n"/>
      <c r="E629" s="516" t="n"/>
      <c r="F629" s="516" t="n"/>
      <c r="G629" s="516" t="n"/>
      <c r="H629" s="516" t="n"/>
    </row>
    <row r="630">
      <c r="A630" s="516" t="n"/>
      <c r="B630" s="516" t="n"/>
      <c r="C630" s="516" t="n"/>
      <c r="D630" s="516" t="n"/>
      <c r="E630" s="516" t="n"/>
      <c r="F630" s="516" t="n"/>
      <c r="G630" s="516" t="n"/>
      <c r="H630" s="516" t="n"/>
    </row>
    <row r="631">
      <c r="A631" s="516" t="n"/>
      <c r="B631" s="516" t="n"/>
      <c r="C631" s="516" t="n"/>
      <c r="D631" s="516" t="n"/>
      <c r="E631" s="516" t="n"/>
      <c r="F631" s="516" t="n"/>
      <c r="G631" s="516" t="n"/>
      <c r="H631" s="516" t="n"/>
    </row>
    <row r="632">
      <c r="A632" s="516" t="n"/>
      <c r="B632" s="516" t="n"/>
      <c r="C632" s="516" t="n"/>
      <c r="D632" s="516" t="n"/>
      <c r="E632" s="516" t="n"/>
      <c r="F632" s="516" t="n"/>
      <c r="G632" s="516" t="n"/>
      <c r="H632" s="516" t="n"/>
    </row>
    <row r="633">
      <c r="A633" s="516" t="n"/>
      <c r="B633" s="516" t="n"/>
      <c r="C633" s="516" t="n"/>
      <c r="D633" s="516" t="n"/>
      <c r="E633" s="516" t="n"/>
      <c r="F633" s="516" t="n"/>
      <c r="G633" s="516" t="n"/>
      <c r="H633" s="516" t="n"/>
    </row>
    <row r="634">
      <c r="A634" s="516" t="n"/>
      <c r="B634" s="516" t="n"/>
      <c r="C634" s="516" t="n"/>
      <c r="D634" s="516" t="n"/>
      <c r="E634" s="516" t="n"/>
      <c r="F634" s="516" t="n"/>
      <c r="G634" s="516" t="n"/>
      <c r="H634" s="516" t="n"/>
    </row>
    <row r="635">
      <c r="A635" s="516" t="n"/>
      <c r="B635" s="516" t="n"/>
      <c r="C635" s="516" t="n"/>
      <c r="D635" s="516" t="n"/>
      <c r="E635" s="516" t="n"/>
      <c r="F635" s="516" t="n"/>
      <c r="G635" s="516" t="n"/>
      <c r="H635" s="516" t="n"/>
    </row>
    <row r="636">
      <c r="A636" s="516" t="n"/>
      <c r="B636" s="516" t="n"/>
      <c r="C636" s="516" t="n"/>
      <c r="D636" s="516" t="n"/>
      <c r="E636" s="516" t="n"/>
      <c r="F636" s="516" t="n"/>
      <c r="G636" s="516" t="n"/>
      <c r="H636" s="516" t="n"/>
    </row>
    <row r="637">
      <c r="A637" s="516" t="n"/>
      <c r="B637" s="516" t="n"/>
      <c r="C637" s="516" t="n"/>
      <c r="D637" s="516" t="n"/>
      <c r="E637" s="516" t="n"/>
      <c r="F637" s="516" t="n"/>
      <c r="G637" s="516" t="n"/>
      <c r="H637" s="516" t="n"/>
    </row>
    <row r="638">
      <c r="A638" s="516" t="n"/>
      <c r="B638" s="516" t="n"/>
      <c r="C638" s="516" t="n"/>
      <c r="D638" s="516" t="n"/>
      <c r="E638" s="516" t="n"/>
      <c r="F638" s="516" t="n"/>
      <c r="G638" s="516" t="n"/>
      <c r="H638" s="516" t="n"/>
    </row>
    <row r="639">
      <c r="A639" s="516" t="n"/>
      <c r="B639" s="516" t="n"/>
      <c r="C639" s="516" t="n"/>
      <c r="D639" s="516" t="n"/>
      <c r="E639" s="516" t="n"/>
      <c r="F639" s="516" t="n"/>
      <c r="G639" s="516" t="n"/>
      <c r="H639" s="516" t="n"/>
    </row>
    <row r="640">
      <c r="A640" s="516" t="n"/>
      <c r="B640" s="516" t="n"/>
      <c r="C640" s="516" t="n"/>
      <c r="D640" s="516" t="n"/>
      <c r="E640" s="516" t="n"/>
      <c r="F640" s="516" t="n"/>
      <c r="G640" s="516" t="n"/>
      <c r="H640" s="516" t="n"/>
    </row>
    <row r="641">
      <c r="A641" s="516" t="n"/>
      <c r="B641" s="516" t="n"/>
      <c r="C641" s="516" t="n"/>
      <c r="D641" s="516" t="n"/>
      <c r="E641" s="516" t="n"/>
      <c r="F641" s="516" t="n"/>
      <c r="G641" s="516" t="n"/>
      <c r="H641" s="516" t="n"/>
    </row>
    <row r="642">
      <c r="A642" s="516" t="n"/>
      <c r="B642" s="516" t="n"/>
      <c r="C642" s="516" t="n"/>
      <c r="D642" s="516" t="n"/>
      <c r="E642" s="516" t="n"/>
      <c r="F642" s="516" t="n"/>
      <c r="G642" s="516" t="n"/>
      <c r="H642" s="516" t="n"/>
    </row>
    <row r="643">
      <c r="A643" s="516" t="n"/>
      <c r="B643" s="516" t="n"/>
      <c r="C643" s="516" t="n"/>
      <c r="D643" s="516" t="n"/>
      <c r="E643" s="516" t="n"/>
      <c r="F643" s="516" t="n"/>
      <c r="G643" s="516" t="n"/>
      <c r="H643" s="516" t="n"/>
    </row>
    <row r="644">
      <c r="A644" s="516" t="n"/>
      <c r="B644" s="516" t="n"/>
      <c r="C644" s="516" t="n"/>
      <c r="D644" s="516" t="n"/>
      <c r="E644" s="516" t="n"/>
      <c r="F644" s="516" t="n"/>
      <c r="G644" s="516" t="n"/>
      <c r="H644" s="516" t="n"/>
    </row>
    <row r="645">
      <c r="A645" s="516" t="n"/>
      <c r="B645" s="516" t="n"/>
      <c r="C645" s="516" t="n"/>
      <c r="D645" s="516" t="n"/>
      <c r="E645" s="516" t="n"/>
      <c r="F645" s="516" t="n"/>
      <c r="G645" s="516" t="n"/>
      <c r="H645" s="516" t="n"/>
    </row>
    <row r="646">
      <c r="A646" s="516" t="n"/>
      <c r="B646" s="516" t="n"/>
      <c r="C646" s="516" t="n"/>
      <c r="D646" s="516" t="n"/>
      <c r="E646" s="516" t="n"/>
      <c r="F646" s="516" t="n"/>
      <c r="G646" s="516" t="n"/>
      <c r="H646" s="516" t="n"/>
    </row>
    <row r="647">
      <c r="A647" s="516" t="n"/>
      <c r="B647" s="516" t="n"/>
      <c r="C647" s="516" t="n"/>
      <c r="D647" s="516" t="n"/>
      <c r="E647" s="516" t="n"/>
      <c r="F647" s="516" t="n"/>
      <c r="G647" s="516" t="n"/>
      <c r="H647" s="516" t="n"/>
    </row>
    <row r="648">
      <c r="A648" s="516" t="n"/>
      <c r="B648" s="516" t="n"/>
      <c r="C648" s="516" t="n"/>
      <c r="D648" s="516" t="n"/>
      <c r="E648" s="516" t="n"/>
      <c r="F648" s="516" t="n"/>
      <c r="G648" s="516" t="n"/>
      <c r="H648" s="516" t="n"/>
    </row>
    <row r="649">
      <c r="A649" s="516" t="n"/>
      <c r="B649" s="516" t="n"/>
      <c r="C649" s="516" t="n"/>
      <c r="D649" s="516" t="n"/>
      <c r="E649" s="516" t="n"/>
      <c r="F649" s="516" t="n"/>
      <c r="G649" s="516" t="n"/>
      <c r="H649" s="516" t="n"/>
    </row>
    <row r="650">
      <c r="A650" s="516" t="n"/>
      <c r="B650" s="516" t="n"/>
      <c r="C650" s="516" t="n"/>
      <c r="D650" s="516" t="n"/>
      <c r="E650" s="516" t="n"/>
      <c r="F650" s="516" t="n"/>
      <c r="G650" s="516" t="n"/>
      <c r="H650" s="516" t="n"/>
    </row>
    <row r="651">
      <c r="A651" s="516" t="n"/>
      <c r="B651" s="516" t="n"/>
      <c r="C651" s="516" t="n"/>
      <c r="D651" s="516" t="n"/>
      <c r="E651" s="516" t="n"/>
      <c r="F651" s="516" t="n"/>
      <c r="G651" s="516" t="n"/>
      <c r="H651" s="516" t="n"/>
    </row>
    <row r="652">
      <c r="A652" s="516" t="n"/>
      <c r="B652" s="516" t="n"/>
      <c r="C652" s="516" t="n"/>
      <c r="D652" s="516" t="n"/>
      <c r="E652" s="516" t="n"/>
      <c r="F652" s="516" t="n"/>
      <c r="G652" s="516" t="n"/>
      <c r="H652" s="516" t="n"/>
    </row>
    <row r="653">
      <c r="A653" s="516" t="n"/>
      <c r="B653" s="516" t="n"/>
      <c r="C653" s="516" t="n"/>
      <c r="D653" s="516" t="n"/>
      <c r="E653" s="516" t="n"/>
      <c r="F653" s="516" t="n"/>
      <c r="G653" s="516" t="n"/>
      <c r="H653" s="516" t="n"/>
    </row>
    <row r="654">
      <c r="A654" s="516" t="n"/>
      <c r="B654" s="516" t="n"/>
      <c r="C654" s="516" t="n"/>
      <c r="D654" s="516" t="n"/>
      <c r="E654" s="516" t="n"/>
      <c r="F654" s="516" t="n"/>
      <c r="G654" s="516" t="n"/>
      <c r="H654" s="516" t="n"/>
    </row>
    <row r="655">
      <c r="A655" s="516" t="n"/>
      <c r="B655" s="516" t="n"/>
      <c r="C655" s="516" t="n"/>
      <c r="D655" s="516" t="n"/>
      <c r="E655" s="516" t="n"/>
      <c r="F655" s="516" t="n"/>
      <c r="G655" s="516" t="n"/>
      <c r="H655" s="516" t="n"/>
    </row>
    <row r="656">
      <c r="A656" s="516" t="n"/>
      <c r="B656" s="516" t="n"/>
      <c r="C656" s="516" t="n"/>
      <c r="D656" s="516" t="n"/>
      <c r="E656" s="516" t="n"/>
      <c r="F656" s="516" t="n"/>
      <c r="G656" s="516" t="n"/>
      <c r="H656" s="516" t="n"/>
    </row>
    <row r="657">
      <c r="A657" s="516" t="n"/>
      <c r="B657" s="516" t="n"/>
      <c r="C657" s="516" t="n"/>
      <c r="D657" s="516" t="n"/>
      <c r="E657" s="516" t="n"/>
      <c r="F657" s="516" t="n"/>
      <c r="G657" s="516" t="n"/>
      <c r="H657" s="516" t="n"/>
    </row>
    <row r="658">
      <c r="A658" s="516" t="n"/>
      <c r="B658" s="516" t="n"/>
      <c r="C658" s="516" t="n"/>
      <c r="D658" s="516" t="n"/>
      <c r="E658" s="516" t="n"/>
      <c r="F658" s="516" t="n"/>
      <c r="G658" s="516" t="n"/>
      <c r="H658" s="516" t="n"/>
    </row>
    <row r="659">
      <c r="A659" s="516" t="n"/>
      <c r="B659" s="516" t="n"/>
      <c r="C659" s="516" t="n"/>
      <c r="D659" s="516" t="n"/>
      <c r="E659" s="516" t="n"/>
      <c r="F659" s="516" t="n"/>
      <c r="G659" s="516" t="n"/>
      <c r="H659" s="516" t="n"/>
    </row>
    <row r="660">
      <c r="A660" s="516" t="n"/>
      <c r="B660" s="516" t="n"/>
      <c r="C660" s="516" t="n"/>
      <c r="D660" s="516" t="n"/>
      <c r="E660" s="516" t="n"/>
      <c r="F660" s="516" t="n"/>
      <c r="G660" s="516" t="n"/>
      <c r="H660" s="516" t="n"/>
    </row>
    <row r="661">
      <c r="A661" s="516" t="n"/>
      <c r="B661" s="516" t="n"/>
      <c r="C661" s="516" t="n"/>
      <c r="D661" s="516" t="n"/>
      <c r="E661" s="516" t="n"/>
      <c r="F661" s="516" t="n"/>
      <c r="G661" s="516" t="n"/>
      <c r="H661" s="516" t="n"/>
    </row>
    <row r="662">
      <c r="A662" s="516" t="n"/>
      <c r="B662" s="516" t="n"/>
      <c r="C662" s="516" t="n"/>
      <c r="D662" s="516" t="n"/>
      <c r="E662" s="516" t="n"/>
      <c r="F662" s="516" t="n"/>
      <c r="G662" s="516" t="n"/>
      <c r="H662" s="516" t="n"/>
    </row>
    <row r="663">
      <c r="A663" s="516" t="n"/>
      <c r="B663" s="516" t="n"/>
      <c r="C663" s="516" t="n"/>
      <c r="D663" s="516" t="n"/>
      <c r="E663" s="516" t="n"/>
      <c r="F663" s="516" t="n"/>
      <c r="G663" s="516" t="n"/>
      <c r="H663" s="516" t="n"/>
    </row>
    <row r="664">
      <c r="A664" s="516" t="n"/>
      <c r="B664" s="516" t="n"/>
      <c r="C664" s="516" t="n"/>
      <c r="D664" s="516" t="n"/>
      <c r="E664" s="516" t="n"/>
      <c r="F664" s="516" t="n"/>
      <c r="G664" s="516" t="n"/>
      <c r="H664" s="516" t="n"/>
    </row>
    <row r="665">
      <c r="A665" s="516" t="n"/>
      <c r="B665" s="516" t="n"/>
      <c r="C665" s="516" t="n"/>
      <c r="D665" s="516" t="n"/>
      <c r="E665" s="516" t="n"/>
      <c r="F665" s="516" t="n"/>
      <c r="G665" s="516" t="n"/>
      <c r="H665" s="516" t="n"/>
    </row>
    <row r="666">
      <c r="A666" s="516" t="n"/>
      <c r="B666" s="516" t="n"/>
      <c r="C666" s="516" t="n"/>
      <c r="D666" s="516" t="n"/>
      <c r="E666" s="516" t="n"/>
      <c r="F666" s="516" t="n"/>
      <c r="G666" s="516" t="n"/>
      <c r="H666" s="516" t="n"/>
    </row>
    <row r="667">
      <c r="A667" s="516" t="n"/>
      <c r="B667" s="516" t="n"/>
      <c r="C667" s="516" t="n"/>
      <c r="D667" s="516" t="n"/>
      <c r="E667" s="516" t="n"/>
      <c r="F667" s="516" t="n"/>
      <c r="G667" s="516" t="n"/>
      <c r="H667" s="516" t="n"/>
    </row>
    <row r="668">
      <c r="A668" s="516" t="n"/>
      <c r="B668" s="516" t="n"/>
      <c r="C668" s="516" t="n"/>
      <c r="D668" s="516" t="n"/>
      <c r="E668" s="516" t="n"/>
      <c r="F668" s="516" t="n"/>
      <c r="G668" s="516" t="n"/>
      <c r="H668" s="516" t="n"/>
    </row>
    <row r="669">
      <c r="A669" s="516" t="n"/>
      <c r="B669" s="516" t="n"/>
      <c r="C669" s="516" t="n"/>
      <c r="D669" s="516" t="n"/>
      <c r="E669" s="516" t="n"/>
      <c r="F669" s="516" t="n"/>
      <c r="G669" s="516" t="n"/>
      <c r="H669" s="516" t="n"/>
    </row>
    <row r="670">
      <c r="A670" s="516" t="n"/>
      <c r="B670" s="516" t="n"/>
      <c r="C670" s="516" t="n"/>
      <c r="D670" s="516" t="n"/>
      <c r="E670" s="516" t="n"/>
      <c r="F670" s="516" t="n"/>
      <c r="G670" s="516" t="n"/>
      <c r="H670" s="516" t="n"/>
    </row>
    <row r="671">
      <c r="A671" s="516" t="n"/>
      <c r="B671" s="516" t="n"/>
      <c r="C671" s="516" t="n"/>
      <c r="D671" s="516" t="n"/>
      <c r="E671" s="516" t="n"/>
      <c r="F671" s="516" t="n"/>
      <c r="G671" s="516" t="n"/>
      <c r="H671" s="516" t="n"/>
    </row>
    <row r="672">
      <c r="A672" s="516" t="n"/>
      <c r="B672" s="516" t="n"/>
      <c r="C672" s="516" t="n"/>
      <c r="D672" s="516" t="n"/>
      <c r="E672" s="516" t="n"/>
      <c r="F672" s="516" t="n"/>
      <c r="G672" s="516" t="n"/>
      <c r="H672" s="516" t="n"/>
    </row>
    <row r="673">
      <c r="A673" s="516" t="n"/>
      <c r="B673" s="516" t="n"/>
      <c r="C673" s="516" t="n"/>
      <c r="D673" s="516" t="n"/>
      <c r="E673" s="516" t="n"/>
      <c r="F673" s="516" t="n"/>
      <c r="G673" s="516" t="n"/>
      <c r="H673" s="516" t="n"/>
    </row>
    <row r="674">
      <c r="A674" s="516" t="n"/>
      <c r="B674" s="516" t="n"/>
      <c r="C674" s="516" t="n"/>
      <c r="D674" s="516" t="n"/>
      <c r="E674" s="516" t="n"/>
      <c r="F674" s="516" t="n"/>
      <c r="G674" s="516" t="n"/>
      <c r="H674" s="516" t="n"/>
    </row>
    <row r="675">
      <c r="A675" s="516" t="n"/>
      <c r="B675" s="516" t="n"/>
      <c r="C675" s="516" t="n"/>
      <c r="D675" s="516" t="n"/>
      <c r="E675" s="516" t="n"/>
      <c r="F675" s="516" t="n"/>
      <c r="G675" s="516" t="n"/>
      <c r="H675" s="516" t="n"/>
    </row>
    <row r="676">
      <c r="A676" s="516" t="n"/>
      <c r="B676" s="516" t="n"/>
      <c r="C676" s="516" t="n"/>
      <c r="D676" s="516" t="n"/>
      <c r="E676" s="516" t="n"/>
      <c r="F676" s="516" t="n"/>
      <c r="G676" s="516" t="n"/>
      <c r="H676" s="516" t="n"/>
    </row>
    <row r="677">
      <c r="A677" s="516" t="n"/>
      <c r="B677" s="516" t="n"/>
      <c r="C677" s="516" t="n"/>
      <c r="D677" s="516" t="n"/>
      <c r="E677" s="516" t="n"/>
      <c r="F677" s="516" t="n"/>
      <c r="G677" s="516" t="n"/>
      <c r="H677" s="516" t="n"/>
    </row>
    <row r="678">
      <c r="A678" s="516" t="n"/>
      <c r="B678" s="516" t="n"/>
      <c r="C678" s="516" t="n"/>
      <c r="D678" s="516" t="n"/>
      <c r="E678" s="516" t="n"/>
      <c r="F678" s="516" t="n"/>
      <c r="G678" s="516" t="n"/>
      <c r="H678" s="516" t="n"/>
    </row>
    <row r="679">
      <c r="A679" s="516" t="n"/>
      <c r="B679" s="516" t="n"/>
      <c r="C679" s="516" t="n"/>
      <c r="D679" s="516" t="n"/>
      <c r="E679" s="516" t="n"/>
      <c r="F679" s="516" t="n"/>
      <c r="G679" s="516" t="n"/>
      <c r="H679" s="516" t="n"/>
    </row>
    <row r="680">
      <c r="A680" s="516" t="n"/>
      <c r="B680" s="516" t="n"/>
      <c r="C680" s="516" t="n"/>
      <c r="D680" s="516" t="n"/>
      <c r="E680" s="516" t="n"/>
      <c r="F680" s="516" t="n"/>
      <c r="G680" s="516" t="n"/>
      <c r="H680" s="516" t="n"/>
    </row>
    <row r="681">
      <c r="A681" s="516" t="n"/>
      <c r="B681" s="516" t="n"/>
      <c r="C681" s="516" t="n"/>
      <c r="D681" s="516" t="n"/>
      <c r="E681" s="516" t="n"/>
      <c r="F681" s="516" t="n"/>
      <c r="G681" s="516" t="n"/>
      <c r="H681" s="516" t="n"/>
    </row>
    <row r="682">
      <c r="A682" s="516" t="n"/>
      <c r="B682" s="516" t="n"/>
      <c r="C682" s="516" t="n"/>
      <c r="D682" s="516" t="n"/>
      <c r="E682" s="516" t="n"/>
      <c r="F682" s="516" t="n"/>
      <c r="G682" s="516" t="n"/>
      <c r="H682" s="516" t="n"/>
    </row>
    <row r="683">
      <c r="A683" s="516" t="n"/>
      <c r="B683" s="516" t="n"/>
      <c r="C683" s="516" t="n"/>
      <c r="D683" s="516" t="n"/>
      <c r="E683" s="516" t="n"/>
      <c r="F683" s="516" t="n"/>
      <c r="G683" s="516" t="n"/>
      <c r="H683" s="516" t="n"/>
    </row>
    <row r="684">
      <c r="A684" s="516" t="n"/>
      <c r="B684" s="516" t="n"/>
      <c r="C684" s="516" t="n"/>
      <c r="D684" s="516" t="n"/>
      <c r="E684" s="516" t="n"/>
      <c r="F684" s="516" t="n"/>
      <c r="G684" s="516" t="n"/>
      <c r="H684" s="516" t="n"/>
    </row>
    <row r="685">
      <c r="A685" s="516" t="n"/>
      <c r="B685" s="516" t="n"/>
      <c r="C685" s="516" t="n"/>
      <c r="D685" s="516" t="n"/>
      <c r="E685" s="516" t="n"/>
      <c r="F685" s="516" t="n"/>
      <c r="G685" s="516" t="n"/>
      <c r="H685" s="516" t="n"/>
    </row>
    <row r="686">
      <c r="A686" s="516" t="n"/>
      <c r="B686" s="516" t="n"/>
      <c r="C686" s="516" t="n"/>
      <c r="D686" s="516" t="n"/>
      <c r="E686" s="516" t="n"/>
      <c r="F686" s="516" t="n"/>
      <c r="G686" s="516" t="n"/>
      <c r="H686" s="516" t="n"/>
    </row>
    <row r="687">
      <c r="A687" s="516" t="n"/>
      <c r="B687" s="516" t="n"/>
      <c r="C687" s="516" t="n"/>
      <c r="D687" s="516" t="n"/>
      <c r="E687" s="516" t="n"/>
      <c r="F687" s="516" t="n"/>
      <c r="G687" s="516" t="n"/>
      <c r="H687" s="516" t="n"/>
    </row>
    <row r="688">
      <c r="A688" s="516" t="n"/>
      <c r="B688" s="516" t="n"/>
      <c r="C688" s="516" t="n"/>
      <c r="D688" s="516" t="n"/>
      <c r="E688" s="516" t="n"/>
      <c r="F688" s="516" t="n"/>
      <c r="G688" s="516" t="n"/>
      <c r="H688" s="516" t="n"/>
    </row>
    <row r="689">
      <c r="A689" s="516" t="n"/>
      <c r="B689" s="516" t="n"/>
      <c r="C689" s="516" t="n"/>
      <c r="D689" s="516" t="n"/>
      <c r="E689" s="516" t="n"/>
      <c r="F689" s="516" t="n"/>
      <c r="G689" s="516" t="n"/>
      <c r="H689" s="516" t="n"/>
    </row>
    <row r="690">
      <c r="A690" s="516" t="n"/>
      <c r="B690" s="516" t="n"/>
      <c r="C690" s="516" t="n"/>
      <c r="D690" s="516" t="n"/>
      <c r="E690" s="516" t="n"/>
      <c r="F690" s="516" t="n"/>
      <c r="G690" s="516" t="n"/>
      <c r="H690" s="516" t="n"/>
    </row>
    <row r="691">
      <c r="A691" s="516" t="n"/>
      <c r="B691" s="516" t="n"/>
      <c r="C691" s="516" t="n"/>
      <c r="D691" s="516" t="n"/>
      <c r="E691" s="516" t="n"/>
      <c r="F691" s="516" t="n"/>
      <c r="G691" s="516" t="n"/>
      <c r="H691" s="516" t="n"/>
    </row>
    <row r="692">
      <c r="A692" s="516" t="n"/>
      <c r="B692" s="516" t="n"/>
      <c r="C692" s="516" t="n"/>
      <c r="D692" s="516" t="n"/>
      <c r="E692" s="516" t="n"/>
      <c r="F692" s="516" t="n"/>
      <c r="G692" s="516" t="n"/>
      <c r="H692" s="516" t="n"/>
    </row>
    <row r="693">
      <c r="A693" s="516" t="n"/>
      <c r="B693" s="516" t="n"/>
      <c r="C693" s="516" t="n"/>
      <c r="D693" s="516" t="n"/>
      <c r="E693" s="516" t="n"/>
      <c r="F693" s="516" t="n"/>
      <c r="G693" s="516" t="n"/>
      <c r="H693" s="516" t="n"/>
    </row>
    <row r="694">
      <c r="A694" s="516" t="n"/>
      <c r="B694" s="516" t="n"/>
      <c r="C694" s="516" t="n"/>
      <c r="D694" s="516" t="n"/>
      <c r="E694" s="516" t="n"/>
      <c r="F694" s="516" t="n"/>
      <c r="G694" s="516" t="n"/>
      <c r="H694" s="516" t="n"/>
    </row>
    <row r="695">
      <c r="A695" s="516" t="n"/>
      <c r="B695" s="516" t="n"/>
      <c r="C695" s="516" t="n"/>
      <c r="D695" s="516" t="n"/>
      <c r="E695" s="516" t="n"/>
      <c r="F695" s="516" t="n"/>
      <c r="G695" s="516" t="n"/>
      <c r="H695" s="516" t="n"/>
    </row>
    <row r="696">
      <c r="A696" s="516" t="n"/>
      <c r="B696" s="516" t="n"/>
      <c r="C696" s="516" t="n"/>
      <c r="D696" s="516" t="n"/>
      <c r="E696" s="516" t="n"/>
      <c r="F696" s="516" t="n"/>
      <c r="G696" s="516" t="n"/>
      <c r="H696" s="516" t="n"/>
    </row>
    <row r="697">
      <c r="A697" s="516" t="n"/>
      <c r="B697" s="516" t="n"/>
      <c r="C697" s="516" t="n"/>
      <c r="D697" s="516" t="n"/>
      <c r="E697" s="516" t="n"/>
      <c r="F697" s="516" t="n"/>
      <c r="G697" s="516" t="n"/>
      <c r="H697" s="516" t="n"/>
    </row>
    <row r="698">
      <c r="A698" s="516" t="n"/>
      <c r="B698" s="516" t="n"/>
      <c r="C698" s="516" t="n"/>
      <c r="D698" s="516" t="n"/>
      <c r="E698" s="516" t="n"/>
      <c r="F698" s="516" t="n"/>
      <c r="G698" s="516" t="n"/>
      <c r="H698" s="516" t="n"/>
    </row>
    <row r="699">
      <c r="A699" s="516" t="n"/>
      <c r="B699" s="516" t="n"/>
      <c r="C699" s="516" t="n"/>
      <c r="D699" s="516" t="n"/>
      <c r="E699" s="516" t="n"/>
      <c r="F699" s="516" t="n"/>
      <c r="G699" s="516" t="n"/>
      <c r="H699" s="516" t="n"/>
    </row>
    <row r="700">
      <c r="A700" s="516" t="n"/>
      <c r="B700" s="516" t="n"/>
      <c r="C700" s="516" t="n"/>
      <c r="D700" s="516" t="n"/>
      <c r="E700" s="516" t="n"/>
      <c r="F700" s="516" t="n"/>
      <c r="G700" s="516" t="n"/>
      <c r="H700" s="516" t="n"/>
    </row>
    <row r="701">
      <c r="A701" s="516" t="n"/>
      <c r="B701" s="516" t="n"/>
      <c r="C701" s="516" t="n"/>
      <c r="D701" s="516" t="n"/>
      <c r="E701" s="516" t="n"/>
      <c r="F701" s="516" t="n"/>
      <c r="G701" s="516" t="n"/>
      <c r="H701" s="516" t="n"/>
    </row>
    <row r="702">
      <c r="A702" s="516" t="n"/>
      <c r="B702" s="516" t="n"/>
      <c r="C702" s="516" t="n"/>
      <c r="D702" s="516" t="n"/>
      <c r="E702" s="516" t="n"/>
      <c r="F702" s="516" t="n"/>
      <c r="G702" s="516" t="n"/>
      <c r="H702" s="516" t="n"/>
    </row>
    <row r="703">
      <c r="A703" s="516" t="n"/>
      <c r="B703" s="516" t="n"/>
      <c r="C703" s="516" t="n"/>
      <c r="D703" s="516" t="n"/>
      <c r="E703" s="516" t="n"/>
      <c r="F703" s="516" t="n"/>
      <c r="G703" s="516" t="n"/>
      <c r="H703" s="516" t="n"/>
    </row>
    <row r="704">
      <c r="A704" s="516" t="n"/>
      <c r="B704" s="516" t="n"/>
      <c r="C704" s="516" t="n"/>
      <c r="D704" s="516" t="n"/>
      <c r="E704" s="516" t="n"/>
      <c r="F704" s="516" t="n"/>
      <c r="G704" s="516" t="n"/>
      <c r="H704" s="516" t="n"/>
    </row>
    <row r="705">
      <c r="A705" s="516" t="n"/>
      <c r="B705" s="516" t="n"/>
      <c r="C705" s="516" t="n"/>
      <c r="D705" s="516" t="n"/>
      <c r="E705" s="516" t="n"/>
      <c r="F705" s="516" t="n"/>
      <c r="G705" s="516" t="n"/>
      <c r="H705" s="516" t="n"/>
    </row>
    <row r="706">
      <c r="A706" s="516" t="n"/>
      <c r="B706" s="516" t="n"/>
      <c r="C706" s="516" t="n"/>
      <c r="D706" s="516" t="n"/>
      <c r="E706" s="516" t="n"/>
      <c r="F706" s="516" t="n"/>
      <c r="G706" s="516" t="n"/>
      <c r="H706" s="516" t="n"/>
    </row>
    <row r="707">
      <c r="A707" s="516" t="n"/>
      <c r="B707" s="516" t="n"/>
      <c r="C707" s="516" t="n"/>
      <c r="D707" s="516" t="n"/>
      <c r="E707" s="516" t="n"/>
      <c r="F707" s="516" t="n"/>
      <c r="G707" s="516" t="n"/>
      <c r="H707" s="516" t="n"/>
    </row>
    <row r="708">
      <c r="A708" s="516" t="n"/>
      <c r="B708" s="516" t="n"/>
      <c r="C708" s="516" t="n"/>
      <c r="D708" s="516" t="n"/>
      <c r="E708" s="516" t="n"/>
      <c r="F708" s="516" t="n"/>
      <c r="G708" s="516" t="n"/>
      <c r="H708" s="516" t="n"/>
    </row>
    <row r="709">
      <c r="A709" s="516" t="n"/>
      <c r="B709" s="516" t="n"/>
      <c r="C709" s="516" t="n"/>
      <c r="D709" s="516" t="n"/>
      <c r="E709" s="516" t="n"/>
      <c r="F709" s="516" t="n"/>
      <c r="G709" s="516" t="n"/>
      <c r="H709" s="516" t="n"/>
    </row>
    <row r="710">
      <c r="A710" s="516" t="n"/>
      <c r="B710" s="516" t="n"/>
      <c r="C710" s="516" t="n"/>
      <c r="D710" s="516" t="n"/>
      <c r="E710" s="516" t="n"/>
      <c r="F710" s="516" t="n"/>
      <c r="G710" s="516" t="n"/>
      <c r="H710" s="516" t="n"/>
    </row>
    <row r="711">
      <c r="A711" s="516" t="n"/>
      <c r="B711" s="516" t="n"/>
      <c r="C711" s="516" t="n"/>
      <c r="D711" s="516" t="n"/>
      <c r="E711" s="516" t="n"/>
      <c r="F711" s="516" t="n"/>
      <c r="G711" s="516" t="n"/>
      <c r="H711" s="516" t="n"/>
    </row>
    <row r="712">
      <c r="A712" s="516" t="n"/>
      <c r="B712" s="516" t="n"/>
      <c r="C712" s="516" t="n"/>
      <c r="D712" s="516" t="n"/>
      <c r="E712" s="516" t="n"/>
      <c r="F712" s="516" t="n"/>
      <c r="G712" s="516" t="n"/>
      <c r="H712" s="516" t="n"/>
    </row>
    <row r="713">
      <c r="A713" s="516" t="n"/>
      <c r="B713" s="516" t="n"/>
      <c r="C713" s="516" t="n"/>
      <c r="D713" s="516" t="n"/>
      <c r="E713" s="516" t="n"/>
      <c r="F713" s="516" t="n"/>
      <c r="G713" s="516" t="n"/>
      <c r="H713" s="516" t="n"/>
    </row>
    <row r="714">
      <c r="A714" s="516" t="n"/>
      <c r="B714" s="516" t="n"/>
      <c r="C714" s="516" t="n"/>
      <c r="D714" s="516" t="n"/>
      <c r="E714" s="516" t="n"/>
      <c r="F714" s="516" t="n"/>
      <c r="G714" s="516" t="n"/>
      <c r="H714" s="516" t="n"/>
    </row>
    <row r="715">
      <c r="A715" s="516" t="n"/>
      <c r="B715" s="516" t="n"/>
      <c r="C715" s="516" t="n"/>
      <c r="D715" s="516" t="n"/>
      <c r="E715" s="516" t="n"/>
      <c r="F715" s="516" t="n"/>
      <c r="G715" s="516" t="n"/>
      <c r="H715" s="516" t="n"/>
    </row>
    <row r="716">
      <c r="A716" s="516" t="n"/>
      <c r="B716" s="516" t="n"/>
      <c r="C716" s="516" t="n"/>
      <c r="D716" s="516" t="n"/>
      <c r="E716" s="516" t="n"/>
      <c r="F716" s="516" t="n"/>
      <c r="G716" s="516" t="n"/>
      <c r="H716" s="516" t="n"/>
    </row>
    <row r="717">
      <c r="A717" s="516" t="n"/>
      <c r="B717" s="516" t="n"/>
      <c r="C717" s="516" t="n"/>
      <c r="D717" s="516" t="n"/>
      <c r="E717" s="516" t="n"/>
      <c r="F717" s="516" t="n"/>
      <c r="G717" s="516" t="n"/>
      <c r="H717" s="516" t="n"/>
    </row>
    <row r="718">
      <c r="A718" s="516" t="n"/>
      <c r="B718" s="516" t="n"/>
      <c r="C718" s="516" t="n"/>
      <c r="D718" s="516" t="n"/>
      <c r="E718" s="516" t="n"/>
      <c r="F718" s="516" t="n"/>
      <c r="G718" s="516" t="n"/>
      <c r="H718" s="516" t="n"/>
    </row>
    <row r="719">
      <c r="A719" s="516" t="n"/>
      <c r="B719" s="516" t="n"/>
      <c r="C719" s="516" t="n"/>
      <c r="D719" s="516" t="n"/>
      <c r="E719" s="516" t="n"/>
      <c r="F719" s="516" t="n"/>
      <c r="G719" s="516" t="n"/>
      <c r="H719" s="516" t="n"/>
    </row>
    <row r="720">
      <c r="A720" s="516" t="n"/>
      <c r="B720" s="516" t="n"/>
      <c r="C720" s="516" t="n"/>
      <c r="D720" s="516" t="n"/>
      <c r="E720" s="516" t="n"/>
      <c r="F720" s="516" t="n"/>
      <c r="G720" s="516" t="n"/>
      <c r="H720" s="516" t="n"/>
    </row>
    <row r="721">
      <c r="A721" s="516" t="n"/>
      <c r="B721" s="516" t="n"/>
      <c r="C721" s="516" t="n"/>
      <c r="D721" s="516" t="n"/>
      <c r="E721" s="516" t="n"/>
      <c r="F721" s="516" t="n"/>
      <c r="G721" s="516" t="n"/>
      <c r="H721" s="516" t="n"/>
    </row>
    <row r="722">
      <c r="A722" s="516" t="n"/>
      <c r="B722" s="516" t="n"/>
      <c r="C722" s="516" t="n"/>
      <c r="D722" s="516" t="n"/>
      <c r="E722" s="516" t="n"/>
      <c r="F722" s="516" t="n"/>
      <c r="G722" s="516" t="n"/>
      <c r="H722" s="516" t="n"/>
    </row>
    <row r="723">
      <c r="A723" s="516" t="n"/>
      <c r="B723" s="516" t="n"/>
      <c r="C723" s="516" t="n"/>
      <c r="D723" s="516" t="n"/>
      <c r="E723" s="516" t="n"/>
      <c r="F723" s="516" t="n"/>
      <c r="G723" s="516" t="n"/>
      <c r="H723" s="516" t="n"/>
    </row>
    <row r="724">
      <c r="A724" s="516" t="n"/>
      <c r="B724" s="516" t="n"/>
      <c r="C724" s="516" t="n"/>
      <c r="D724" s="516" t="n"/>
      <c r="E724" s="516" t="n"/>
      <c r="F724" s="516" t="n"/>
      <c r="G724" s="516" t="n"/>
      <c r="H724" s="516" t="n"/>
    </row>
    <row r="725">
      <c r="A725" s="516" t="n"/>
      <c r="B725" s="516" t="n"/>
      <c r="C725" s="516" t="n"/>
      <c r="D725" s="516" t="n"/>
      <c r="E725" s="516" t="n"/>
      <c r="F725" s="516" t="n"/>
      <c r="G725" s="516" t="n"/>
      <c r="H725" s="516" t="n"/>
    </row>
    <row r="726">
      <c r="A726" s="516" t="n"/>
      <c r="B726" s="516" t="n"/>
      <c r="C726" s="516" t="n"/>
      <c r="D726" s="516" t="n"/>
      <c r="E726" s="516" t="n"/>
      <c r="F726" s="516" t="n"/>
      <c r="G726" s="516" t="n"/>
      <c r="H726" s="516" t="n"/>
    </row>
    <row r="727">
      <c r="A727" s="516" t="n"/>
      <c r="B727" s="516" t="n"/>
      <c r="C727" s="516" t="n"/>
      <c r="D727" s="516" t="n"/>
      <c r="E727" s="516" t="n"/>
      <c r="F727" s="516" t="n"/>
      <c r="G727" s="516" t="n"/>
      <c r="H727" s="516" t="n"/>
    </row>
    <row r="728">
      <c r="A728" s="516" t="n"/>
      <c r="B728" s="516" t="n"/>
      <c r="C728" s="516" t="n"/>
      <c r="D728" s="516" t="n"/>
      <c r="E728" s="516" t="n"/>
      <c r="F728" s="516" t="n"/>
      <c r="G728" s="516" t="n"/>
      <c r="H728" s="516" t="n"/>
    </row>
    <row r="729">
      <c r="A729" s="516" t="n"/>
      <c r="B729" s="516" t="n"/>
      <c r="C729" s="516" t="n"/>
      <c r="D729" s="516" t="n"/>
      <c r="E729" s="516" t="n"/>
      <c r="F729" s="516" t="n"/>
      <c r="G729" s="516" t="n"/>
      <c r="H729" s="516" t="n"/>
    </row>
    <row r="730">
      <c r="A730" s="516" t="n"/>
      <c r="B730" s="516" t="n"/>
      <c r="C730" s="516" t="n"/>
      <c r="D730" s="516" t="n"/>
      <c r="E730" s="516" t="n"/>
      <c r="F730" s="516" t="n"/>
      <c r="G730" s="516" t="n"/>
      <c r="H730" s="516" t="n"/>
    </row>
    <row r="731">
      <c r="A731" s="516" t="n"/>
      <c r="B731" s="516" t="n"/>
      <c r="C731" s="516" t="n"/>
      <c r="D731" s="516" t="n"/>
      <c r="E731" s="516" t="n"/>
      <c r="F731" s="516" t="n"/>
      <c r="G731" s="516" t="n"/>
      <c r="H731" s="516" t="n"/>
    </row>
    <row r="732">
      <c r="A732" s="516" t="n"/>
      <c r="B732" s="516" t="n"/>
      <c r="C732" s="516" t="n"/>
      <c r="D732" s="516" t="n"/>
      <c r="E732" s="516" t="n"/>
      <c r="F732" s="516" t="n"/>
      <c r="G732" s="516" t="n"/>
      <c r="H732" s="516" t="n"/>
    </row>
    <row r="733">
      <c r="A733" s="516" t="n"/>
      <c r="B733" s="516" t="n"/>
      <c r="C733" s="516" t="n"/>
      <c r="D733" s="516" t="n"/>
      <c r="E733" s="516" t="n"/>
      <c r="F733" s="516" t="n"/>
      <c r="G733" s="516" t="n"/>
      <c r="H733" s="516" t="n"/>
    </row>
    <row r="734">
      <c r="A734" s="516" t="n"/>
      <c r="B734" s="516" t="n"/>
      <c r="C734" s="516" t="n"/>
      <c r="D734" s="516" t="n"/>
      <c r="E734" s="516" t="n"/>
      <c r="F734" s="516" t="n"/>
      <c r="G734" s="516" t="n"/>
      <c r="H734" s="516" t="n"/>
    </row>
    <row r="735">
      <c r="A735" s="516" t="n"/>
      <c r="B735" s="516" t="n"/>
      <c r="C735" s="516" t="n"/>
      <c r="D735" s="516" t="n"/>
      <c r="E735" s="516" t="n"/>
      <c r="F735" s="516" t="n"/>
      <c r="G735" s="516" t="n"/>
      <c r="H735" s="516" t="n"/>
    </row>
    <row r="736">
      <c r="A736" s="516" t="n"/>
      <c r="B736" s="516" t="n"/>
      <c r="C736" s="516" t="n"/>
      <c r="D736" s="516" t="n"/>
      <c r="E736" s="516" t="n"/>
      <c r="F736" s="516" t="n"/>
      <c r="G736" s="516" t="n"/>
      <c r="H736" s="516" t="n"/>
    </row>
    <row r="737">
      <c r="A737" s="516" t="n"/>
      <c r="B737" s="516" t="n"/>
      <c r="C737" s="516" t="n"/>
      <c r="D737" s="516" t="n"/>
      <c r="E737" s="516" t="n"/>
      <c r="F737" s="516" t="n"/>
      <c r="G737" s="516" t="n"/>
      <c r="H737" s="516" t="n"/>
    </row>
    <row r="738">
      <c r="A738" s="516" t="n"/>
      <c r="B738" s="516" t="n"/>
      <c r="C738" s="516" t="n"/>
      <c r="D738" s="516" t="n"/>
      <c r="E738" s="516" t="n"/>
      <c r="F738" s="516" t="n"/>
      <c r="G738" s="516" t="n"/>
      <c r="H738" s="516" t="n"/>
    </row>
    <row r="739">
      <c r="A739" s="516" t="n"/>
      <c r="B739" s="516" t="n"/>
      <c r="C739" s="516" t="n"/>
      <c r="D739" s="516" t="n"/>
      <c r="E739" s="516" t="n"/>
      <c r="F739" s="516" t="n"/>
      <c r="G739" s="516" t="n"/>
      <c r="H739" s="516" t="n"/>
    </row>
    <row r="740">
      <c r="A740" s="516" t="n"/>
      <c r="B740" s="516" t="n"/>
      <c r="C740" s="516" t="n"/>
      <c r="D740" s="516" t="n"/>
      <c r="E740" s="516" t="n"/>
      <c r="F740" s="516" t="n"/>
      <c r="G740" s="516" t="n"/>
      <c r="H740" s="516" t="n"/>
    </row>
    <row r="741">
      <c r="A741" s="516" t="n"/>
      <c r="B741" s="516" t="n"/>
      <c r="C741" s="516" t="n"/>
      <c r="D741" s="516" t="n"/>
      <c r="E741" s="516" t="n"/>
      <c r="F741" s="516" t="n"/>
      <c r="G741" s="516" t="n"/>
      <c r="H741" s="516" t="n"/>
    </row>
    <row r="742">
      <c r="A742" s="516" t="n"/>
      <c r="B742" s="516" t="n"/>
      <c r="C742" s="516" t="n"/>
      <c r="D742" s="516" t="n"/>
      <c r="E742" s="516" t="n"/>
      <c r="F742" s="516" t="n"/>
      <c r="G742" s="516" t="n"/>
      <c r="H742" s="516" t="n"/>
    </row>
    <row r="743">
      <c r="A743" s="516" t="n"/>
      <c r="B743" s="516" t="n"/>
      <c r="C743" s="516" t="n"/>
      <c r="D743" s="516" t="n"/>
      <c r="E743" s="516" t="n"/>
      <c r="F743" s="516" t="n"/>
      <c r="G743" s="516" t="n"/>
      <c r="H743" s="516" t="n"/>
    </row>
    <row r="744">
      <c r="A744" s="516" t="n"/>
      <c r="B744" s="516" t="n"/>
      <c r="C744" s="516" t="n"/>
      <c r="D744" s="516" t="n"/>
      <c r="E744" s="516" t="n"/>
      <c r="F744" s="516" t="n"/>
      <c r="G744" s="516" t="n"/>
      <c r="H744" s="516" t="n"/>
    </row>
    <row r="745">
      <c r="A745" s="516" t="n"/>
      <c r="B745" s="516" t="n"/>
      <c r="C745" s="516" t="n"/>
      <c r="D745" s="516" t="n"/>
      <c r="E745" s="516" t="n"/>
      <c r="F745" s="516" t="n"/>
      <c r="G745" s="516" t="n"/>
      <c r="H745" s="516" t="n"/>
    </row>
    <row r="746">
      <c r="A746" s="516" t="n"/>
      <c r="B746" s="516" t="n"/>
      <c r="C746" s="516" t="n"/>
      <c r="D746" s="516" t="n"/>
      <c r="E746" s="516" t="n"/>
      <c r="F746" s="516" t="n"/>
      <c r="G746" s="516" t="n"/>
      <c r="H746" s="516" t="n"/>
    </row>
    <row r="747">
      <c r="A747" s="516" t="n"/>
      <c r="B747" s="516" t="n"/>
      <c r="C747" s="516" t="n"/>
      <c r="D747" s="516" t="n"/>
      <c r="E747" s="516" t="n"/>
      <c r="F747" s="516" t="n"/>
      <c r="G747" s="516" t="n"/>
      <c r="H747" s="516" t="n"/>
    </row>
    <row r="748">
      <c r="A748" s="516" t="n"/>
      <c r="B748" s="516" t="n"/>
      <c r="C748" s="516" t="n"/>
      <c r="D748" s="516" t="n"/>
      <c r="E748" s="516" t="n"/>
      <c r="F748" s="516" t="n"/>
      <c r="G748" s="516" t="n"/>
      <c r="H748" s="516" t="n"/>
    </row>
    <row r="749">
      <c r="A749" s="516" t="n"/>
      <c r="B749" s="516" t="n"/>
      <c r="C749" s="516" t="n"/>
      <c r="D749" s="516" t="n"/>
      <c r="E749" s="516" t="n"/>
      <c r="F749" s="516" t="n"/>
      <c r="G749" s="516" t="n"/>
      <c r="H749" s="516" t="n"/>
    </row>
    <row r="750">
      <c r="A750" s="516" t="n"/>
      <c r="B750" s="516" t="n"/>
      <c r="C750" s="516" t="n"/>
      <c r="D750" s="516" t="n"/>
      <c r="E750" s="516" t="n"/>
      <c r="F750" s="516" t="n"/>
      <c r="G750" s="516" t="n"/>
      <c r="H750" s="516" t="n"/>
    </row>
    <row r="751">
      <c r="A751" s="516" t="n"/>
      <c r="B751" s="516" t="n"/>
      <c r="C751" s="516" t="n"/>
      <c r="D751" s="516" t="n"/>
      <c r="E751" s="516" t="n"/>
      <c r="F751" s="516" t="n"/>
      <c r="G751" s="516" t="n"/>
      <c r="H751" s="516" t="n"/>
    </row>
    <row r="752">
      <c r="A752" s="516" t="n"/>
      <c r="B752" s="516" t="n"/>
      <c r="C752" s="516" t="n"/>
      <c r="D752" s="516" t="n"/>
      <c r="E752" s="516" t="n"/>
      <c r="F752" s="516" t="n"/>
      <c r="G752" s="516" t="n"/>
      <c r="H752" s="516" t="n"/>
    </row>
    <row r="753">
      <c r="A753" s="516" t="n"/>
      <c r="B753" s="516" t="n"/>
      <c r="C753" s="516" t="n"/>
      <c r="D753" s="516" t="n"/>
      <c r="E753" s="516" t="n"/>
      <c r="F753" s="516" t="n"/>
      <c r="G753" s="516" t="n"/>
      <c r="H753" s="516" t="n"/>
    </row>
    <row r="754">
      <c r="A754" s="516" t="n"/>
      <c r="B754" s="516" t="n"/>
      <c r="C754" s="516" t="n"/>
      <c r="D754" s="516" t="n"/>
      <c r="E754" s="516" t="n"/>
      <c r="F754" s="516" t="n"/>
      <c r="G754" s="516" t="n"/>
      <c r="H754" s="516" t="n"/>
    </row>
    <row r="755">
      <c r="A755" s="516" t="n"/>
      <c r="B755" s="516" t="n"/>
      <c r="C755" s="516" t="n"/>
      <c r="D755" s="516" t="n"/>
      <c r="E755" s="516" t="n"/>
      <c r="F755" s="516" t="n"/>
      <c r="G755" s="516" t="n"/>
      <c r="H755" s="516" t="n"/>
    </row>
    <row r="756">
      <c r="A756" s="516" t="n"/>
      <c r="B756" s="516" t="n"/>
      <c r="C756" s="516" t="n"/>
      <c r="D756" s="516" t="n"/>
      <c r="E756" s="516" t="n"/>
      <c r="F756" s="516" t="n"/>
      <c r="G756" s="516" t="n"/>
      <c r="H756" s="516" t="n"/>
    </row>
    <row r="757">
      <c r="A757" s="516" t="n"/>
      <c r="B757" s="516" t="n"/>
      <c r="C757" s="516" t="n"/>
      <c r="D757" s="516" t="n"/>
      <c r="E757" s="516" t="n"/>
      <c r="F757" s="516" t="n"/>
      <c r="G757" s="516" t="n"/>
      <c r="H757" s="516" t="n"/>
    </row>
    <row r="758">
      <c r="A758" s="516" t="n"/>
      <c r="B758" s="516" t="n"/>
      <c r="C758" s="516" t="n"/>
      <c r="D758" s="516" t="n"/>
      <c r="E758" s="516" t="n"/>
      <c r="F758" s="516" t="n"/>
      <c r="G758" s="516" t="n"/>
      <c r="H758" s="516" t="n"/>
    </row>
    <row r="759">
      <c r="A759" s="516" t="n"/>
      <c r="B759" s="516" t="n"/>
      <c r="C759" s="516" t="n"/>
      <c r="D759" s="516" t="n"/>
      <c r="E759" s="516" t="n"/>
      <c r="F759" s="516" t="n"/>
      <c r="G759" s="516" t="n"/>
      <c r="H759" s="516" t="n"/>
    </row>
    <row r="760">
      <c r="A760" s="516" t="n"/>
      <c r="B760" s="516" t="n"/>
      <c r="C760" s="516" t="n"/>
      <c r="D760" s="516" t="n"/>
      <c r="E760" s="516" t="n"/>
      <c r="F760" s="516" t="n"/>
      <c r="G760" s="516" t="n"/>
      <c r="H760" s="516" t="n"/>
    </row>
    <row r="761">
      <c r="A761" s="516" t="n"/>
      <c r="B761" s="516" t="n"/>
      <c r="C761" s="516" t="n"/>
      <c r="D761" s="516" t="n"/>
      <c r="E761" s="516" t="n"/>
      <c r="F761" s="516" t="n"/>
      <c r="G761" s="516" t="n"/>
      <c r="H761" s="516" t="n"/>
    </row>
    <row r="762">
      <c r="A762" s="516" t="n"/>
      <c r="B762" s="516" t="n"/>
      <c r="C762" s="516" t="n"/>
      <c r="D762" s="516" t="n"/>
      <c r="E762" s="516" t="n"/>
      <c r="F762" s="516" t="n"/>
      <c r="G762" s="516" t="n"/>
      <c r="H762" s="516" t="n"/>
    </row>
    <row r="763">
      <c r="A763" s="516" t="n"/>
      <c r="B763" s="516" t="n"/>
      <c r="C763" s="516" t="n"/>
      <c r="D763" s="516" t="n"/>
      <c r="E763" s="516" t="n"/>
      <c r="F763" s="516" t="n"/>
      <c r="G763" s="516" t="n"/>
      <c r="H763" s="516" t="n"/>
    </row>
    <row r="764">
      <c r="A764" s="516" t="n"/>
      <c r="B764" s="516" t="n"/>
      <c r="C764" s="516" t="n"/>
      <c r="D764" s="516" t="n"/>
      <c r="E764" s="516" t="n"/>
      <c r="F764" s="516" t="n"/>
      <c r="G764" s="516" t="n"/>
      <c r="H764" s="516" t="n"/>
    </row>
    <row r="765">
      <c r="A765" s="516" t="n"/>
      <c r="B765" s="516" t="n"/>
      <c r="C765" s="516" t="n"/>
      <c r="D765" s="516" t="n"/>
      <c r="E765" s="516" t="n"/>
      <c r="F765" s="516" t="n"/>
      <c r="G765" s="516" t="n"/>
      <c r="H765" s="516" t="n"/>
    </row>
    <row r="766">
      <c r="A766" s="516" t="n"/>
      <c r="B766" s="516" t="n"/>
      <c r="C766" s="516" t="n"/>
      <c r="D766" s="516" t="n"/>
      <c r="E766" s="516" t="n"/>
      <c r="F766" s="516" t="n"/>
      <c r="G766" s="516" t="n"/>
      <c r="H766" s="516" t="n"/>
    </row>
    <row r="767">
      <c r="A767" s="516" t="n"/>
      <c r="B767" s="516" t="n"/>
      <c r="C767" s="516" t="n"/>
      <c r="D767" s="516" t="n"/>
      <c r="E767" s="516" t="n"/>
      <c r="F767" s="516" t="n"/>
      <c r="G767" s="516" t="n"/>
      <c r="H767" s="516" t="n"/>
    </row>
    <row r="768">
      <c r="A768" s="516" t="n"/>
      <c r="B768" s="516" t="n"/>
      <c r="C768" s="516" t="n"/>
      <c r="D768" s="516" t="n"/>
      <c r="E768" s="516" t="n"/>
      <c r="F768" s="516" t="n"/>
      <c r="G768" s="516" t="n"/>
      <c r="H768" s="516" t="n"/>
    </row>
    <row r="769">
      <c r="A769" s="516" t="n"/>
      <c r="B769" s="516" t="n"/>
      <c r="C769" s="516" t="n"/>
      <c r="D769" s="516" t="n"/>
      <c r="E769" s="516" t="n"/>
      <c r="F769" s="516" t="n"/>
      <c r="G769" s="516" t="n"/>
      <c r="H769" s="516" t="n"/>
    </row>
    <row r="770">
      <c r="A770" s="516" t="n"/>
      <c r="B770" s="516" t="n"/>
      <c r="C770" s="516" t="n"/>
      <c r="D770" s="516" t="n"/>
      <c r="E770" s="516" t="n"/>
      <c r="F770" s="516" t="n"/>
      <c r="G770" s="516" t="n"/>
      <c r="H770" s="516" t="n"/>
    </row>
    <row r="771">
      <c r="A771" s="516" t="n"/>
      <c r="B771" s="516" t="n"/>
      <c r="C771" s="516" t="n"/>
      <c r="D771" s="516" t="n"/>
      <c r="E771" s="516" t="n"/>
      <c r="F771" s="516" t="n"/>
      <c r="G771" s="516" t="n"/>
      <c r="H771" s="516" t="n"/>
    </row>
    <row r="772">
      <c r="A772" s="516" t="n"/>
      <c r="B772" s="516" t="n"/>
      <c r="C772" s="516" t="n"/>
      <c r="D772" s="516" t="n"/>
      <c r="E772" s="516" t="n"/>
      <c r="F772" s="516" t="n"/>
      <c r="G772" s="516" t="n"/>
      <c r="H772" s="516" t="n"/>
    </row>
    <row r="773">
      <c r="A773" s="516" t="n"/>
      <c r="B773" s="516" t="n"/>
      <c r="C773" s="516" t="n"/>
      <c r="D773" s="516" t="n"/>
      <c r="E773" s="516" t="n"/>
      <c r="F773" s="516" t="n"/>
      <c r="G773" s="516" t="n"/>
      <c r="H773" s="516" t="n"/>
    </row>
    <row r="774">
      <c r="A774" s="516" t="n"/>
      <c r="B774" s="516" t="n"/>
      <c r="C774" s="516" t="n"/>
      <c r="D774" s="516" t="n"/>
      <c r="E774" s="516" t="n"/>
      <c r="F774" s="516" t="n"/>
      <c r="G774" s="516" t="n"/>
      <c r="H774" s="516" t="n"/>
    </row>
    <row r="775">
      <c r="A775" s="516" t="n"/>
      <c r="B775" s="516" t="n"/>
      <c r="C775" s="516" t="n"/>
      <c r="D775" s="516" t="n"/>
      <c r="E775" s="516" t="n"/>
      <c r="F775" s="516" t="n"/>
      <c r="G775" s="516" t="n"/>
      <c r="H775" s="516" t="n"/>
    </row>
    <row r="776">
      <c r="A776" s="516" t="n"/>
      <c r="B776" s="516" t="n"/>
      <c r="C776" s="516" t="n"/>
      <c r="D776" s="516" t="n"/>
      <c r="E776" s="516" t="n"/>
      <c r="F776" s="516" t="n"/>
      <c r="G776" s="516" t="n"/>
      <c r="H776" s="516" t="n"/>
    </row>
    <row r="777">
      <c r="A777" s="516" t="n"/>
      <c r="B777" s="516" t="n"/>
      <c r="C777" s="516" t="n"/>
      <c r="D777" s="516" t="n"/>
      <c r="E777" s="516" t="n"/>
      <c r="F777" s="516" t="n"/>
      <c r="G777" s="516" t="n"/>
      <c r="H777" s="516" t="n"/>
    </row>
    <row r="778">
      <c r="A778" s="516" t="n"/>
      <c r="B778" s="516" t="n"/>
      <c r="C778" s="516" t="n"/>
      <c r="D778" s="516" t="n"/>
      <c r="E778" s="516" t="n"/>
      <c r="F778" s="516" t="n"/>
      <c r="G778" s="516" t="n"/>
      <c r="H778" s="516" t="n"/>
    </row>
    <row r="779">
      <c r="A779" s="516" t="n"/>
      <c r="B779" s="516" t="n"/>
      <c r="C779" s="516" t="n"/>
      <c r="D779" s="516" t="n"/>
      <c r="E779" s="516" t="n"/>
      <c r="F779" s="516" t="n"/>
      <c r="G779" s="516" t="n"/>
      <c r="H779" s="516" t="n"/>
    </row>
    <row r="780">
      <c r="A780" s="516" t="n"/>
      <c r="B780" s="516" t="n"/>
      <c r="C780" s="516" t="n"/>
      <c r="D780" s="516" t="n"/>
      <c r="E780" s="516" t="n"/>
      <c r="F780" s="516" t="n"/>
      <c r="G780" s="516" t="n"/>
      <c r="H780" s="516" t="n"/>
    </row>
    <row r="781">
      <c r="A781" s="516" t="n"/>
      <c r="B781" s="516" t="n"/>
      <c r="C781" s="516" t="n"/>
      <c r="D781" s="516" t="n"/>
      <c r="E781" s="516" t="n"/>
      <c r="F781" s="516" t="n"/>
      <c r="G781" s="516" t="n"/>
      <c r="H781" s="516" t="n"/>
    </row>
    <row r="782">
      <c r="A782" s="516" t="n"/>
      <c r="B782" s="516" t="n"/>
      <c r="C782" s="516" t="n"/>
      <c r="D782" s="516" t="n"/>
      <c r="E782" s="516" t="n"/>
      <c r="F782" s="516" t="n"/>
      <c r="G782" s="516" t="n"/>
      <c r="H782" s="516" t="n"/>
    </row>
    <row r="783">
      <c r="A783" s="516" t="n"/>
      <c r="B783" s="516" t="n"/>
      <c r="C783" s="516" t="n"/>
      <c r="D783" s="516" t="n"/>
      <c r="E783" s="516" t="n"/>
      <c r="F783" s="516" t="n"/>
      <c r="G783" s="516" t="n"/>
      <c r="H783" s="516" t="n"/>
    </row>
    <row r="784">
      <c r="A784" s="516" t="n"/>
      <c r="B784" s="516" t="n"/>
      <c r="C784" s="516" t="n"/>
      <c r="D784" s="516" t="n"/>
      <c r="E784" s="516" t="n"/>
      <c r="F784" s="516" t="n"/>
      <c r="G784" s="516" t="n"/>
      <c r="H784" s="516" t="n"/>
    </row>
    <row r="785">
      <c r="A785" s="516" t="n"/>
      <c r="B785" s="516" t="n"/>
      <c r="C785" s="516" t="n"/>
      <c r="D785" s="516" t="n"/>
      <c r="E785" s="516" t="n"/>
      <c r="F785" s="516" t="n"/>
      <c r="G785" s="516" t="n"/>
      <c r="H785" s="516" t="n"/>
    </row>
    <row r="786">
      <c r="A786" s="516" t="n"/>
      <c r="B786" s="516" t="n"/>
      <c r="C786" s="516" t="n"/>
      <c r="D786" s="516" t="n"/>
      <c r="E786" s="516" t="n"/>
      <c r="F786" s="516" t="n"/>
      <c r="G786" s="516" t="n"/>
      <c r="H786" s="516" t="n"/>
    </row>
    <row r="787">
      <c r="A787" s="516" t="n"/>
      <c r="B787" s="516" t="n"/>
      <c r="C787" s="516" t="n"/>
      <c r="D787" s="516" t="n"/>
      <c r="E787" s="516" t="n"/>
      <c r="F787" s="516" t="n"/>
      <c r="G787" s="516" t="n"/>
      <c r="H787" s="516" t="n"/>
    </row>
    <row r="788">
      <c r="A788" s="516" t="n"/>
      <c r="B788" s="516" t="n"/>
      <c r="C788" s="516" t="n"/>
      <c r="D788" s="516" t="n"/>
      <c r="E788" s="516" t="n"/>
      <c r="F788" s="516" t="n"/>
      <c r="G788" s="516" t="n"/>
      <c r="H788" s="516" t="n"/>
    </row>
    <row r="789">
      <c r="A789" s="516" t="n"/>
      <c r="B789" s="516" t="n"/>
      <c r="C789" s="516" t="n"/>
      <c r="D789" s="516" t="n"/>
      <c r="E789" s="516" t="n"/>
      <c r="F789" s="516" t="n"/>
      <c r="G789" s="516" t="n"/>
      <c r="H789" s="516" t="n"/>
    </row>
    <row r="790">
      <c r="A790" s="516" t="n"/>
      <c r="B790" s="516" t="n"/>
      <c r="C790" s="516" t="n"/>
      <c r="D790" s="516" t="n"/>
      <c r="E790" s="516" t="n"/>
      <c r="F790" s="516" t="n"/>
      <c r="G790" s="516" t="n"/>
      <c r="H790" s="516" t="n"/>
    </row>
    <row r="791">
      <c r="A791" s="516" t="n"/>
      <c r="B791" s="516" t="n"/>
      <c r="C791" s="516" t="n"/>
      <c r="D791" s="516" t="n"/>
      <c r="E791" s="516" t="n"/>
      <c r="F791" s="516" t="n"/>
      <c r="G791" s="516" t="n"/>
      <c r="H791" s="516" t="n"/>
    </row>
    <row r="792">
      <c r="A792" s="516" t="n"/>
      <c r="B792" s="516" t="n"/>
      <c r="C792" s="516" t="n"/>
      <c r="D792" s="516" t="n"/>
      <c r="E792" s="516" t="n"/>
      <c r="F792" s="516" t="n"/>
      <c r="G792" s="516" t="n"/>
      <c r="H792" s="516" t="n"/>
    </row>
    <row r="793">
      <c r="A793" s="516" t="n"/>
      <c r="B793" s="516" t="n"/>
      <c r="C793" s="516" t="n"/>
      <c r="D793" s="516" t="n"/>
      <c r="E793" s="516" t="n"/>
      <c r="F793" s="516" t="n"/>
      <c r="G793" s="516" t="n"/>
      <c r="H793" s="516" t="n"/>
    </row>
    <row r="794">
      <c r="A794" s="516" t="n"/>
      <c r="B794" s="516" t="n"/>
      <c r="C794" s="516" t="n"/>
      <c r="D794" s="516" t="n"/>
      <c r="E794" s="516" t="n"/>
      <c r="F794" s="516" t="n"/>
      <c r="G794" s="516" t="n"/>
      <c r="H794" s="516" t="n"/>
    </row>
    <row r="795">
      <c r="A795" s="516" t="n"/>
      <c r="B795" s="516" t="n"/>
      <c r="C795" s="516" t="n"/>
      <c r="D795" s="516" t="n"/>
      <c r="E795" s="516" t="n"/>
      <c r="F795" s="516" t="n"/>
      <c r="G795" s="516" t="n"/>
      <c r="H795" s="516" t="n"/>
    </row>
    <row r="796">
      <c r="A796" s="516" t="n"/>
      <c r="B796" s="516" t="n"/>
      <c r="C796" s="516" t="n"/>
      <c r="D796" s="516" t="n"/>
      <c r="E796" s="516" t="n"/>
      <c r="F796" s="516" t="n"/>
      <c r="G796" s="516" t="n"/>
      <c r="H796" s="516" t="n"/>
    </row>
    <row r="797">
      <c r="A797" s="516" t="n"/>
      <c r="B797" s="516" t="n"/>
      <c r="C797" s="516" t="n"/>
      <c r="D797" s="516" t="n"/>
      <c r="E797" s="516" t="n"/>
      <c r="F797" s="516" t="n"/>
      <c r="G797" s="516" t="n"/>
      <c r="H797" s="516" t="n"/>
    </row>
    <row r="798">
      <c r="A798" s="516" t="n"/>
      <c r="B798" s="516" t="n"/>
      <c r="C798" s="516" t="n"/>
      <c r="D798" s="516" t="n"/>
      <c r="E798" s="516" t="n"/>
      <c r="F798" s="516" t="n"/>
      <c r="G798" s="516" t="n"/>
      <c r="H798" s="516" t="n"/>
    </row>
    <row r="799">
      <c r="A799" s="516" t="n"/>
      <c r="B799" s="516" t="n"/>
      <c r="C799" s="516" t="n"/>
      <c r="D799" s="516" t="n"/>
      <c r="E799" s="516" t="n"/>
      <c r="F799" s="516" t="n"/>
      <c r="G799" s="516" t="n"/>
      <c r="H799" s="516" t="n"/>
    </row>
    <row r="800">
      <c r="A800" s="516" t="n"/>
      <c r="B800" s="516" t="n"/>
      <c r="C800" s="516" t="n"/>
      <c r="D800" s="516" t="n"/>
      <c r="E800" s="516" t="n"/>
      <c r="F800" s="516" t="n"/>
      <c r="G800" s="516" t="n"/>
      <c r="H800" s="516" t="n"/>
    </row>
    <row r="801">
      <c r="A801" s="516" t="n"/>
      <c r="B801" s="516" t="n"/>
      <c r="C801" s="516" t="n"/>
      <c r="D801" s="516" t="n"/>
      <c r="E801" s="516" t="n"/>
      <c r="F801" s="516" t="n"/>
      <c r="G801" s="516" t="n"/>
      <c r="H801" s="516" t="n"/>
    </row>
    <row r="802">
      <c r="A802" s="516" t="n"/>
      <c r="B802" s="516" t="n"/>
      <c r="C802" s="516" t="n"/>
      <c r="D802" s="516" t="n"/>
      <c r="E802" s="516" t="n"/>
      <c r="F802" s="516" t="n"/>
      <c r="G802" s="516" t="n"/>
      <c r="H802" s="516" t="n"/>
    </row>
    <row r="803">
      <c r="A803" s="516" t="n"/>
      <c r="B803" s="516" t="n"/>
      <c r="C803" s="516" t="n"/>
      <c r="D803" s="516" t="n"/>
      <c r="E803" s="516" t="n"/>
      <c r="F803" s="516" t="n"/>
      <c r="G803" s="516" t="n"/>
      <c r="H803" s="516" t="n"/>
    </row>
    <row r="804">
      <c r="A804" s="516" t="n"/>
      <c r="B804" s="516" t="n"/>
      <c r="C804" s="516" t="n"/>
      <c r="D804" s="516" t="n"/>
      <c r="E804" s="516" t="n"/>
      <c r="F804" s="516" t="n"/>
      <c r="G804" s="516" t="n"/>
      <c r="H804" s="516" t="n"/>
    </row>
    <row r="805">
      <c r="A805" s="516" t="n"/>
      <c r="B805" s="516" t="n"/>
      <c r="C805" s="516" t="n"/>
      <c r="D805" s="516" t="n"/>
      <c r="E805" s="516" t="n"/>
      <c r="F805" s="516" t="n"/>
      <c r="G805" s="516" t="n"/>
      <c r="H805" s="516" t="n"/>
    </row>
    <row r="806">
      <c r="A806" s="516" t="n"/>
      <c r="B806" s="516" t="n"/>
      <c r="C806" s="516" t="n"/>
      <c r="D806" s="516" t="n"/>
      <c r="E806" s="516" t="n"/>
      <c r="F806" s="516" t="n"/>
      <c r="G806" s="516" t="n"/>
      <c r="H806" s="516" t="n"/>
    </row>
    <row r="807">
      <c r="A807" s="516" t="n"/>
      <c r="B807" s="516" t="n"/>
      <c r="C807" s="516" t="n"/>
      <c r="D807" s="516" t="n"/>
      <c r="E807" s="516" t="n"/>
      <c r="F807" s="516" t="n"/>
      <c r="G807" s="516" t="n"/>
      <c r="H807" s="516" t="n"/>
    </row>
    <row r="808">
      <c r="A808" s="516" t="n"/>
      <c r="B808" s="516" t="n"/>
      <c r="C808" s="516" t="n"/>
      <c r="D808" s="516" t="n"/>
      <c r="E808" s="516" t="n"/>
      <c r="F808" s="516" t="n"/>
      <c r="G808" s="516" t="n"/>
      <c r="H808" s="516" t="n"/>
    </row>
    <row r="809">
      <c r="A809" s="516" t="n"/>
      <c r="B809" s="516" t="n"/>
      <c r="C809" s="516" t="n"/>
      <c r="D809" s="516" t="n"/>
      <c r="E809" s="516" t="n"/>
      <c r="F809" s="516" t="n"/>
      <c r="G809" s="516" t="n"/>
      <c r="H809" s="516" t="n"/>
    </row>
    <row r="810">
      <c r="A810" s="516" t="n"/>
      <c r="B810" s="516" t="n"/>
      <c r="C810" s="516" t="n"/>
      <c r="D810" s="516" t="n"/>
      <c r="E810" s="516" t="n"/>
      <c r="F810" s="516" t="n"/>
      <c r="G810" s="516" t="n"/>
      <c r="H810" s="516" t="n"/>
    </row>
    <row r="811">
      <c r="A811" s="516" t="n"/>
      <c r="B811" s="516" t="n"/>
      <c r="C811" s="516" t="n"/>
      <c r="D811" s="516" t="n"/>
      <c r="E811" s="516" t="n"/>
      <c r="F811" s="516" t="n"/>
      <c r="G811" s="516" t="n"/>
      <c r="H811" s="516" t="n"/>
    </row>
    <row r="812">
      <c r="A812" s="516" t="n"/>
      <c r="B812" s="516" t="n"/>
      <c r="C812" s="516" t="n"/>
      <c r="D812" s="516" t="n"/>
      <c r="E812" s="516" t="n"/>
      <c r="F812" s="516" t="n"/>
      <c r="G812" s="516" t="n"/>
      <c r="H812" s="516" t="n"/>
    </row>
    <row r="813">
      <c r="A813" s="516" t="n"/>
      <c r="B813" s="516" t="n"/>
      <c r="C813" s="516" t="n"/>
      <c r="D813" s="516" t="n"/>
      <c r="E813" s="516" t="n"/>
      <c r="F813" s="516" t="n"/>
      <c r="G813" s="516" t="n"/>
      <c r="H813" s="516" t="n"/>
    </row>
    <row r="814">
      <c r="A814" s="516" t="n"/>
      <c r="B814" s="516" t="n"/>
      <c r="C814" s="516" t="n"/>
      <c r="D814" s="516" t="n"/>
      <c r="E814" s="516" t="n"/>
      <c r="F814" s="516" t="n"/>
      <c r="G814" s="516" t="n"/>
      <c r="H814" s="516" t="n"/>
    </row>
    <row r="815">
      <c r="A815" s="516" t="n"/>
      <c r="B815" s="516" t="n"/>
      <c r="C815" s="516" t="n"/>
      <c r="D815" s="516" t="n"/>
      <c r="E815" s="516" t="n"/>
      <c r="F815" s="516" t="n"/>
      <c r="G815" s="516" t="n"/>
      <c r="H815" s="516" t="n"/>
    </row>
    <row r="816">
      <c r="A816" s="516" t="n"/>
      <c r="B816" s="516" t="n"/>
      <c r="C816" s="516" t="n"/>
      <c r="D816" s="516" t="n"/>
      <c r="E816" s="516" t="n"/>
      <c r="F816" s="516" t="n"/>
      <c r="G816" s="516" t="n"/>
      <c r="H816" s="516" t="n"/>
    </row>
    <row r="817">
      <c r="A817" s="516" t="n"/>
      <c r="B817" s="516" t="n"/>
      <c r="C817" s="516" t="n"/>
      <c r="D817" s="516" t="n"/>
      <c r="E817" s="516" t="n"/>
      <c r="F817" s="516" t="n"/>
      <c r="G817" s="516" t="n"/>
      <c r="H817" s="516" t="n"/>
    </row>
    <row r="818">
      <c r="A818" s="516" t="n"/>
      <c r="B818" s="516" t="n"/>
      <c r="C818" s="516" t="n"/>
      <c r="D818" s="516" t="n"/>
      <c r="E818" s="516" t="n"/>
      <c r="F818" s="516" t="n"/>
      <c r="G818" s="516" t="n"/>
      <c r="H818" s="516" t="n"/>
    </row>
    <row r="819">
      <c r="A819" s="516" t="n"/>
      <c r="B819" s="516" t="n"/>
      <c r="C819" s="516" t="n"/>
      <c r="D819" s="516" t="n"/>
      <c r="E819" s="516" t="n"/>
      <c r="F819" s="516" t="n"/>
      <c r="G819" s="516" t="n"/>
      <c r="H819" s="516" t="n"/>
    </row>
    <row r="820">
      <c r="A820" s="516" t="n"/>
      <c r="B820" s="516" t="n"/>
      <c r="C820" s="516" t="n"/>
      <c r="D820" s="516" t="n"/>
      <c r="E820" s="516" t="n"/>
      <c r="F820" s="516" t="n"/>
      <c r="G820" s="516" t="n"/>
      <c r="H820" s="516" t="n"/>
    </row>
    <row r="821">
      <c r="A821" s="516" t="n"/>
      <c r="B821" s="516" t="n"/>
      <c r="C821" s="516" t="n"/>
      <c r="D821" s="516" t="n"/>
      <c r="E821" s="516" t="n"/>
      <c r="F821" s="516" t="n"/>
      <c r="G821" s="516" t="n"/>
      <c r="H821" s="516" t="n"/>
    </row>
    <row r="822">
      <c r="A822" s="516" t="n"/>
      <c r="B822" s="516" t="n"/>
      <c r="C822" s="516" t="n"/>
      <c r="D822" s="516" t="n"/>
      <c r="E822" s="516" t="n"/>
      <c r="F822" s="516" t="n"/>
      <c r="G822" s="516" t="n"/>
      <c r="H822" s="516" t="n"/>
    </row>
    <row r="823">
      <c r="A823" s="516" t="n"/>
      <c r="B823" s="516" t="n"/>
      <c r="C823" s="516" t="n"/>
      <c r="D823" s="516" t="n"/>
      <c r="E823" s="516" t="n"/>
      <c r="F823" s="516" t="n"/>
      <c r="G823" s="516" t="n"/>
      <c r="H823" s="516" t="n"/>
    </row>
    <row r="824">
      <c r="A824" s="516" t="n"/>
      <c r="B824" s="516" t="n"/>
      <c r="C824" s="516" t="n"/>
      <c r="D824" s="516" t="n"/>
      <c r="E824" s="516" t="n"/>
      <c r="F824" s="516" t="n"/>
      <c r="G824" s="516" t="n"/>
      <c r="H824" s="516" t="n"/>
    </row>
    <row r="825">
      <c r="A825" s="516" t="n"/>
      <c r="B825" s="516" t="n"/>
      <c r="C825" s="516" t="n"/>
      <c r="D825" s="516" t="n"/>
      <c r="E825" s="516" t="n"/>
      <c r="F825" s="516" t="n"/>
      <c r="G825" s="516" t="n"/>
      <c r="H825" s="516" t="n"/>
    </row>
    <row r="826">
      <c r="A826" s="516" t="n"/>
      <c r="B826" s="516" t="n"/>
      <c r="C826" s="516" t="n"/>
      <c r="D826" s="516" t="n"/>
      <c r="E826" s="516" t="n"/>
      <c r="F826" s="516" t="n"/>
      <c r="G826" s="516" t="n"/>
      <c r="H826" s="516" t="n"/>
    </row>
    <row r="827">
      <c r="A827" s="516" t="n"/>
      <c r="B827" s="516" t="n"/>
      <c r="C827" s="516" t="n"/>
      <c r="D827" s="516" t="n"/>
      <c r="E827" s="516" t="n"/>
      <c r="F827" s="516" t="n"/>
      <c r="G827" s="516" t="n"/>
      <c r="H827" s="516" t="n"/>
    </row>
    <row r="828">
      <c r="A828" s="516" t="n"/>
      <c r="B828" s="516" t="n"/>
      <c r="C828" s="516" t="n"/>
      <c r="D828" s="516" t="n"/>
      <c r="E828" s="516" t="n"/>
      <c r="F828" s="516" t="n"/>
      <c r="G828" s="516" t="n"/>
      <c r="H828" s="516" t="n"/>
    </row>
    <row r="829">
      <c r="A829" s="516" t="n"/>
      <c r="B829" s="516" t="n"/>
      <c r="C829" s="516" t="n"/>
      <c r="D829" s="516" t="n"/>
      <c r="E829" s="516" t="n"/>
      <c r="F829" s="516" t="n"/>
      <c r="G829" s="516" t="n"/>
      <c r="H829" s="516" t="n"/>
    </row>
    <row r="830">
      <c r="A830" s="516" t="n"/>
      <c r="B830" s="516" t="n"/>
      <c r="C830" s="516" t="n"/>
      <c r="D830" s="516" t="n"/>
      <c r="E830" s="516" t="n"/>
      <c r="F830" s="516" t="n"/>
      <c r="G830" s="516" t="n"/>
      <c r="H830" s="516" t="n"/>
    </row>
    <row r="831">
      <c r="A831" s="516" t="n"/>
      <c r="B831" s="516" t="n"/>
      <c r="C831" s="516" t="n"/>
      <c r="D831" s="516" t="n"/>
      <c r="E831" s="516" t="n"/>
      <c r="F831" s="516" t="n"/>
      <c r="G831" s="516" t="n"/>
      <c r="H831" s="516" t="n"/>
    </row>
    <row r="832">
      <c r="A832" s="516" t="n"/>
      <c r="B832" s="516" t="n"/>
      <c r="C832" s="516" t="n"/>
      <c r="D832" s="516" t="n"/>
      <c r="E832" s="516" t="n"/>
      <c r="F832" s="516" t="n"/>
      <c r="G832" s="516" t="n"/>
      <c r="H832" s="516" t="n"/>
    </row>
    <row r="833">
      <c r="A833" s="516" t="n"/>
      <c r="B833" s="516" t="n"/>
      <c r="C833" s="516" t="n"/>
      <c r="D833" s="516" t="n"/>
      <c r="E833" s="516" t="n"/>
      <c r="F833" s="516" t="n"/>
      <c r="G833" s="516" t="n"/>
      <c r="H833" s="516" t="n"/>
    </row>
    <row r="834">
      <c r="A834" s="516" t="n"/>
      <c r="B834" s="516" t="n"/>
      <c r="C834" s="516" t="n"/>
      <c r="D834" s="516" t="n"/>
      <c r="E834" s="516" t="n"/>
      <c r="F834" s="516" t="n"/>
      <c r="G834" s="516" t="n"/>
      <c r="H834" s="516" t="n"/>
    </row>
    <row r="835">
      <c r="A835" s="516" t="n"/>
      <c r="B835" s="516" t="n"/>
      <c r="C835" s="516" t="n"/>
      <c r="D835" s="516" t="n"/>
      <c r="E835" s="516" t="n"/>
      <c r="F835" s="516" t="n"/>
      <c r="G835" s="516" t="n"/>
      <c r="H835" s="516" t="n"/>
    </row>
    <row r="836">
      <c r="A836" s="516" t="n"/>
      <c r="B836" s="516" t="n"/>
      <c r="C836" s="516" t="n"/>
      <c r="D836" s="516" t="n"/>
      <c r="E836" s="516" t="n"/>
      <c r="F836" s="516" t="n"/>
      <c r="G836" s="516" t="n"/>
      <c r="H836" s="516" t="n"/>
    </row>
    <row r="837">
      <c r="A837" s="516" t="n"/>
      <c r="B837" s="516" t="n"/>
      <c r="C837" s="516" t="n"/>
      <c r="D837" s="516" t="n"/>
      <c r="E837" s="516" t="n"/>
      <c r="F837" s="516" t="n"/>
      <c r="G837" s="516" t="n"/>
      <c r="H837" s="516" t="n"/>
    </row>
    <row r="838">
      <c r="A838" s="516" t="n"/>
      <c r="B838" s="516" t="n"/>
      <c r="C838" s="516" t="n"/>
      <c r="D838" s="516" t="n"/>
      <c r="E838" s="516" t="n"/>
      <c r="F838" s="516" t="n"/>
      <c r="G838" s="516" t="n"/>
      <c r="H838" s="516" t="n"/>
    </row>
    <row r="839">
      <c r="A839" s="516" t="n"/>
      <c r="B839" s="516" t="n"/>
      <c r="C839" s="516" t="n"/>
      <c r="D839" s="516" t="n"/>
      <c r="E839" s="516" t="n"/>
      <c r="F839" s="516" t="n"/>
      <c r="G839" s="516" t="n"/>
      <c r="H839" s="516" t="n"/>
    </row>
    <row r="840">
      <c r="A840" s="516" t="n"/>
      <c r="B840" s="516" t="n"/>
      <c r="C840" s="516" t="n"/>
      <c r="D840" s="516" t="n"/>
      <c r="E840" s="516" t="n"/>
      <c r="F840" s="516" t="n"/>
      <c r="G840" s="516" t="n"/>
      <c r="H840" s="516" t="n"/>
    </row>
    <row r="841">
      <c r="A841" s="516" t="n"/>
      <c r="B841" s="516" t="n"/>
      <c r="C841" s="516" t="n"/>
      <c r="D841" s="516" t="n"/>
      <c r="E841" s="516" t="n"/>
      <c r="F841" s="516" t="n"/>
      <c r="G841" s="516" t="n"/>
      <c r="H841" s="516" t="n"/>
    </row>
    <row r="842">
      <c r="A842" s="516" t="n"/>
      <c r="B842" s="516" t="n"/>
      <c r="C842" s="516" t="n"/>
      <c r="D842" s="516" t="n"/>
      <c r="E842" s="516" t="n"/>
      <c r="F842" s="516" t="n"/>
      <c r="G842" s="516" t="n"/>
      <c r="H842" s="516" t="n"/>
    </row>
    <row r="843">
      <c r="A843" s="516" t="n"/>
      <c r="B843" s="516" t="n"/>
      <c r="C843" s="516" t="n"/>
      <c r="D843" s="516" t="n"/>
      <c r="E843" s="516" t="n"/>
      <c r="F843" s="516" t="n"/>
      <c r="G843" s="516" t="n"/>
      <c r="H843" s="516" t="n"/>
    </row>
    <row r="844">
      <c r="A844" s="516" t="n"/>
      <c r="B844" s="516" t="n"/>
      <c r="C844" s="516" t="n"/>
      <c r="D844" s="516" t="n"/>
      <c r="E844" s="516" t="n"/>
      <c r="F844" s="516" t="n"/>
      <c r="G844" s="516" t="n"/>
      <c r="H844" s="516" t="n"/>
    </row>
    <row r="845">
      <c r="A845" s="516" t="n"/>
      <c r="B845" s="516" t="n"/>
      <c r="C845" s="516" t="n"/>
      <c r="D845" s="516" t="n"/>
      <c r="E845" s="516" t="n"/>
      <c r="F845" s="516" t="n"/>
      <c r="G845" s="516" t="n"/>
      <c r="H845" s="516" t="n"/>
    </row>
    <row r="846">
      <c r="A846" s="516" t="n"/>
      <c r="B846" s="516" t="n"/>
      <c r="C846" s="516" t="n"/>
      <c r="D846" s="516" t="n"/>
      <c r="E846" s="516" t="n"/>
      <c r="F846" s="516" t="n"/>
      <c r="G846" s="516" t="n"/>
      <c r="H846" s="516" t="n"/>
    </row>
    <row r="847">
      <c r="A847" s="516" t="n"/>
      <c r="B847" s="516" t="n"/>
      <c r="C847" s="516" t="n"/>
      <c r="D847" s="516" t="n"/>
      <c r="E847" s="516" t="n"/>
      <c r="F847" s="516" t="n"/>
      <c r="G847" s="516" t="n"/>
      <c r="H847" s="516" t="n"/>
    </row>
    <row r="848">
      <c r="A848" s="516" t="n"/>
      <c r="B848" s="516" t="n"/>
      <c r="C848" s="516" t="n"/>
      <c r="D848" s="516" t="n"/>
      <c r="E848" s="516" t="n"/>
      <c r="F848" s="516" t="n"/>
      <c r="G848" s="516" t="n"/>
      <c r="H848" s="516" t="n"/>
    </row>
    <row r="849">
      <c r="A849" s="516" t="n"/>
      <c r="B849" s="516" t="n"/>
      <c r="C849" s="516" t="n"/>
      <c r="D849" s="516" t="n"/>
      <c r="E849" s="516" t="n"/>
      <c r="F849" s="516" t="n"/>
      <c r="G849" s="516" t="n"/>
      <c r="H849" s="516" t="n"/>
    </row>
    <row r="850">
      <c r="A850" s="516" t="n"/>
      <c r="B850" s="516" t="n"/>
      <c r="C850" s="516" t="n"/>
      <c r="D850" s="516" t="n"/>
      <c r="E850" s="516" t="n"/>
      <c r="F850" s="516" t="n"/>
      <c r="G850" s="516" t="n"/>
      <c r="H850" s="516" t="n"/>
    </row>
    <row r="851">
      <c r="A851" s="516" t="n"/>
      <c r="B851" s="516" t="n"/>
      <c r="C851" s="516" t="n"/>
      <c r="D851" s="516" t="n"/>
      <c r="E851" s="516" t="n"/>
      <c r="F851" s="516" t="n"/>
      <c r="G851" s="516" t="n"/>
      <c r="H851" s="516" t="n"/>
    </row>
    <row r="852">
      <c r="A852" s="516" t="n"/>
      <c r="B852" s="516" t="n"/>
      <c r="C852" s="516" t="n"/>
      <c r="D852" s="516" t="n"/>
      <c r="E852" s="516" t="n"/>
      <c r="F852" s="516" t="n"/>
      <c r="G852" s="516" t="n"/>
      <c r="H852" s="516" t="n"/>
    </row>
    <row r="853">
      <c r="A853" s="516" t="n"/>
      <c r="B853" s="516" t="n"/>
      <c r="C853" s="516" t="n"/>
      <c r="D853" s="516" t="n"/>
      <c r="E853" s="516" t="n"/>
      <c r="F853" s="516" t="n"/>
      <c r="G853" s="516" t="n"/>
      <c r="H853" s="516" t="n"/>
    </row>
    <row r="854">
      <c r="A854" s="516" t="n"/>
      <c r="B854" s="516" t="n"/>
      <c r="C854" s="516" t="n"/>
      <c r="D854" s="516" t="n"/>
      <c r="E854" s="516" t="n"/>
      <c r="F854" s="516" t="n"/>
      <c r="G854" s="516" t="n"/>
      <c r="H854" s="516" t="n"/>
    </row>
    <row r="855">
      <c r="A855" s="516" t="n"/>
      <c r="B855" s="516" t="n"/>
      <c r="C855" s="516" t="n"/>
      <c r="D855" s="516" t="n"/>
      <c r="E855" s="516" t="n"/>
      <c r="F855" s="516" t="n"/>
      <c r="G855" s="516" t="n"/>
      <c r="H855" s="516" t="n"/>
    </row>
    <row r="856">
      <c r="A856" s="516" t="n"/>
      <c r="B856" s="516" t="n"/>
      <c r="C856" s="516" t="n"/>
      <c r="D856" s="516" t="n"/>
      <c r="E856" s="516" t="n"/>
      <c r="F856" s="516" t="n"/>
      <c r="G856" s="516" t="n"/>
      <c r="H856" s="516" t="n"/>
    </row>
    <row r="857">
      <c r="A857" s="516" t="n"/>
      <c r="B857" s="516" t="n"/>
      <c r="C857" s="516" t="n"/>
      <c r="D857" s="516" t="n"/>
      <c r="E857" s="516" t="n"/>
      <c r="F857" s="516" t="n"/>
      <c r="G857" s="516" t="n"/>
      <c r="H857" s="516" t="n"/>
    </row>
    <row r="858">
      <c r="A858" s="516" t="n"/>
      <c r="B858" s="516" t="n"/>
      <c r="C858" s="516" t="n"/>
      <c r="D858" s="516" t="n"/>
      <c r="E858" s="516" t="n"/>
      <c r="F858" s="516" t="n"/>
      <c r="G858" s="516" t="n"/>
      <c r="H858" s="516" t="n"/>
    </row>
    <row r="859">
      <c r="A859" s="516" t="n"/>
      <c r="B859" s="516" t="n"/>
      <c r="C859" s="516" t="n"/>
      <c r="D859" s="516" t="n"/>
      <c r="E859" s="516" t="n"/>
      <c r="F859" s="516" t="n"/>
      <c r="G859" s="516" t="n"/>
      <c r="H859" s="516" t="n"/>
    </row>
    <row r="860">
      <c r="A860" s="516" t="n"/>
      <c r="B860" s="516" t="n"/>
      <c r="C860" s="516" t="n"/>
      <c r="D860" s="516" t="n"/>
      <c r="E860" s="516" t="n"/>
      <c r="F860" s="516" t="n"/>
      <c r="G860" s="516" t="n"/>
      <c r="H860" s="516" t="n"/>
    </row>
    <row r="861">
      <c r="A861" s="516" t="n"/>
      <c r="B861" s="516" t="n"/>
      <c r="C861" s="516" t="n"/>
      <c r="D861" s="516" t="n"/>
      <c r="E861" s="516" t="n"/>
      <c r="F861" s="516" t="n"/>
      <c r="G861" s="516" t="n"/>
      <c r="H861" s="516" t="n"/>
    </row>
    <row r="862">
      <c r="A862" s="516" t="n"/>
      <c r="B862" s="516" t="n"/>
      <c r="C862" s="516" t="n"/>
      <c r="D862" s="516" t="n"/>
      <c r="E862" s="516" t="n"/>
      <c r="F862" s="516" t="n"/>
      <c r="G862" s="516" t="n"/>
      <c r="H862" s="516" t="n"/>
    </row>
    <row r="863">
      <c r="A863" s="516" t="n"/>
      <c r="B863" s="516" t="n"/>
      <c r="C863" s="516" t="n"/>
      <c r="D863" s="516" t="n"/>
      <c r="E863" s="516" t="n"/>
      <c r="F863" s="516" t="n"/>
      <c r="G863" s="516" t="n"/>
      <c r="H863" s="516" t="n"/>
    </row>
    <row r="864">
      <c r="A864" s="516" t="n"/>
      <c r="B864" s="516" t="n"/>
      <c r="C864" s="516" t="n"/>
      <c r="D864" s="516" t="n"/>
      <c r="E864" s="516" t="n"/>
      <c r="F864" s="516" t="n"/>
      <c r="G864" s="516" t="n"/>
      <c r="H864" s="516" t="n"/>
    </row>
    <row r="865">
      <c r="A865" s="516" t="n"/>
      <c r="B865" s="516" t="n"/>
      <c r="C865" s="516" t="n"/>
      <c r="D865" s="516" t="n"/>
      <c r="E865" s="516" t="n"/>
      <c r="F865" s="516" t="n"/>
      <c r="G865" s="516" t="n"/>
      <c r="H865" s="516" t="n"/>
    </row>
    <row r="866">
      <c r="A866" s="516" t="n"/>
      <c r="B866" s="516" t="n"/>
      <c r="C866" s="516" t="n"/>
      <c r="D866" s="516" t="n"/>
      <c r="E866" s="516" t="n"/>
      <c r="F866" s="516" t="n"/>
      <c r="G866" s="516" t="n"/>
      <c r="H866" s="516" t="n"/>
    </row>
    <row r="867">
      <c r="A867" s="516" t="n"/>
      <c r="B867" s="516" t="n"/>
      <c r="C867" s="516" t="n"/>
      <c r="D867" s="516" t="n"/>
      <c r="E867" s="516" t="n"/>
      <c r="F867" s="516" t="n"/>
      <c r="G867" s="516" t="n"/>
      <c r="H867" s="516" t="n"/>
    </row>
    <row r="868">
      <c r="A868" s="516" t="n"/>
      <c r="B868" s="516" t="n"/>
      <c r="C868" s="516" t="n"/>
      <c r="D868" s="516" t="n"/>
      <c r="E868" s="516" t="n"/>
      <c r="F868" s="516" t="n"/>
      <c r="G868" s="516" t="n"/>
      <c r="H868" s="516" t="n"/>
    </row>
    <row r="869">
      <c r="A869" s="516" t="n"/>
      <c r="B869" s="516" t="n"/>
      <c r="C869" s="516" t="n"/>
      <c r="D869" s="516" t="n"/>
      <c r="E869" s="516" t="n"/>
      <c r="F869" s="516" t="n"/>
      <c r="G869" s="516" t="n"/>
      <c r="H869" s="516" t="n"/>
    </row>
    <row r="870">
      <c r="A870" s="516" t="n"/>
      <c r="B870" s="516" t="n"/>
      <c r="C870" s="516" t="n"/>
      <c r="D870" s="516" t="n"/>
      <c r="E870" s="516" t="n"/>
      <c r="F870" s="516" t="n"/>
      <c r="G870" s="516" t="n"/>
      <c r="H870" s="516" t="n"/>
    </row>
    <row r="871">
      <c r="A871" s="516" t="n"/>
      <c r="B871" s="516" t="n"/>
      <c r="C871" s="516" t="n"/>
      <c r="D871" s="516" t="n"/>
      <c r="E871" s="516" t="n"/>
      <c r="F871" s="516" t="n"/>
      <c r="G871" s="516" t="n"/>
      <c r="H871" s="516" t="n"/>
    </row>
    <row r="872">
      <c r="A872" s="516" t="n"/>
      <c r="B872" s="516" t="n"/>
      <c r="C872" s="516" t="n"/>
      <c r="D872" s="516" t="n"/>
      <c r="E872" s="516" t="n"/>
      <c r="F872" s="516" t="n"/>
      <c r="G872" s="516" t="n"/>
      <c r="H872" s="516" t="n"/>
    </row>
    <row r="873">
      <c r="A873" s="516" t="n"/>
      <c r="B873" s="516" t="n"/>
      <c r="C873" s="516" t="n"/>
      <c r="D873" s="516" t="n"/>
      <c r="E873" s="516" t="n"/>
      <c r="F873" s="516" t="n"/>
      <c r="G873" s="516" t="n"/>
      <c r="H873" s="516" t="n"/>
    </row>
    <row r="874">
      <c r="A874" s="516" t="n"/>
      <c r="B874" s="516" t="n"/>
      <c r="C874" s="516" t="n"/>
      <c r="D874" s="516" t="n"/>
      <c r="E874" s="516" t="n"/>
      <c r="F874" s="516" t="n"/>
      <c r="G874" s="516" t="n"/>
      <c r="H874" s="516" t="n"/>
    </row>
    <row r="875">
      <c r="A875" s="516" t="n"/>
      <c r="B875" s="516" t="n"/>
      <c r="C875" s="516" t="n"/>
      <c r="D875" s="516" t="n"/>
      <c r="E875" s="516" t="n"/>
      <c r="F875" s="516" t="n"/>
      <c r="G875" s="516" t="n"/>
      <c r="H875" s="516" t="n"/>
    </row>
    <row r="876">
      <c r="A876" s="516" t="n"/>
      <c r="B876" s="516" t="n"/>
      <c r="C876" s="516" t="n"/>
      <c r="D876" s="516" t="n"/>
      <c r="E876" s="516" t="n"/>
      <c r="F876" s="516" t="n"/>
      <c r="G876" s="516" t="n"/>
      <c r="H876" s="516" t="n"/>
    </row>
    <row r="877">
      <c r="A877" s="516" t="n"/>
      <c r="B877" s="516" t="n"/>
      <c r="C877" s="516" t="n"/>
      <c r="D877" s="516" t="n"/>
      <c r="E877" s="516" t="n"/>
      <c r="F877" s="516" t="n"/>
      <c r="G877" s="516" t="n"/>
      <c r="H877" s="516" t="n"/>
    </row>
    <row r="878">
      <c r="A878" s="516" t="n"/>
      <c r="B878" s="516" t="n"/>
      <c r="C878" s="516" t="n"/>
      <c r="D878" s="516" t="n"/>
      <c r="E878" s="516" t="n"/>
      <c r="F878" s="516" t="n"/>
      <c r="G878" s="516" t="n"/>
      <c r="H878" s="516" t="n"/>
    </row>
    <row r="879">
      <c r="A879" s="516" t="n"/>
      <c r="B879" s="516" t="n"/>
      <c r="C879" s="516" t="n"/>
      <c r="D879" s="516" t="n"/>
      <c r="E879" s="516" t="n"/>
      <c r="F879" s="516" t="n"/>
      <c r="G879" s="516" t="n"/>
      <c r="H879" s="516" t="n"/>
    </row>
    <row r="880">
      <c r="A880" s="516" t="n"/>
      <c r="B880" s="516" t="n"/>
      <c r="C880" s="516" t="n"/>
      <c r="D880" s="516" t="n"/>
      <c r="E880" s="516" t="n"/>
      <c r="F880" s="516" t="n"/>
      <c r="G880" s="516" t="n"/>
      <c r="H880" s="516" t="n"/>
    </row>
    <row r="881">
      <c r="A881" s="516" t="n"/>
      <c r="B881" s="516" t="n"/>
      <c r="C881" s="516" t="n"/>
      <c r="D881" s="516" t="n"/>
      <c r="E881" s="516" t="n"/>
      <c r="F881" s="516" t="n"/>
      <c r="G881" s="516" t="n"/>
      <c r="H881" s="516" t="n"/>
    </row>
    <row r="882">
      <c r="A882" s="516" t="n"/>
      <c r="B882" s="516" t="n"/>
      <c r="C882" s="516" t="n"/>
      <c r="D882" s="516" t="n"/>
      <c r="E882" s="516" t="n"/>
      <c r="F882" s="516" t="n"/>
      <c r="G882" s="516" t="n"/>
      <c r="H882" s="516" t="n"/>
    </row>
    <row r="883">
      <c r="A883" s="516" t="n"/>
      <c r="B883" s="516" t="n"/>
      <c r="C883" s="516" t="n"/>
      <c r="D883" s="516" t="n"/>
      <c r="E883" s="516" t="n"/>
      <c r="F883" s="516" t="n"/>
      <c r="G883" s="516" t="n"/>
      <c r="H883" s="516" t="n"/>
    </row>
    <row r="884">
      <c r="A884" s="516" t="n"/>
      <c r="B884" s="516" t="n"/>
      <c r="C884" s="516" t="n"/>
      <c r="D884" s="516" t="n"/>
      <c r="E884" s="516" t="n"/>
      <c r="F884" s="516" t="n"/>
      <c r="G884" s="516" t="n"/>
      <c r="H884" s="516" t="n"/>
    </row>
    <row r="885">
      <c r="A885" s="516" t="n"/>
      <c r="B885" s="516" t="n"/>
      <c r="C885" s="516" t="n"/>
      <c r="D885" s="516" t="n"/>
      <c r="E885" s="516" t="n"/>
      <c r="F885" s="516" t="n"/>
      <c r="G885" s="516" t="n"/>
      <c r="H885" s="516" t="n"/>
    </row>
    <row r="886">
      <c r="A886" s="516" t="n"/>
      <c r="B886" s="516" t="n"/>
      <c r="C886" s="516" t="n"/>
      <c r="D886" s="516" t="n"/>
      <c r="E886" s="516" t="n"/>
      <c r="F886" s="516" t="n"/>
      <c r="G886" s="516" t="n"/>
      <c r="H886" s="516" t="n"/>
    </row>
    <row r="887">
      <c r="A887" s="516" t="n"/>
      <c r="B887" s="516" t="n"/>
      <c r="C887" s="516" t="n"/>
      <c r="D887" s="516" t="n"/>
      <c r="E887" s="516" t="n"/>
      <c r="F887" s="516" t="n"/>
      <c r="G887" s="516" t="n"/>
      <c r="H887" s="516" t="n"/>
    </row>
    <row r="888">
      <c r="A888" s="516" t="n"/>
      <c r="B888" s="516" t="n"/>
      <c r="C888" s="516" t="n"/>
      <c r="D888" s="516" t="n"/>
      <c r="E888" s="516" t="n"/>
      <c r="F888" s="516" t="n"/>
      <c r="G888" s="516" t="n"/>
      <c r="H888" s="516" t="n"/>
    </row>
    <row r="889">
      <c r="A889" s="516" t="n"/>
      <c r="B889" s="516" t="n"/>
      <c r="C889" s="516" t="n"/>
      <c r="D889" s="516" t="n"/>
      <c r="E889" s="516" t="n"/>
      <c r="F889" s="516" t="n"/>
      <c r="G889" s="516" t="n"/>
      <c r="H889" s="516" t="n"/>
    </row>
    <row r="890">
      <c r="A890" s="516" t="n"/>
      <c r="B890" s="516" t="n"/>
      <c r="C890" s="516" t="n"/>
      <c r="D890" s="516" t="n"/>
      <c r="E890" s="516" t="n"/>
      <c r="F890" s="516" t="n"/>
      <c r="G890" s="516" t="n"/>
      <c r="H890" s="516" t="n"/>
    </row>
    <row r="891">
      <c r="A891" s="516" t="n"/>
      <c r="B891" s="516" t="n"/>
      <c r="C891" s="516" t="n"/>
      <c r="D891" s="516" t="n"/>
      <c r="E891" s="516" t="n"/>
      <c r="F891" s="516" t="n"/>
      <c r="G891" s="516" t="n"/>
      <c r="H891" s="516" t="n"/>
    </row>
    <row r="892">
      <c r="A892" s="516" t="n"/>
      <c r="B892" s="516" t="n"/>
      <c r="C892" s="516" t="n"/>
      <c r="D892" s="516" t="n"/>
      <c r="E892" s="516" t="n"/>
      <c r="F892" s="516" t="n"/>
      <c r="G892" s="516" t="n"/>
      <c r="H892" s="516" t="n"/>
    </row>
    <row r="893">
      <c r="A893" s="516" t="n"/>
      <c r="B893" s="516" t="n"/>
      <c r="C893" s="516" t="n"/>
      <c r="D893" s="516" t="n"/>
      <c r="E893" s="516" t="n"/>
      <c r="F893" s="516" t="n"/>
      <c r="G893" s="516" t="n"/>
      <c r="H893" s="516" t="n"/>
    </row>
    <row r="894">
      <c r="A894" s="516" t="n"/>
      <c r="B894" s="516" t="n"/>
      <c r="C894" s="516" t="n"/>
      <c r="D894" s="516" t="n"/>
      <c r="E894" s="516" t="n"/>
      <c r="F894" s="516" t="n"/>
      <c r="G894" s="516" t="n"/>
      <c r="H894" s="516" t="n"/>
    </row>
    <row r="895">
      <c r="A895" s="516" t="n"/>
      <c r="B895" s="516" t="n"/>
      <c r="C895" s="516" t="n"/>
      <c r="D895" s="516" t="n"/>
      <c r="E895" s="516" t="n"/>
      <c r="F895" s="516" t="n"/>
      <c r="G895" s="516" t="n"/>
      <c r="H895" s="516" t="n"/>
    </row>
    <row r="896">
      <c r="A896" s="516" t="n"/>
      <c r="B896" s="516" t="n"/>
      <c r="C896" s="516" t="n"/>
      <c r="D896" s="516" t="n"/>
      <c r="E896" s="516" t="n"/>
      <c r="F896" s="516" t="n"/>
      <c r="G896" s="516" t="n"/>
      <c r="H896" s="516" t="n"/>
    </row>
    <row r="897">
      <c r="A897" s="516" t="n"/>
      <c r="B897" s="516" t="n"/>
      <c r="C897" s="516" t="n"/>
      <c r="D897" s="516" t="n"/>
      <c r="E897" s="516" t="n"/>
      <c r="F897" s="516" t="n"/>
      <c r="G897" s="516" t="n"/>
      <c r="H897" s="516" t="n"/>
    </row>
    <row r="898">
      <c r="A898" s="516" t="n"/>
      <c r="B898" s="516" t="n"/>
      <c r="C898" s="516" t="n"/>
      <c r="D898" s="516" t="n"/>
      <c r="E898" s="516" t="n"/>
      <c r="F898" s="516" t="n"/>
      <c r="G898" s="516" t="n"/>
      <c r="H898" s="516" t="n"/>
    </row>
    <row r="899">
      <c r="A899" s="516" t="n"/>
      <c r="B899" s="516" t="n"/>
      <c r="C899" s="516" t="n"/>
      <c r="D899" s="516" t="n"/>
      <c r="E899" s="516" t="n"/>
      <c r="F899" s="516" t="n"/>
      <c r="G899" s="516" t="n"/>
      <c r="H899" s="516" t="n"/>
    </row>
    <row r="900">
      <c r="A900" s="516" t="n"/>
      <c r="B900" s="516" t="n"/>
      <c r="C900" s="516" t="n"/>
      <c r="D900" s="516" t="n"/>
      <c r="E900" s="516" t="n"/>
      <c r="F900" s="516" t="n"/>
      <c r="G900" s="516" t="n"/>
      <c r="H900" s="516" t="n"/>
    </row>
    <row r="901">
      <c r="A901" s="516" t="n"/>
      <c r="B901" s="516" t="n"/>
      <c r="C901" s="516" t="n"/>
      <c r="D901" s="516" t="n"/>
      <c r="E901" s="516" t="n"/>
      <c r="F901" s="516" t="n"/>
      <c r="G901" s="516" t="n"/>
      <c r="H901" s="516" t="n"/>
    </row>
    <row r="902">
      <c r="A902" s="516" t="n"/>
      <c r="B902" s="516" t="n"/>
      <c r="C902" s="516" t="n"/>
      <c r="D902" s="516" t="n"/>
      <c r="E902" s="516" t="n"/>
      <c r="F902" s="516" t="n"/>
      <c r="G902" s="516" t="n"/>
      <c r="H902" s="516" t="n"/>
    </row>
    <row r="903">
      <c r="A903" s="516" t="n"/>
      <c r="B903" s="516" t="n"/>
      <c r="C903" s="516" t="n"/>
      <c r="D903" s="516" t="n"/>
      <c r="E903" s="516" t="n"/>
      <c r="F903" s="516" t="n"/>
      <c r="G903" s="516" t="n"/>
      <c r="H903" s="516" t="n"/>
    </row>
    <row r="904">
      <c r="A904" s="516" t="n"/>
      <c r="B904" s="516" t="n"/>
      <c r="C904" s="516" t="n"/>
      <c r="D904" s="516" t="n"/>
      <c r="E904" s="516" t="n"/>
      <c r="F904" s="516" t="n"/>
      <c r="G904" s="516" t="n"/>
      <c r="H904" s="516" t="n"/>
    </row>
    <row r="905">
      <c r="A905" s="516" t="n"/>
      <c r="B905" s="516" t="n"/>
      <c r="C905" s="516" t="n"/>
      <c r="D905" s="516" t="n"/>
      <c r="E905" s="516" t="n"/>
      <c r="F905" s="516" t="n"/>
      <c r="G905" s="516" t="n"/>
      <c r="H905" s="516" t="n"/>
    </row>
    <row r="906">
      <c r="A906" s="516" t="n"/>
      <c r="B906" s="516" t="n"/>
      <c r="C906" s="516" t="n"/>
      <c r="D906" s="516" t="n"/>
      <c r="E906" s="516" t="n"/>
      <c r="F906" s="516" t="n"/>
      <c r="G906" s="516" t="n"/>
      <c r="H906" s="516" t="n"/>
    </row>
    <row r="907">
      <c r="A907" s="516" t="n"/>
      <c r="B907" s="516" t="n"/>
      <c r="C907" s="516" t="n"/>
      <c r="D907" s="516" t="n"/>
      <c r="E907" s="516" t="n"/>
      <c r="F907" s="516" t="n"/>
      <c r="G907" s="516" t="n"/>
      <c r="H907" s="516" t="n"/>
    </row>
    <row r="908">
      <c r="A908" s="516" t="n"/>
      <c r="B908" s="516" t="n"/>
      <c r="C908" s="516" t="n"/>
      <c r="D908" s="516" t="n"/>
      <c r="E908" s="516" t="n"/>
      <c r="F908" s="516" t="n"/>
      <c r="G908" s="516" t="n"/>
      <c r="H908" s="516" t="n"/>
    </row>
    <row r="909">
      <c r="A909" s="516" t="n"/>
      <c r="B909" s="516" t="n"/>
      <c r="C909" s="516" t="n"/>
      <c r="D909" s="516" t="n"/>
      <c r="E909" s="516" t="n"/>
      <c r="F909" s="516" t="n"/>
      <c r="G909" s="516" t="n"/>
      <c r="H909" s="516" t="n"/>
    </row>
    <row r="910">
      <c r="A910" s="516" t="n"/>
      <c r="B910" s="516" t="n"/>
      <c r="C910" s="516" t="n"/>
      <c r="D910" s="516" t="n"/>
      <c r="E910" s="516" t="n"/>
      <c r="F910" s="516" t="n"/>
      <c r="G910" s="516" t="n"/>
      <c r="H910" s="516" t="n"/>
    </row>
    <row r="911">
      <c r="A911" s="516" t="n"/>
      <c r="B911" s="516" t="n"/>
      <c r="C911" s="516" t="n"/>
      <c r="D911" s="516" t="n"/>
      <c r="E911" s="516" t="n"/>
      <c r="F911" s="516" t="n"/>
      <c r="G911" s="516" t="n"/>
      <c r="H911" s="516" t="n"/>
    </row>
    <row r="912">
      <c r="A912" s="516" t="n"/>
      <c r="B912" s="516" t="n"/>
      <c r="C912" s="516" t="n"/>
      <c r="D912" s="516" t="n"/>
      <c r="E912" s="516" t="n"/>
      <c r="F912" s="516" t="n"/>
      <c r="G912" s="516" t="n"/>
      <c r="H912" s="516" t="n"/>
    </row>
    <row r="913">
      <c r="A913" s="516" t="n"/>
      <c r="B913" s="516" t="n"/>
      <c r="C913" s="516" t="n"/>
      <c r="D913" s="516" t="n"/>
      <c r="E913" s="516" t="n"/>
      <c r="F913" s="516" t="n"/>
      <c r="G913" s="516" t="n"/>
      <c r="H913" s="516" t="n"/>
    </row>
    <row r="914">
      <c r="A914" s="516" t="n"/>
      <c r="B914" s="516" t="n"/>
      <c r="C914" s="516" t="n"/>
      <c r="D914" s="516" t="n"/>
      <c r="E914" s="516" t="n"/>
      <c r="F914" s="516" t="n"/>
      <c r="G914" s="516" t="n"/>
      <c r="H914" s="516" t="n"/>
    </row>
    <row r="915">
      <c r="A915" s="516" t="n"/>
      <c r="B915" s="516" t="n"/>
      <c r="C915" s="516" t="n"/>
      <c r="D915" s="516" t="n"/>
      <c r="E915" s="516" t="n"/>
      <c r="F915" s="516" t="n"/>
      <c r="G915" s="516" t="n"/>
      <c r="H915" s="516" t="n"/>
    </row>
    <row r="916">
      <c r="A916" s="516" t="n"/>
      <c r="B916" s="516" t="n"/>
      <c r="C916" s="516" t="n"/>
      <c r="D916" s="516" t="n"/>
      <c r="E916" s="516" t="n"/>
      <c r="F916" s="516" t="n"/>
      <c r="G916" s="516" t="n"/>
      <c r="H916" s="516" t="n"/>
    </row>
    <row r="917">
      <c r="A917" s="516" t="n"/>
      <c r="B917" s="516" t="n"/>
      <c r="C917" s="516" t="n"/>
      <c r="D917" s="516" t="n"/>
      <c r="E917" s="516" t="n"/>
      <c r="F917" s="516" t="n"/>
      <c r="G917" s="516" t="n"/>
      <c r="H917" s="516" t="n"/>
    </row>
    <row r="918">
      <c r="A918" s="516" t="n"/>
      <c r="B918" s="516" t="n"/>
      <c r="C918" s="516" t="n"/>
      <c r="D918" s="516" t="n"/>
      <c r="E918" s="516" t="n"/>
      <c r="F918" s="516" t="n"/>
      <c r="G918" s="516" t="n"/>
      <c r="H918" s="516" t="n"/>
    </row>
    <row r="919">
      <c r="A919" s="516" t="n"/>
      <c r="B919" s="516" t="n"/>
      <c r="C919" s="516" t="n"/>
      <c r="D919" s="516" t="n"/>
      <c r="E919" s="516" t="n"/>
      <c r="F919" s="516" t="n"/>
      <c r="G919" s="516" t="n"/>
      <c r="H919" s="516" t="n"/>
    </row>
    <row r="920">
      <c r="A920" s="516" t="n"/>
      <c r="B920" s="516" t="n"/>
      <c r="C920" s="516" t="n"/>
      <c r="D920" s="516" t="n"/>
      <c r="E920" s="516" t="n"/>
      <c r="F920" s="516" t="n"/>
      <c r="G920" s="516" t="n"/>
      <c r="H920" s="516" t="n"/>
    </row>
    <row r="921">
      <c r="A921" s="516" t="n"/>
      <c r="B921" s="516" t="n"/>
      <c r="C921" s="516" t="n"/>
      <c r="D921" s="516" t="n"/>
      <c r="E921" s="516" t="n"/>
      <c r="F921" s="516" t="n"/>
      <c r="G921" s="516" t="n"/>
      <c r="H921" s="516" t="n"/>
    </row>
    <row r="922">
      <c r="A922" s="516" t="n"/>
      <c r="B922" s="516" t="n"/>
      <c r="C922" s="516" t="n"/>
      <c r="D922" s="516" t="n"/>
      <c r="E922" s="516" t="n"/>
      <c r="F922" s="516" t="n"/>
      <c r="G922" s="516" t="n"/>
      <c r="H922" s="516" t="n"/>
    </row>
    <row r="923">
      <c r="A923" s="516" t="n"/>
      <c r="B923" s="516" t="n"/>
      <c r="C923" s="516" t="n"/>
      <c r="D923" s="516" t="n"/>
      <c r="E923" s="516" t="n"/>
      <c r="F923" s="516" t="n"/>
      <c r="G923" s="516" t="n"/>
      <c r="H923" s="516" t="n"/>
    </row>
    <row r="924">
      <c r="A924" s="516" t="n"/>
      <c r="B924" s="516" t="n"/>
      <c r="C924" s="516" t="n"/>
      <c r="D924" s="516" t="n"/>
      <c r="E924" s="516" t="n"/>
      <c r="F924" s="516" t="n"/>
      <c r="G924" s="516" t="n"/>
      <c r="H924" s="516" t="n"/>
    </row>
    <row r="925">
      <c r="A925" s="516" t="n"/>
      <c r="B925" s="516" t="n"/>
      <c r="C925" s="516" t="n"/>
      <c r="D925" s="516" t="n"/>
      <c r="E925" s="516" t="n"/>
      <c r="F925" s="516" t="n"/>
      <c r="G925" s="516" t="n"/>
      <c r="H925" s="516" t="n"/>
    </row>
    <row r="926">
      <c r="A926" s="516" t="n"/>
      <c r="B926" s="516" t="n"/>
      <c r="C926" s="516" t="n"/>
      <c r="D926" s="516" t="n"/>
      <c r="E926" s="516" t="n"/>
      <c r="F926" s="516" t="n"/>
      <c r="G926" s="516" t="n"/>
      <c r="H926" s="516" t="n"/>
    </row>
    <row r="927">
      <c r="A927" s="516" t="n"/>
      <c r="B927" s="516" t="n"/>
      <c r="C927" s="516" t="n"/>
      <c r="D927" s="516" t="n"/>
      <c r="E927" s="516" t="n"/>
      <c r="F927" s="516" t="n"/>
      <c r="G927" s="516" t="n"/>
      <c r="H927" s="516" t="n"/>
    </row>
    <row r="928">
      <c r="A928" s="516" t="n"/>
      <c r="B928" s="516" t="n"/>
      <c r="C928" s="516" t="n"/>
      <c r="D928" s="516" t="n"/>
      <c r="E928" s="516" t="n"/>
      <c r="F928" s="516" t="n"/>
      <c r="G928" s="516" t="n"/>
      <c r="H928" s="516" t="n"/>
    </row>
    <row r="929">
      <c r="A929" s="516" t="n"/>
      <c r="B929" s="516" t="n"/>
      <c r="C929" s="516" t="n"/>
      <c r="D929" s="516" t="n"/>
      <c r="E929" s="516" t="n"/>
      <c r="F929" s="516" t="n"/>
      <c r="G929" s="516" t="n"/>
      <c r="H929" s="516" t="n"/>
    </row>
    <row r="930">
      <c r="A930" s="516" t="n"/>
      <c r="B930" s="516" t="n"/>
      <c r="C930" s="516" t="n"/>
      <c r="D930" s="516" t="n"/>
      <c r="E930" s="516" t="n"/>
      <c r="F930" s="516" t="n"/>
      <c r="G930" s="516" t="n"/>
      <c r="H930" s="516" t="n"/>
    </row>
    <row r="931">
      <c r="A931" s="516" t="n"/>
      <c r="B931" s="516" t="n"/>
      <c r="C931" s="516" t="n"/>
      <c r="D931" s="516" t="n"/>
      <c r="E931" s="516" t="n"/>
      <c r="F931" s="516" t="n"/>
      <c r="G931" s="516" t="n"/>
      <c r="H931" s="516" t="n"/>
    </row>
    <row r="932">
      <c r="A932" s="516" t="n"/>
      <c r="B932" s="516" t="n"/>
      <c r="C932" s="516" t="n"/>
      <c r="D932" s="516" t="n"/>
      <c r="E932" s="516" t="n"/>
      <c r="F932" s="516" t="n"/>
      <c r="G932" s="516" t="n"/>
      <c r="H932" s="516" t="n"/>
    </row>
    <row r="933">
      <c r="A933" s="516" t="n"/>
      <c r="B933" s="516" t="n"/>
      <c r="C933" s="516" t="n"/>
      <c r="D933" s="516" t="n"/>
      <c r="E933" s="516" t="n"/>
      <c r="F933" s="516" t="n"/>
      <c r="G933" s="516" t="n"/>
      <c r="H933" s="516" t="n"/>
    </row>
    <row r="934">
      <c r="A934" s="516" t="n"/>
      <c r="B934" s="516" t="n"/>
      <c r="C934" s="516" t="n"/>
      <c r="D934" s="516" t="n"/>
      <c r="E934" s="516" t="n"/>
      <c r="F934" s="516" t="n"/>
      <c r="G934" s="516" t="n"/>
      <c r="H934" s="516" t="n"/>
    </row>
    <row r="935">
      <c r="A935" s="516" t="n"/>
      <c r="B935" s="516" t="n"/>
      <c r="C935" s="516" t="n"/>
      <c r="D935" s="516" t="n"/>
      <c r="E935" s="516" t="n"/>
      <c r="F935" s="516" t="n"/>
      <c r="G935" s="516" t="n"/>
      <c r="H935" s="516" t="n"/>
    </row>
    <row r="936">
      <c r="A936" s="516" t="n"/>
      <c r="B936" s="516" t="n"/>
      <c r="C936" s="516" t="n"/>
      <c r="D936" s="516" t="n"/>
      <c r="E936" s="516" t="n"/>
      <c r="F936" s="516" t="n"/>
      <c r="G936" s="516" t="n"/>
      <c r="H936" s="516" t="n"/>
    </row>
    <row r="937">
      <c r="A937" s="516" t="n"/>
      <c r="B937" s="516" t="n"/>
      <c r="C937" s="516" t="n"/>
      <c r="D937" s="516" t="n"/>
      <c r="E937" s="516" t="n"/>
      <c r="F937" s="516" t="n"/>
      <c r="G937" s="516" t="n"/>
      <c r="H937" s="516" t="n"/>
    </row>
    <row r="938">
      <c r="A938" s="516" t="n"/>
      <c r="B938" s="516" t="n"/>
      <c r="C938" s="516" t="n"/>
      <c r="D938" s="516" t="n"/>
      <c r="E938" s="516" t="n"/>
      <c r="F938" s="516" t="n"/>
      <c r="G938" s="516" t="n"/>
      <c r="H938" s="516" t="n"/>
    </row>
    <row r="939">
      <c r="A939" s="516" t="n"/>
      <c r="B939" s="516" t="n"/>
      <c r="C939" s="516" t="n"/>
      <c r="D939" s="516" t="n"/>
      <c r="E939" s="516" t="n"/>
      <c r="F939" s="516" t="n"/>
      <c r="G939" s="516" t="n"/>
      <c r="H939" s="516" t="n"/>
    </row>
    <row r="940">
      <c r="A940" s="516" t="n"/>
      <c r="B940" s="516" t="n"/>
      <c r="C940" s="516" t="n"/>
      <c r="D940" s="516" t="n"/>
      <c r="E940" s="516" t="n"/>
      <c r="F940" s="516" t="n"/>
      <c r="G940" s="516" t="n"/>
      <c r="H940" s="516" t="n"/>
    </row>
    <row r="941">
      <c r="A941" s="516" t="n"/>
      <c r="B941" s="516" t="n"/>
      <c r="C941" s="516" t="n"/>
      <c r="D941" s="516" t="n"/>
      <c r="E941" s="516" t="n"/>
      <c r="F941" s="516" t="n"/>
      <c r="G941" s="516" t="n"/>
      <c r="H941" s="516" t="n"/>
    </row>
    <row r="942">
      <c r="A942" s="516" t="n"/>
      <c r="B942" s="516" t="n"/>
      <c r="C942" s="516" t="n"/>
      <c r="D942" s="516" t="n"/>
      <c r="E942" s="516" t="n"/>
      <c r="F942" s="516" t="n"/>
      <c r="G942" s="516" t="n"/>
      <c r="H942" s="516" t="n"/>
    </row>
    <row r="943">
      <c r="A943" s="516" t="n"/>
      <c r="B943" s="516" t="n"/>
      <c r="C943" s="516" t="n"/>
      <c r="D943" s="516" t="n"/>
      <c r="E943" s="516" t="n"/>
      <c r="F943" s="516" t="n"/>
      <c r="G943" s="516" t="n"/>
      <c r="H943" s="516" t="n"/>
    </row>
    <row r="944">
      <c r="A944" s="516" t="n"/>
      <c r="B944" s="516" t="n"/>
      <c r="C944" s="516" t="n"/>
      <c r="D944" s="516" t="n"/>
      <c r="E944" s="516" t="n"/>
      <c r="F944" s="516" t="n"/>
      <c r="G944" s="516" t="n"/>
      <c r="H944" s="516" t="n"/>
    </row>
    <row r="945">
      <c r="A945" s="516" t="n"/>
      <c r="B945" s="516" t="n"/>
      <c r="C945" s="516" t="n"/>
      <c r="D945" s="516" t="n"/>
      <c r="E945" s="516" t="n"/>
      <c r="F945" s="516" t="n"/>
      <c r="G945" s="516" t="n"/>
      <c r="H945" s="516" t="n"/>
    </row>
    <row r="946">
      <c r="A946" s="516" t="n"/>
      <c r="B946" s="516" t="n"/>
      <c r="C946" s="516" t="n"/>
      <c r="D946" s="516" t="n"/>
      <c r="E946" s="516" t="n"/>
      <c r="F946" s="516" t="n"/>
      <c r="G946" s="516" t="n"/>
      <c r="H946" s="516" t="n"/>
    </row>
    <row r="947">
      <c r="A947" s="516" t="n"/>
      <c r="B947" s="516" t="n"/>
      <c r="C947" s="516" t="n"/>
      <c r="D947" s="516" t="n"/>
      <c r="E947" s="516" t="n"/>
      <c r="F947" s="516" t="n"/>
      <c r="G947" s="516" t="n"/>
      <c r="H947" s="516" t="n"/>
    </row>
    <row r="948">
      <c r="A948" s="516" t="n"/>
      <c r="B948" s="516" t="n"/>
      <c r="C948" s="516" t="n"/>
      <c r="D948" s="516" t="n"/>
      <c r="E948" s="516" t="n"/>
      <c r="F948" s="516" t="n"/>
      <c r="G948" s="516" t="n"/>
      <c r="H948" s="516" t="n"/>
    </row>
    <row r="949">
      <c r="A949" s="516" t="n"/>
      <c r="B949" s="516" t="n"/>
      <c r="C949" s="516" t="n"/>
      <c r="D949" s="516" t="n"/>
      <c r="E949" s="516" t="n"/>
      <c r="F949" s="516" t="n"/>
      <c r="G949" s="516" t="n"/>
      <c r="H949" s="516" t="n"/>
    </row>
    <row r="950">
      <c r="A950" s="516" t="n"/>
      <c r="B950" s="516" t="n"/>
      <c r="C950" s="516" t="n"/>
      <c r="D950" s="516" t="n"/>
      <c r="E950" s="516" t="n"/>
      <c r="F950" s="516" t="n"/>
      <c r="G950" s="516" t="n"/>
      <c r="H950" s="516" t="n"/>
    </row>
    <row r="951">
      <c r="A951" s="516" t="n"/>
      <c r="B951" s="516" t="n"/>
      <c r="C951" s="516" t="n"/>
      <c r="D951" s="516" t="n"/>
      <c r="E951" s="516" t="n"/>
      <c r="F951" s="516" t="n"/>
      <c r="G951" s="516" t="n"/>
      <c r="H951" s="516" t="n"/>
    </row>
    <row r="952">
      <c r="A952" s="516" t="n"/>
      <c r="B952" s="516" t="n"/>
      <c r="C952" s="516" t="n"/>
      <c r="D952" s="516" t="n"/>
      <c r="E952" s="516" t="n"/>
      <c r="F952" s="516" t="n"/>
      <c r="G952" s="516" t="n"/>
      <c r="H952" s="516" t="n"/>
    </row>
    <row r="953">
      <c r="A953" s="516" t="n"/>
      <c r="B953" s="516" t="n"/>
      <c r="C953" s="516" t="n"/>
      <c r="D953" s="516" t="n"/>
      <c r="E953" s="516" t="n"/>
      <c r="F953" s="516" t="n"/>
      <c r="G953" s="516" t="n"/>
      <c r="H953" s="516" t="n"/>
    </row>
    <row r="954">
      <c r="A954" s="516" t="n"/>
      <c r="B954" s="516" t="n"/>
      <c r="C954" s="516" t="n"/>
      <c r="D954" s="516" t="n"/>
      <c r="E954" s="516" t="n"/>
      <c r="F954" s="516" t="n"/>
      <c r="G954" s="516" t="n"/>
      <c r="H954" s="516" t="n"/>
    </row>
    <row r="955">
      <c r="A955" s="516" t="n"/>
      <c r="B955" s="516" t="n"/>
      <c r="C955" s="516" t="n"/>
      <c r="D955" s="516" t="n"/>
      <c r="E955" s="516" t="n"/>
      <c r="F955" s="516" t="n"/>
      <c r="G955" s="516" t="n"/>
      <c r="H955" s="516" t="n"/>
    </row>
    <row r="956">
      <c r="A956" s="516" t="n"/>
      <c r="B956" s="516" t="n"/>
      <c r="C956" s="516" t="n"/>
      <c r="D956" s="516" t="n"/>
      <c r="E956" s="516" t="n"/>
      <c r="F956" s="516" t="n"/>
      <c r="G956" s="516" t="n"/>
      <c r="H956" s="516" t="n"/>
    </row>
    <row r="957">
      <c r="A957" s="516" t="n"/>
      <c r="B957" s="516" t="n"/>
      <c r="C957" s="516" t="n"/>
      <c r="D957" s="516" t="n"/>
      <c r="E957" s="516" t="n"/>
      <c r="F957" s="516" t="n"/>
      <c r="G957" s="516" t="n"/>
      <c r="H957" s="516" t="n"/>
    </row>
    <row r="958">
      <c r="A958" s="516" t="n"/>
      <c r="B958" s="516" t="n"/>
      <c r="C958" s="516" t="n"/>
      <c r="D958" s="516" t="n"/>
      <c r="E958" s="516" t="n"/>
      <c r="F958" s="516" t="n"/>
      <c r="G958" s="516" t="n"/>
      <c r="H958" s="516" t="n"/>
    </row>
    <row r="959">
      <c r="A959" s="516" t="n"/>
      <c r="B959" s="516" t="n"/>
      <c r="C959" s="516" t="n"/>
      <c r="D959" s="516" t="n"/>
      <c r="E959" s="516" t="n"/>
      <c r="F959" s="516" t="n"/>
      <c r="G959" s="516" t="n"/>
      <c r="H959" s="516" t="n"/>
    </row>
    <row r="960">
      <c r="A960" s="516" t="n"/>
      <c r="B960" s="516" t="n"/>
      <c r="C960" s="516" t="n"/>
      <c r="D960" s="516" t="n"/>
      <c r="E960" s="516" t="n"/>
      <c r="F960" s="516" t="n"/>
      <c r="G960" s="516" t="n"/>
      <c r="H960" s="516" t="n"/>
    </row>
    <row r="961">
      <c r="A961" s="516" t="n"/>
      <c r="B961" s="516" t="n"/>
      <c r="C961" s="516" t="n"/>
      <c r="D961" s="516" t="n"/>
      <c r="E961" s="516" t="n"/>
      <c r="F961" s="516" t="n"/>
      <c r="G961" s="516" t="n"/>
      <c r="H961" s="516" t="n"/>
    </row>
    <row r="962">
      <c r="A962" s="516" t="n"/>
      <c r="B962" s="516" t="n"/>
      <c r="C962" s="516" t="n"/>
      <c r="D962" s="516" t="n"/>
      <c r="E962" s="516" t="n"/>
      <c r="F962" s="516" t="n"/>
      <c r="G962" s="516" t="n"/>
      <c r="H962" s="516" t="n"/>
    </row>
    <row r="963">
      <c r="A963" s="516" t="n"/>
      <c r="B963" s="516" t="n"/>
      <c r="C963" s="516" t="n"/>
      <c r="D963" s="516" t="n"/>
      <c r="E963" s="516" t="n"/>
      <c r="F963" s="516" t="n"/>
      <c r="G963" s="516" t="n"/>
      <c r="H963" s="516" t="n"/>
    </row>
    <row r="964">
      <c r="A964" s="516" t="n"/>
      <c r="B964" s="516" t="n"/>
      <c r="C964" s="516" t="n"/>
      <c r="D964" s="516" t="n"/>
      <c r="E964" s="516" t="n"/>
      <c r="F964" s="516" t="n"/>
      <c r="G964" s="516" t="n"/>
      <c r="H964" s="516" t="n"/>
    </row>
    <row r="965">
      <c r="A965" s="516" t="n"/>
      <c r="B965" s="516" t="n"/>
      <c r="C965" s="516" t="n"/>
      <c r="D965" s="516" t="n"/>
      <c r="E965" s="516" t="n"/>
      <c r="F965" s="516" t="n"/>
      <c r="G965" s="516" t="n"/>
      <c r="H965" s="516" t="n"/>
    </row>
    <row r="966">
      <c r="A966" s="516" t="n"/>
      <c r="B966" s="516" t="n"/>
      <c r="C966" s="516" t="n"/>
      <c r="D966" s="516" t="n"/>
      <c r="E966" s="516" t="n"/>
      <c r="F966" s="516" t="n"/>
      <c r="G966" s="516" t="n"/>
      <c r="H966" s="516" t="n"/>
    </row>
    <row r="967">
      <c r="A967" s="516" t="n"/>
      <c r="B967" s="516" t="n"/>
      <c r="C967" s="516" t="n"/>
      <c r="D967" s="516" t="n"/>
      <c r="E967" s="516" t="n"/>
      <c r="F967" s="516" t="n"/>
      <c r="G967" s="516" t="n"/>
      <c r="H967" s="516" t="n"/>
    </row>
    <row r="968">
      <c r="A968" s="516" t="n"/>
      <c r="B968" s="516" t="n"/>
      <c r="C968" s="516" t="n"/>
      <c r="D968" s="516" t="n"/>
      <c r="E968" s="516" t="n"/>
      <c r="F968" s="516" t="n"/>
      <c r="G968" s="516" t="n"/>
      <c r="H968" s="516" t="n"/>
    </row>
    <row r="969">
      <c r="A969" s="516" t="n"/>
      <c r="B969" s="516" t="n"/>
      <c r="C969" s="516" t="n"/>
      <c r="D969" s="516" t="n"/>
      <c r="E969" s="516" t="n"/>
      <c r="F969" s="516" t="n"/>
      <c r="G969" s="516" t="n"/>
      <c r="H969" s="516" t="n"/>
    </row>
    <row r="970">
      <c r="A970" s="516" t="n"/>
      <c r="B970" s="516" t="n"/>
      <c r="C970" s="516" t="n"/>
      <c r="D970" s="516" t="n"/>
      <c r="E970" s="516" t="n"/>
      <c r="F970" s="516" t="n"/>
      <c r="G970" s="516" t="n"/>
      <c r="H970" s="516" t="n"/>
    </row>
    <row r="971">
      <c r="A971" s="516" t="n"/>
      <c r="B971" s="516" t="n"/>
      <c r="C971" s="516" t="n"/>
      <c r="D971" s="516" t="n"/>
      <c r="E971" s="516" t="n"/>
      <c r="F971" s="516" t="n"/>
      <c r="G971" s="516" t="n"/>
      <c r="H971" s="516" t="n"/>
    </row>
    <row r="972">
      <c r="A972" s="516" t="n"/>
      <c r="B972" s="516" t="n"/>
      <c r="C972" s="516" t="n"/>
      <c r="D972" s="516" t="n"/>
      <c r="E972" s="516" t="n"/>
      <c r="F972" s="516" t="n"/>
      <c r="G972" s="516" t="n"/>
      <c r="H972" s="516" t="n"/>
    </row>
    <row r="973">
      <c r="A973" s="516" t="n"/>
      <c r="B973" s="516" t="n"/>
      <c r="C973" s="516" t="n"/>
      <c r="D973" s="516" t="n"/>
      <c r="E973" s="516" t="n"/>
      <c r="F973" s="516" t="n"/>
      <c r="G973" s="516" t="n"/>
      <c r="H973" s="516" t="n"/>
    </row>
    <row r="974">
      <c r="A974" s="516" t="n"/>
      <c r="B974" s="516" t="n"/>
      <c r="C974" s="516" t="n"/>
      <c r="D974" s="516" t="n"/>
      <c r="E974" s="516" t="n"/>
      <c r="F974" s="516" t="n"/>
      <c r="G974" s="516" t="n"/>
      <c r="H974" s="516" t="n"/>
    </row>
    <row r="975">
      <c r="A975" s="516" t="n"/>
      <c r="B975" s="516" t="n"/>
      <c r="C975" s="516" t="n"/>
      <c r="D975" s="516" t="n"/>
      <c r="E975" s="516" t="n"/>
      <c r="F975" s="516" t="n"/>
      <c r="G975" s="516" t="n"/>
      <c r="H975" s="516" t="n"/>
    </row>
    <row r="976">
      <c r="A976" s="516" t="n"/>
      <c r="B976" s="516" t="n"/>
      <c r="C976" s="516" t="n"/>
      <c r="D976" s="516" t="n"/>
      <c r="E976" s="516" t="n"/>
      <c r="F976" s="516" t="n"/>
      <c r="G976" s="516" t="n"/>
      <c r="H976" s="516" t="n"/>
    </row>
    <row r="977">
      <c r="A977" s="516" t="n"/>
      <c r="B977" s="516" t="n"/>
      <c r="C977" s="516" t="n"/>
      <c r="D977" s="516" t="n"/>
      <c r="E977" s="516" t="n"/>
      <c r="F977" s="516" t="n"/>
      <c r="G977" s="516" t="n"/>
      <c r="H977" s="516" t="n"/>
    </row>
    <row r="978">
      <c r="A978" s="516" t="n"/>
      <c r="B978" s="516" t="n"/>
      <c r="C978" s="516" t="n"/>
      <c r="D978" s="516" t="n"/>
      <c r="E978" s="516" t="n"/>
      <c r="F978" s="516" t="n"/>
      <c r="G978" s="516" t="n"/>
      <c r="H978" s="516" t="n"/>
    </row>
    <row r="979">
      <c r="A979" s="516" t="n"/>
      <c r="B979" s="516" t="n"/>
      <c r="C979" s="516" t="n"/>
      <c r="D979" s="516" t="n"/>
      <c r="E979" s="516" t="n"/>
      <c r="F979" s="516" t="n"/>
      <c r="G979" s="516" t="n"/>
      <c r="H979" s="516" t="n"/>
    </row>
    <row r="980">
      <c r="A980" s="516" t="n"/>
      <c r="B980" s="516" t="n"/>
      <c r="C980" s="516" t="n"/>
      <c r="D980" s="516" t="n"/>
      <c r="E980" s="516" t="n"/>
      <c r="F980" s="516" t="n"/>
      <c r="G980" s="516" t="n"/>
      <c r="H980" s="516" t="n"/>
    </row>
    <row r="981">
      <c r="A981" s="516" t="n"/>
      <c r="B981" s="516" t="n"/>
      <c r="C981" s="516" t="n"/>
      <c r="D981" s="516" t="n"/>
      <c r="E981" s="516" t="n"/>
      <c r="F981" s="516" t="n"/>
      <c r="G981" s="516" t="n"/>
      <c r="H981" s="516" t="n"/>
    </row>
    <row r="982">
      <c r="A982" s="516" t="n"/>
      <c r="B982" s="516" t="n"/>
      <c r="C982" s="516" t="n"/>
      <c r="D982" s="516" t="n"/>
      <c r="E982" s="516" t="n"/>
      <c r="F982" s="516" t="n"/>
      <c r="G982" s="516" t="n"/>
      <c r="H982" s="516" t="n"/>
    </row>
    <row r="983">
      <c r="A983" s="516" t="n"/>
      <c r="B983" s="516" t="n"/>
      <c r="C983" s="516" t="n"/>
      <c r="D983" s="516" t="n"/>
      <c r="E983" s="516" t="n"/>
      <c r="F983" s="516" t="n"/>
      <c r="G983" s="516" t="n"/>
      <c r="H983" s="516" t="n"/>
    </row>
    <row r="984">
      <c r="A984" s="516" t="n"/>
      <c r="B984" s="516" t="n"/>
      <c r="C984" s="516" t="n"/>
      <c r="D984" s="516" t="n"/>
      <c r="E984" s="516" t="n"/>
      <c r="F984" s="516" t="n"/>
      <c r="G984" s="516" t="n"/>
      <c r="H984" s="516" t="n"/>
    </row>
    <row r="985">
      <c r="A985" s="516" t="n"/>
      <c r="B985" s="516" t="n"/>
      <c r="C985" s="516" t="n"/>
      <c r="D985" s="516" t="n"/>
      <c r="E985" s="516" t="n"/>
      <c r="F985" s="516" t="n"/>
      <c r="G985" s="516" t="n"/>
      <c r="H985" s="516" t="n"/>
    </row>
    <row r="986">
      <c r="A986" s="516" t="n"/>
      <c r="B986" s="516" t="n"/>
      <c r="C986" s="516" t="n"/>
      <c r="D986" s="516" t="n"/>
      <c r="E986" s="516" t="n"/>
      <c r="F986" s="516" t="n"/>
      <c r="G986" s="516" t="n"/>
      <c r="H986" s="516" t="n"/>
    </row>
    <row r="987">
      <c r="A987" s="516" t="n"/>
      <c r="B987" s="516" t="n"/>
      <c r="C987" s="516" t="n"/>
      <c r="D987" s="516" t="n"/>
      <c r="E987" s="516" t="n"/>
      <c r="F987" s="516" t="n"/>
      <c r="G987" s="516" t="n"/>
      <c r="H987" s="516" t="n"/>
    </row>
    <row r="988">
      <c r="A988" s="516" t="n"/>
      <c r="B988" s="516" t="n"/>
      <c r="C988" s="516" t="n"/>
      <c r="D988" s="516" t="n"/>
      <c r="E988" s="516" t="n"/>
      <c r="F988" s="516" t="n"/>
      <c r="G988" s="516" t="n"/>
      <c r="H988" s="516" t="n"/>
    </row>
    <row r="989">
      <c r="A989" s="516" t="n"/>
      <c r="B989" s="516" t="n"/>
      <c r="C989" s="516" t="n"/>
      <c r="D989" s="516" t="n"/>
      <c r="E989" s="516" t="n"/>
      <c r="F989" s="516" t="n"/>
      <c r="G989" s="516" t="n"/>
      <c r="H989" s="516" t="n"/>
    </row>
    <row r="990">
      <c r="A990" s="516" t="n"/>
      <c r="B990" s="516" t="n"/>
      <c r="C990" s="516" t="n"/>
      <c r="D990" s="516" t="n"/>
      <c r="E990" s="516" t="n"/>
      <c r="F990" s="516" t="n"/>
      <c r="G990" s="516" t="n"/>
      <c r="H990" s="516" t="n"/>
    </row>
    <row r="991">
      <c r="A991" s="516" t="n"/>
      <c r="B991" s="516" t="n"/>
      <c r="C991" s="516" t="n"/>
      <c r="D991" s="516" t="n"/>
      <c r="E991" s="516" t="n"/>
      <c r="F991" s="516" t="n"/>
      <c r="G991" s="516" t="n"/>
      <c r="H991" s="516" t="n"/>
    </row>
    <row r="992">
      <c r="A992" s="516" t="n"/>
      <c r="B992" s="516" t="n"/>
      <c r="C992" s="516" t="n"/>
      <c r="D992" s="516" t="n"/>
      <c r="E992" s="516" t="n"/>
      <c r="F992" s="516" t="n"/>
      <c r="G992" s="516" t="n"/>
      <c r="H992" s="516" t="n"/>
    </row>
    <row r="993">
      <c r="A993" s="516" t="n"/>
      <c r="B993" s="516" t="n"/>
      <c r="C993" s="516" t="n"/>
      <c r="D993" s="516" t="n"/>
      <c r="E993" s="516" t="n"/>
      <c r="F993" s="516" t="n"/>
      <c r="G993" s="516" t="n"/>
      <c r="H993" s="516" t="n"/>
    </row>
    <row r="994">
      <c r="A994" s="516" t="n"/>
      <c r="B994" s="516" t="n"/>
      <c r="C994" s="516" t="n"/>
      <c r="D994" s="516" t="n"/>
      <c r="E994" s="516" t="n"/>
      <c r="F994" s="516" t="n"/>
      <c r="G994" s="516" t="n"/>
      <c r="H994" s="516" t="n"/>
    </row>
    <row r="995">
      <c r="A995" s="516" t="n"/>
      <c r="B995" s="516" t="n"/>
      <c r="C995" s="516" t="n"/>
      <c r="D995" s="516" t="n"/>
      <c r="E995" s="516" t="n"/>
      <c r="F995" s="516" t="n"/>
      <c r="G995" s="516" t="n"/>
      <c r="H995" s="516" t="n"/>
    </row>
    <row r="996">
      <c r="A996" s="516" t="n"/>
      <c r="B996" s="516" t="n"/>
      <c r="C996" s="516" t="n"/>
      <c r="D996" s="516" t="n"/>
      <c r="E996" s="516" t="n"/>
      <c r="F996" s="516" t="n"/>
      <c r="G996" s="516" t="n"/>
      <c r="H996" s="516" t="n"/>
    </row>
    <row r="997">
      <c r="A997" s="516" t="n"/>
      <c r="B997" s="516" t="n"/>
      <c r="C997" s="516" t="n"/>
      <c r="D997" s="516" t="n"/>
      <c r="E997" s="516" t="n"/>
      <c r="F997" s="516" t="n"/>
      <c r="G997" s="516" t="n"/>
      <c r="H997" s="516" t="n"/>
    </row>
    <row r="998">
      <c r="A998" s="516" t="n"/>
      <c r="B998" s="516" t="n"/>
      <c r="C998" s="516" t="n"/>
      <c r="D998" s="516" t="n"/>
      <c r="E998" s="516" t="n"/>
      <c r="F998" s="516" t="n"/>
      <c r="G998" s="516" t="n"/>
      <c r="H998" s="516" t="n"/>
    </row>
    <row r="999">
      <c r="A999" s="516" t="n"/>
      <c r="B999" s="516" t="n"/>
      <c r="C999" s="516" t="n"/>
      <c r="D999" s="516" t="n"/>
      <c r="E999" s="516" t="n"/>
      <c r="F999" s="516" t="n"/>
      <c r="G999" s="516" t="n"/>
      <c r="H999" s="516" t="n"/>
    </row>
    <row r="1000">
      <c r="A1000" s="516" t="n"/>
      <c r="B1000" s="516" t="n"/>
      <c r="C1000" s="516" t="n"/>
      <c r="D1000" s="516" t="n"/>
      <c r="E1000" s="516" t="n"/>
      <c r="F1000" s="516" t="n"/>
      <c r="G1000" s="516" t="n"/>
      <c r="H1000" s="516" t="n"/>
    </row>
    <row r="1001">
      <c r="A1001" s="516" t="n"/>
      <c r="B1001" s="516" t="n"/>
      <c r="C1001" s="516" t="n"/>
      <c r="D1001" s="516" t="n"/>
      <c r="E1001" s="516" t="n"/>
      <c r="F1001" s="516" t="n"/>
      <c r="G1001" s="516" t="n"/>
      <c r="H1001" s="516"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3"/>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 defaultRowHeight="15.75" customHeight="1"/>
  <cols>
    <col width="19.63" customWidth="1" style="695" min="1" max="1"/>
    <col width="13.5" customWidth="1" style="695" min="2" max="2"/>
    <col width="9.5" customWidth="1" style="695" min="3" max="3"/>
    <col width="21.38" customWidth="1" style="695" min="4" max="4"/>
    <col width="14.25" customWidth="1" style="695" min="11" max="11"/>
    <col hidden="1" width="12.63" customWidth="1" style="695" min="13" max="13"/>
    <col width="15" customWidth="1" style="695" min="16" max="16"/>
    <col width="14.5" customWidth="1" style="695" min="23" max="23"/>
  </cols>
  <sheetData>
    <row r="1" ht="50.25" customHeight="1" s="695">
      <c r="A1" s="1" t="inlineStr">
        <is>
          <t>Noms anciens</t>
        </is>
      </c>
      <c r="B1" s="1" t="inlineStr">
        <is>
          <t>Numérotation des paires LFF / LFF Pair numbering</t>
        </is>
      </c>
      <c r="C1" s="2" t="inlineStr">
        <is>
          <t># d'ecole/ School identification #</t>
        </is>
      </c>
      <c r="D1" s="1" t="inlineStr">
        <is>
          <t>Ecole/ School name</t>
        </is>
      </c>
      <c r="E1" s="1" t="inlineStr">
        <is>
          <t>Commune</t>
        </is>
      </c>
      <c r="F1" s="1" t="inlineStr">
        <is>
          <t>Contrôle ou intervention ?</t>
        </is>
      </c>
      <c r="G1" s="1" t="inlineStr">
        <is>
          <t xml:space="preserve"> Début de l'année scolaire des écoles Hilin Mu et écoles contrôles</t>
        </is>
      </c>
      <c r="H1" s="1" t="inlineStr">
        <is>
          <t>Année évaluée / (il doit y avoir une école témoin également évaluée cette année)</t>
        </is>
      </c>
      <c r="I1" s="2" t="inlineStr">
        <is>
          <t>Nombre d'années du programme Hilin Mu à l'école (CM1 et/ou CM2) / commes ecoles controles</t>
        </is>
      </c>
      <c r="J1" s="1" t="inlineStr">
        <is>
          <t>Nombre de groupes Hilin Mu (espaces surs) de CM2 dans l'année précédant l'évaluation</t>
        </is>
      </c>
      <c r="K1" s="1" t="inlineStr">
        <is>
          <t>Nombre d'élèves de CM2 à Hilin Mu (pendant le CM2) au cours de l'année précédante l'évaluation (y compris les abandons ultérieurs)</t>
        </is>
      </c>
      <c r="L1" s="1" t="inlineStr">
        <is>
          <t>Avoir 1 ou 2 années complètes de participation au groupe Hilin Mu à la fin du CM2 ?</t>
        </is>
      </c>
      <c r="M1" s="3" t="inlineStr">
        <is>
          <t>[ignore]</t>
        </is>
      </c>
      <c r="N1" s="1" t="inlineStr">
        <is>
          <t>TAUX D'ABANDON Pourcentage de filles ayant abandonné l'école primaire pendant ou après la 5e année/CM2 (taux d'abandon)</t>
        </is>
      </c>
      <c r="O1" s="1" t="inlineStr">
        <is>
          <t>TAUX DE REUSSITE Pourcentage de filles réussissant l'examen secondaire (note de 5 ou plus)</t>
        </is>
      </c>
      <c r="P1" s="1" t="inlineStr">
        <is>
          <t>TAUX D'INSCRIPTION Pourcentage de filles inscrites au secondaire + présence en classe l'année d'évaluation</t>
        </is>
      </c>
      <c r="Q1" s="1" t="inlineStr">
        <is>
          <t>math_score_baseline</t>
        </is>
      </c>
      <c r="R1" s="1" t="inlineStr">
        <is>
          <t>math_score_endline</t>
        </is>
      </c>
      <c r="S1" s="1" t="inlineStr">
        <is>
          <t>french_score_baseline</t>
        </is>
      </c>
      <c r="T1" s="1" t="inlineStr">
        <is>
          <t>french_score_endline</t>
        </is>
      </c>
      <c r="U1" s="1" t="inlineStr">
        <is>
          <t>Dif. Pré-Post-Test Maths Amélioration des mathématiques (différence entre pré-test et post-test LFF pour le CM2)</t>
        </is>
      </c>
      <c r="V1" s="1" t="inlineStr">
        <is>
          <t>Dif. Pré-Post-Test Francais Amélioration du français (différence entre le pré-test LFF CM2 et le post-test CM2)</t>
        </is>
      </c>
      <c r="W1" s="1" t="inlineStr">
        <is>
          <t>Moyen (différence entre le pré-test et le post-test LFF pour le CM2)</t>
        </is>
      </c>
      <c r="X1" s="1" t="inlineStr">
        <is>
          <t>Presence de programme Hasken Mata (No. d'ans)</t>
        </is>
      </c>
    </row>
    <row r="2">
      <c r="A2" s="338" t="n"/>
      <c r="B2" s="6" t="n"/>
      <c r="C2" s="7" t="n"/>
      <c r="D2" s="7" t="n"/>
      <c r="E2" s="338" t="n"/>
      <c r="F2" s="338" t="n"/>
      <c r="G2" s="8" t="n"/>
      <c r="H2" s="102" t="n"/>
      <c r="I2" s="381" t="n"/>
      <c r="J2" s="381" t="n"/>
      <c r="K2" s="338" t="n"/>
      <c r="L2" s="11" t="n"/>
      <c r="M2" s="12" t="n"/>
      <c r="N2" s="13" t="n"/>
      <c r="O2" s="13" t="n"/>
      <c r="P2" s="13" t="n"/>
      <c r="Q2" s="14" t="n"/>
      <c r="R2" s="14" t="n"/>
      <c r="S2" s="14" t="n"/>
      <c r="T2" s="14" t="n"/>
      <c r="U2" s="14" t="n"/>
      <c r="V2" s="14" t="n"/>
      <c r="W2" s="14" t="n"/>
    </row>
    <row r="3">
      <c r="A3" s="15" t="inlineStr">
        <is>
          <t>old names</t>
        </is>
      </c>
      <c r="B3" s="15" t="inlineStr">
        <is>
          <t>Pair number</t>
        </is>
      </c>
      <c r="C3" s="15" t="n"/>
      <c r="D3" s="15" t="inlineStr">
        <is>
          <t>School number / identifier</t>
        </is>
      </c>
      <c r="E3" s="15" t="n"/>
      <c r="F3" s="15" t="inlineStr">
        <is>
          <t>Control or intervention?</t>
        </is>
      </c>
      <c r="G3" s="15" t="inlineStr">
        <is>
          <t>Year school started Hilin Mu (enter "NA" for control schools)</t>
        </is>
      </c>
      <c r="H3" s="15" t="inlineStr">
        <is>
          <t>Year evaluated (there must be a control school also evaluated this year)</t>
        </is>
      </c>
      <c r="I3" s="15" t="n"/>
      <c r="J3" s="15" t="inlineStr">
        <is>
          <t>Number of Hilin Mu groups for year 6 students in the prior year</t>
        </is>
      </c>
      <c r="K3" s="16" t="inlineStr">
        <is>
          <t>1. Year Prior? 2. Total Stud or Total Girl Stu?</t>
        </is>
      </c>
      <c r="L3" s="15" t="n"/>
      <c r="M3" s="15" t="inlineStr">
        <is>
          <t>Percent of girls enrolled in secondary school</t>
        </is>
      </c>
      <c r="N3" s="15" t="inlineStr">
        <is>
          <t>Percent of girls who dropped out of primary school (dropout rate)</t>
        </is>
      </c>
      <c r="O3" s="15" t="inlineStr">
        <is>
          <t>Percent of girls passing secondary exam</t>
        </is>
      </c>
      <c r="P3" s="15" t="inlineStr">
        <is>
          <t>Percent of girls in enrolled in secondary school + presence in class</t>
        </is>
      </c>
      <c r="Q3" s="17" t="n"/>
      <c r="R3" s="17" t="n"/>
      <c r="S3" s="17" t="n"/>
      <c r="T3" s="17" t="n"/>
      <c r="U3" s="17" t="n"/>
      <c r="V3" s="17" t="n"/>
      <c r="W3" s="17" t="n"/>
      <c r="Z3" s="18" t="n"/>
      <c r="AA3" s="18" t="n"/>
      <c r="AB3" s="18" t="n"/>
      <c r="AC3" s="18" t="n"/>
      <c r="AD3" s="18" t="n"/>
      <c r="AE3" s="18" t="n"/>
      <c r="AF3" s="18" t="n"/>
      <c r="AG3" s="18" t="n"/>
      <c r="AH3" s="18" t="n"/>
      <c r="AI3" s="18" t="n"/>
      <c r="AJ3" s="18" t="n"/>
    </row>
    <row r="4">
      <c r="A4" s="20" t="n"/>
      <c r="B4" s="20" t="inlineStr">
        <is>
          <t>A</t>
        </is>
      </c>
      <c r="C4" s="21" t="n"/>
      <c r="D4" s="22" t="inlineStr">
        <is>
          <t>EXAMPLE intervention</t>
        </is>
      </c>
      <c r="E4" s="22" t="n"/>
      <c r="F4" s="22" t="inlineStr">
        <is>
          <t>Intervention</t>
        </is>
      </c>
      <c r="G4" s="22" t="n">
        <v>2018</v>
      </c>
      <c r="H4" s="22" t="n">
        <v>2019</v>
      </c>
      <c r="I4" s="22" t="n"/>
      <c r="J4" s="22" t="n">
        <v>1</v>
      </c>
      <c r="K4" s="22" t="n">
        <v>16</v>
      </c>
      <c r="L4" s="20" t="n">
        <v>1</v>
      </c>
      <c r="M4" s="20" t="n">
        <v>94</v>
      </c>
      <c r="N4" s="20" t="n">
        <v>3</v>
      </c>
      <c r="O4" s="20" t="n">
        <v>98</v>
      </c>
      <c r="P4" s="20" t="n">
        <v>83</v>
      </c>
      <c r="Q4" s="20" t="n"/>
      <c r="R4" s="20" t="n"/>
      <c r="S4" s="20" t="n"/>
      <c r="T4" s="20" t="n"/>
      <c r="U4" s="20" t="n">
        <v>75</v>
      </c>
      <c r="V4" s="20" t="n">
        <v>82</v>
      </c>
      <c r="W4" s="20" t="n"/>
    </row>
    <row r="5">
      <c r="A5" s="22" t="n"/>
      <c r="B5" s="22" t="inlineStr">
        <is>
          <t>A</t>
        </is>
      </c>
      <c r="C5" s="21" t="n"/>
      <c r="D5" s="22" t="inlineStr">
        <is>
          <t>EXAMPLE control</t>
        </is>
      </c>
      <c r="E5" s="22" t="n"/>
      <c r="F5" s="22" t="inlineStr">
        <is>
          <t xml:space="preserve">Control   </t>
        </is>
      </c>
      <c r="G5" s="22" t="inlineStr">
        <is>
          <t>NA</t>
        </is>
      </c>
      <c r="H5" s="22" t="n">
        <v>2019</v>
      </c>
      <c r="I5" s="22" t="n"/>
      <c r="J5" s="22" t="inlineStr">
        <is>
          <t>NA</t>
        </is>
      </c>
      <c r="K5" s="22" t="inlineStr">
        <is>
          <t>NA</t>
        </is>
      </c>
      <c r="L5" s="20" t="inlineStr">
        <is>
          <t>NA</t>
        </is>
      </c>
      <c r="M5" s="20" t="n">
        <v>73</v>
      </c>
      <c r="N5" s="20" t="n">
        <v>8</v>
      </c>
      <c r="O5" s="20" t="n">
        <v>82</v>
      </c>
      <c r="P5" s="20" t="n">
        <v>66</v>
      </c>
      <c r="Q5" s="20" t="n"/>
      <c r="R5" s="20" t="n"/>
      <c r="S5" s="20" t="n"/>
      <c r="T5" s="20" t="n"/>
      <c r="U5" s="20" t="n">
        <v>65</v>
      </c>
      <c r="V5" s="20" t="n">
        <v>60</v>
      </c>
      <c r="W5" s="20" t="n"/>
    </row>
    <row r="6">
      <c r="A6" s="204" t="inlineStr">
        <is>
          <t>COHORTE 1 CM2  2018-2019</t>
        </is>
      </c>
      <c r="C6" s="489" t="n"/>
      <c r="D6" s="516" t="n"/>
      <c r="E6" s="516" t="n"/>
      <c r="F6" s="516" t="n"/>
      <c r="G6" s="516" t="n"/>
      <c r="H6" s="516" t="n"/>
      <c r="I6" s="516" t="n"/>
      <c r="J6" s="516" t="n"/>
      <c r="K6" s="516" t="n"/>
    </row>
    <row r="7" ht="16.5" customHeight="1" s="695">
      <c r="A7" s="39" t="n"/>
      <c r="B7" s="697" t="n">
        <v>1</v>
      </c>
      <c r="C7" s="41" t="n">
        <v>1</v>
      </c>
      <c r="D7" s="49" t="inlineStr">
        <is>
          <t>Katare Guidan Ousmane 1</t>
        </is>
      </c>
      <c r="E7" s="39" t="inlineStr">
        <is>
          <t>Tibiri</t>
        </is>
      </c>
      <c r="F7" s="39" t="inlineStr">
        <is>
          <t>Intervention</t>
        </is>
      </c>
      <c r="G7" s="43" t="n">
        <v>2018</v>
      </c>
      <c r="H7" s="43" t="n">
        <v>2019</v>
      </c>
      <c r="I7" s="49" t="n">
        <v>1</v>
      </c>
      <c r="J7" s="43" t="n">
        <v>1</v>
      </c>
      <c r="K7" s="43" t="n">
        <v>24</v>
      </c>
      <c r="L7" s="41" t="n">
        <v>1</v>
      </c>
      <c r="M7" s="534" t="n"/>
      <c r="N7" s="532">
        <f>1/21</f>
        <v/>
      </c>
      <c r="O7" s="532" t="n">
        <v>0.5</v>
      </c>
      <c r="P7" s="532" t="n">
        <v>0.52</v>
      </c>
      <c r="Q7" s="527" t="n"/>
      <c r="R7" s="527" t="n"/>
      <c r="S7" s="527" t="n"/>
      <c r="T7" s="527" t="n"/>
      <c r="U7" s="527" t="n"/>
      <c r="V7" s="527" t="n"/>
      <c r="W7" s="527" t="n"/>
      <c r="X7" s="49" t="inlineStr">
        <is>
          <t>N/A</t>
        </is>
      </c>
      <c r="Y7" s="49" t="n"/>
      <c r="Z7" s="49" t="n"/>
      <c r="AA7" s="49" t="n"/>
      <c r="AB7" s="49" t="n"/>
      <c r="AC7" s="49" t="n"/>
      <c r="AD7" s="49" t="n"/>
      <c r="AE7" s="49" t="n"/>
      <c r="AF7" s="49" t="n"/>
      <c r="AG7" s="49" t="n"/>
      <c r="AH7" s="49" t="n"/>
      <c r="AI7" s="49" t="n"/>
      <c r="AJ7" s="49" t="n"/>
    </row>
    <row r="8" ht="16.5" customHeight="1" s="695">
      <c r="A8" s="92" t="n"/>
      <c r="B8" s="698" t="n"/>
      <c r="C8" s="445" t="n">
        <v>2</v>
      </c>
      <c r="D8" s="557" t="inlineStr">
        <is>
          <t xml:space="preserve">Soura 3 </t>
        </is>
      </c>
      <c r="E8" s="558" t="inlineStr">
        <is>
          <t>Tibiri</t>
        </is>
      </c>
      <c r="F8" s="558" t="inlineStr">
        <is>
          <t>Controle</t>
        </is>
      </c>
      <c r="G8" s="55" t="n">
        <v>2018</v>
      </c>
      <c r="H8" s="56" t="n">
        <v>2019</v>
      </c>
      <c r="I8" s="62" t="n">
        <v>1</v>
      </c>
      <c r="J8" s="56" t="inlineStr">
        <is>
          <t>NA</t>
        </is>
      </c>
      <c r="K8" s="56" t="inlineStr">
        <is>
          <t>NA</t>
        </is>
      </c>
      <c r="L8" s="468" t="inlineStr">
        <is>
          <t>NA</t>
        </is>
      </c>
      <c r="M8" s="59" t="n"/>
      <c r="N8" s="562">
        <f>5/21</f>
        <v/>
      </c>
      <c r="O8" s="562" t="n">
        <v>0.57</v>
      </c>
      <c r="P8" s="562" t="n">
        <v>0.57</v>
      </c>
      <c r="Q8" s="62" t="n"/>
      <c r="R8" s="62" t="n"/>
      <c r="S8" s="62" t="n"/>
      <c r="T8" s="62" t="n"/>
      <c r="U8" s="62" t="n">
        <v>1.57</v>
      </c>
      <c r="V8" s="62" t="n">
        <v>1.59</v>
      </c>
      <c r="W8" s="62" t="n">
        <v>1.58</v>
      </c>
      <c r="X8" s="49" t="inlineStr">
        <is>
          <t>N/A</t>
        </is>
      </c>
      <c r="Y8" s="62" t="n"/>
      <c r="Z8" s="62" t="n"/>
      <c r="AA8" s="62" t="n"/>
      <c r="AB8" s="62" t="n"/>
      <c r="AC8" s="62" t="n"/>
      <c r="AD8" s="62" t="n"/>
      <c r="AE8" s="62" t="n"/>
      <c r="AF8" s="62" t="n"/>
      <c r="AG8" s="62" t="n"/>
      <c r="AH8" s="62" t="n"/>
      <c r="AI8" s="62" t="n"/>
      <c r="AJ8" s="62" t="n"/>
    </row>
    <row r="9">
      <c r="A9" s="67" t="n"/>
      <c r="B9" s="531" t="n">
        <v>2</v>
      </c>
      <c r="C9" s="65" t="n">
        <v>3</v>
      </c>
      <c r="D9" s="72" t="inlineStr">
        <is>
          <t xml:space="preserve">Katare Guidan Ousmane 2 </t>
        </is>
      </c>
      <c r="E9" s="67" t="inlineStr">
        <is>
          <t>Tibiri</t>
        </is>
      </c>
      <c r="F9" s="67" t="inlineStr">
        <is>
          <t>Intervention</t>
        </is>
      </c>
      <c r="G9" s="68" t="n">
        <v>2018</v>
      </c>
      <c r="H9" s="68" t="n">
        <v>2019</v>
      </c>
      <c r="I9" s="72" t="n">
        <v>1</v>
      </c>
      <c r="J9" s="68" t="n">
        <v>2</v>
      </c>
      <c r="K9" s="68" t="n">
        <v>29</v>
      </c>
      <c r="L9" s="411" t="n">
        <v>1</v>
      </c>
      <c r="M9" s="537" t="n"/>
      <c r="N9" s="561">
        <f>2/24</f>
        <v/>
      </c>
      <c r="O9" s="561" t="n">
        <v>0.41</v>
      </c>
      <c r="P9" s="561" t="n">
        <v>0.5</v>
      </c>
      <c r="Q9" s="72" t="n"/>
      <c r="R9" s="72" t="n"/>
      <c r="S9" s="72" t="n"/>
      <c r="T9" s="72" t="n"/>
      <c r="U9" s="72" t="n"/>
      <c r="V9" s="72" t="n"/>
      <c r="W9" s="72" t="n"/>
      <c r="X9" s="49" t="inlineStr">
        <is>
          <t>N/A</t>
        </is>
      </c>
      <c r="Y9" s="72" t="n"/>
      <c r="Z9" s="72" t="n"/>
      <c r="AA9" s="72" t="n"/>
      <c r="AB9" s="72" t="n"/>
      <c r="AC9" s="72" t="n"/>
      <c r="AD9" s="72" t="n"/>
      <c r="AE9" s="72" t="n"/>
      <c r="AF9" s="72" t="n"/>
      <c r="AG9" s="72" t="n"/>
      <c r="AH9" s="72" t="n"/>
      <c r="AI9" s="72" t="n"/>
      <c r="AJ9" s="72" t="n"/>
    </row>
    <row r="10">
      <c r="A10" s="76" t="n"/>
      <c r="B10" s="698" t="n"/>
      <c r="C10" s="74" t="n">
        <v>4</v>
      </c>
      <c r="D10" s="81" t="inlineStr">
        <is>
          <t xml:space="preserve">Kara Kara 3 </t>
        </is>
      </c>
      <c r="E10" s="76" t="inlineStr">
        <is>
          <t>Tibiri</t>
        </is>
      </c>
      <c r="F10" s="76" t="inlineStr">
        <is>
          <t>Control</t>
        </is>
      </c>
      <c r="G10" s="77" t="n">
        <v>2018</v>
      </c>
      <c r="H10" s="78" t="n">
        <v>2019</v>
      </c>
      <c r="I10" s="81" t="n">
        <v>1</v>
      </c>
      <c r="J10" s="78" t="inlineStr">
        <is>
          <t>NA</t>
        </is>
      </c>
      <c r="K10" s="78" t="inlineStr">
        <is>
          <t>NA</t>
        </is>
      </c>
      <c r="L10" s="78" t="inlineStr">
        <is>
          <t>NA</t>
        </is>
      </c>
      <c r="M10" s="59" t="n"/>
      <c r="N10" s="538">
        <f>2/32</f>
        <v/>
      </c>
      <c r="O10" s="538" t="n">
        <v>0.52</v>
      </c>
      <c r="P10" s="538" t="n">
        <v>0.5</v>
      </c>
      <c r="Q10" s="81" t="n"/>
      <c r="R10" s="81" t="n"/>
      <c r="S10" s="81" t="n"/>
      <c r="T10" s="81" t="n"/>
      <c r="U10" s="81" t="n">
        <v>-1.15</v>
      </c>
      <c r="V10" s="81" t="n">
        <v>1.24</v>
      </c>
      <c r="W10" s="81" t="n">
        <v>0.05</v>
      </c>
      <c r="X10" s="49" t="inlineStr">
        <is>
          <t>N/A</t>
        </is>
      </c>
      <c r="Y10" s="81" t="n"/>
      <c r="Z10" s="81" t="n"/>
      <c r="AA10" s="81" t="n"/>
      <c r="AB10" s="81" t="n"/>
      <c r="AC10" s="81" t="n"/>
      <c r="AD10" s="81" t="n"/>
      <c r="AE10" s="81" t="n"/>
      <c r="AF10" s="81" t="n"/>
      <c r="AG10" s="81" t="n"/>
      <c r="AH10" s="81" t="n"/>
      <c r="AI10" s="81" t="n"/>
      <c r="AJ10" s="81" t="n"/>
    </row>
    <row r="11">
      <c r="A11" s="86" t="n"/>
      <c r="B11" s="528" t="n">
        <v>3</v>
      </c>
      <c r="C11" s="439" t="n">
        <v>5</v>
      </c>
      <c r="D11" s="91" t="inlineStr">
        <is>
          <t xml:space="preserve">Tibiri Nord 3 </t>
        </is>
      </c>
      <c r="E11" s="86" t="inlineStr">
        <is>
          <t>Tibiri</t>
        </is>
      </c>
      <c r="F11" s="86" t="inlineStr">
        <is>
          <t>Intervention</t>
        </is>
      </c>
      <c r="G11" s="87" t="n">
        <v>2018</v>
      </c>
      <c r="H11" s="87" t="n">
        <v>2019</v>
      </c>
      <c r="I11" s="91" t="n">
        <v>1</v>
      </c>
      <c r="J11" s="87" t="n">
        <v>2</v>
      </c>
      <c r="K11" s="87" t="n">
        <v>32</v>
      </c>
      <c r="L11" s="439" t="n">
        <v>1</v>
      </c>
      <c r="M11" s="537" t="n"/>
      <c r="N11" s="559">
        <f>1/30</f>
        <v/>
      </c>
      <c r="O11" s="559" t="n">
        <v>0.6899999999999999</v>
      </c>
      <c r="P11" s="559" t="n">
        <v>0.73</v>
      </c>
      <c r="Q11" s="560" t="n"/>
      <c r="R11" s="560" t="n"/>
      <c r="S11" s="560" t="n"/>
      <c r="T11" s="560" t="n"/>
      <c r="U11" s="560" t="n"/>
      <c r="V11" s="560" t="n"/>
      <c r="W11" s="560" t="n"/>
      <c r="X11" s="49" t="inlineStr">
        <is>
          <t>N/A</t>
        </is>
      </c>
      <c r="Y11" s="91" t="n"/>
      <c r="Z11" s="91" t="n"/>
      <c r="AA11" s="91" t="n"/>
      <c r="AB11" s="91" t="n"/>
      <c r="AC11" s="91" t="n"/>
      <c r="AD11" s="91" t="n"/>
      <c r="AE11" s="91" t="n"/>
      <c r="AF11" s="91" t="n"/>
      <c r="AG11" s="91" t="n"/>
      <c r="AH11" s="91" t="n"/>
      <c r="AI11" s="91" t="n"/>
      <c r="AJ11" s="91" t="n"/>
    </row>
    <row r="12">
      <c r="A12" s="92" t="n"/>
      <c r="B12" s="698" t="n"/>
      <c r="C12" s="445" t="n">
        <v>6</v>
      </c>
      <c r="D12" s="62" t="inlineStr">
        <is>
          <t>Garin Daoure 1</t>
        </is>
      </c>
      <c r="E12" s="92" t="inlineStr">
        <is>
          <t>Tibiri</t>
        </is>
      </c>
      <c r="F12" s="92" t="inlineStr">
        <is>
          <t>Control</t>
        </is>
      </c>
      <c r="G12" s="55" t="n">
        <v>2018</v>
      </c>
      <c r="H12" s="56" t="n">
        <v>2019</v>
      </c>
      <c r="I12" s="62" t="n">
        <v>1</v>
      </c>
      <c r="J12" s="56" t="inlineStr">
        <is>
          <t>NA</t>
        </is>
      </c>
      <c r="K12" s="56" t="inlineStr">
        <is>
          <t>NA</t>
        </is>
      </c>
      <c r="L12" s="56" t="inlineStr">
        <is>
          <t>NA</t>
        </is>
      </c>
      <c r="M12" s="59" t="n"/>
      <c r="N12" s="562">
        <f>2/18</f>
        <v/>
      </c>
      <c r="O12" s="562" t="n">
        <v>0.45</v>
      </c>
      <c r="P12" s="562" t="n">
        <v>0.78</v>
      </c>
      <c r="Q12" s="62" t="n"/>
      <c r="R12" s="62" t="n"/>
      <c r="S12" s="62" t="n"/>
      <c r="T12" s="62" t="n"/>
      <c r="U12" s="62" t="n">
        <v>2.38</v>
      </c>
      <c r="V12" s="62" t="n">
        <v>3.63</v>
      </c>
      <c r="W12" s="242" t="n">
        <v>3.01</v>
      </c>
      <c r="X12" s="49" t="inlineStr">
        <is>
          <t>N/A</t>
        </is>
      </c>
      <c r="Y12" s="62" t="n"/>
      <c r="Z12" s="62" t="n"/>
      <c r="AA12" s="62" t="n"/>
      <c r="AB12" s="62" t="n"/>
      <c r="AC12" s="62" t="n"/>
      <c r="AD12" s="62" t="n"/>
      <c r="AE12" s="62" t="n"/>
      <c r="AF12" s="62" t="n"/>
      <c r="AG12" s="62" t="n"/>
      <c r="AH12" s="62" t="n"/>
      <c r="AI12" s="62" t="n"/>
      <c r="AJ12" s="62" t="n"/>
    </row>
    <row r="13">
      <c r="A13" s="67" t="n"/>
      <c r="B13" s="531" t="n">
        <v>4</v>
      </c>
      <c r="C13" s="65" t="n">
        <v>7</v>
      </c>
      <c r="D13" s="72" t="inlineStr">
        <is>
          <t>Tibiri Garba Kane 2</t>
        </is>
      </c>
      <c r="E13" s="67" t="inlineStr">
        <is>
          <t>Tibiri</t>
        </is>
      </c>
      <c r="F13" s="67" t="inlineStr">
        <is>
          <t>Intervention</t>
        </is>
      </c>
      <c r="G13" s="68" t="n">
        <v>2018</v>
      </c>
      <c r="H13" s="68" t="n">
        <v>2019</v>
      </c>
      <c r="I13" s="72" t="n">
        <v>1</v>
      </c>
      <c r="J13" s="68" t="n">
        <v>2</v>
      </c>
      <c r="K13" s="68" t="n">
        <v>43</v>
      </c>
      <c r="L13" s="411" t="n">
        <v>1</v>
      </c>
      <c r="M13" s="537" t="n"/>
      <c r="N13" s="561">
        <f>1/40</f>
        <v/>
      </c>
      <c r="O13" s="561" t="n">
        <v>0.67</v>
      </c>
      <c r="P13" s="561" t="n">
        <v>0.73</v>
      </c>
      <c r="Q13" s="72" t="n"/>
      <c r="R13" s="72" t="n"/>
      <c r="S13" s="72" t="n"/>
      <c r="T13" s="72" t="n"/>
      <c r="U13" s="72" t="n"/>
      <c r="V13" s="72" t="n"/>
      <c r="W13" s="72" t="n"/>
      <c r="X13" s="49" t="inlineStr">
        <is>
          <t>N/A</t>
        </is>
      </c>
      <c r="Y13" s="72" t="n"/>
      <c r="Z13" s="72" t="n"/>
      <c r="AA13" s="72" t="n"/>
      <c r="AB13" s="72" t="n"/>
      <c r="AC13" s="72" t="n"/>
      <c r="AD13" s="72" t="n"/>
      <c r="AE13" s="72" t="n"/>
      <c r="AF13" s="72" t="n"/>
      <c r="AG13" s="72" t="n"/>
      <c r="AH13" s="72" t="n"/>
      <c r="AI13" s="72" t="n"/>
      <c r="AJ13" s="72" t="n"/>
    </row>
    <row r="14">
      <c r="A14" s="76" t="n"/>
      <c r="B14" s="698" t="n"/>
      <c r="C14" s="74" t="n">
        <v>8</v>
      </c>
      <c r="D14" s="81" t="inlineStr">
        <is>
          <t>Tibiri Dan Fillo 3</t>
        </is>
      </c>
      <c r="E14" s="76" t="inlineStr">
        <is>
          <t>Tibiri</t>
        </is>
      </c>
      <c r="F14" s="76" t="inlineStr">
        <is>
          <t>Control</t>
        </is>
      </c>
      <c r="G14" s="77" t="n">
        <v>2018</v>
      </c>
      <c r="H14" s="78" t="n">
        <v>2019</v>
      </c>
      <c r="I14" s="81" t="n">
        <v>1</v>
      </c>
      <c r="J14" s="78" t="inlineStr">
        <is>
          <t>NA</t>
        </is>
      </c>
      <c r="K14" s="78" t="inlineStr">
        <is>
          <t>NA</t>
        </is>
      </c>
      <c r="L14" s="78" t="inlineStr">
        <is>
          <t>NA</t>
        </is>
      </c>
      <c r="M14" s="59" t="n"/>
      <c r="N14" s="538">
        <f>0/39</f>
        <v/>
      </c>
      <c r="O14" s="538" t="n">
        <v>0.76</v>
      </c>
      <c r="P14" s="538" t="n">
        <v>0.67</v>
      </c>
      <c r="Q14" s="81" t="n"/>
      <c r="R14" s="81" t="n"/>
      <c r="S14" s="81" t="n"/>
      <c r="T14" s="81" t="n"/>
      <c r="U14" s="81" t="n">
        <v>-0.46</v>
      </c>
      <c r="V14" s="81" t="n">
        <v>1.47</v>
      </c>
      <c r="W14" s="243" t="n">
        <v>0.5</v>
      </c>
      <c r="X14" s="49" t="inlineStr">
        <is>
          <t>N/A</t>
        </is>
      </c>
      <c r="Y14" s="81" t="n"/>
      <c r="Z14" s="81" t="n"/>
      <c r="AA14" s="81" t="n"/>
      <c r="AB14" s="81" t="n"/>
      <c r="AC14" s="81" t="n"/>
      <c r="AD14" s="81" t="n"/>
      <c r="AE14" s="81" t="n"/>
      <c r="AF14" s="81" t="n"/>
      <c r="AG14" s="81" t="n"/>
      <c r="AH14" s="81" t="n"/>
      <c r="AI14" s="81" t="n"/>
      <c r="AJ14" s="81" t="n"/>
    </row>
    <row r="15">
      <c r="A15" s="86" t="n"/>
      <c r="B15" s="528" t="n">
        <v>5</v>
      </c>
      <c r="C15" s="439" t="n">
        <v>9</v>
      </c>
      <c r="D15" s="91" t="inlineStr">
        <is>
          <t>Soura Aboubacar 3</t>
        </is>
      </c>
      <c r="E15" s="86" t="inlineStr">
        <is>
          <t>Tibiri</t>
        </is>
      </c>
      <c r="F15" s="86" t="inlineStr">
        <is>
          <t>Intervention</t>
        </is>
      </c>
      <c r="G15" s="87" t="n">
        <v>2018</v>
      </c>
      <c r="H15" s="87" t="n">
        <v>2019</v>
      </c>
      <c r="I15" s="91" t="n">
        <v>1</v>
      </c>
      <c r="J15" s="87" t="n">
        <v>2</v>
      </c>
      <c r="K15" s="87" t="n">
        <v>44</v>
      </c>
      <c r="L15" s="439" t="n">
        <v>1</v>
      </c>
      <c r="M15" s="537" t="n"/>
      <c r="N15" s="559">
        <f>14/45</f>
        <v/>
      </c>
      <c r="O15" s="559" t="n">
        <v>0.3</v>
      </c>
      <c r="P15" s="559" t="n">
        <v>0.62</v>
      </c>
      <c r="Q15" s="560" t="n"/>
      <c r="R15" s="560" t="n"/>
      <c r="S15" s="560" t="n"/>
      <c r="T15" s="560" t="n"/>
      <c r="U15" s="560" t="n"/>
      <c r="V15" s="560" t="n"/>
      <c r="W15" s="560" t="n"/>
      <c r="X15" s="49" t="inlineStr">
        <is>
          <t>N/A</t>
        </is>
      </c>
      <c r="Y15" s="91" t="n"/>
      <c r="Z15" s="91" t="n"/>
      <c r="AA15" s="91" t="n"/>
      <c r="AB15" s="91" t="n"/>
      <c r="AC15" s="91" t="n"/>
      <c r="AD15" s="91" t="n"/>
      <c r="AE15" s="91" t="n"/>
      <c r="AF15" s="91" t="n"/>
      <c r="AG15" s="91" t="n"/>
      <c r="AH15" s="91" t="n"/>
      <c r="AI15" s="91" t="n"/>
      <c r="AJ15" s="91" t="n"/>
    </row>
    <row r="16">
      <c r="A16" s="92" t="n"/>
      <c r="B16" s="698" t="n"/>
      <c r="C16" s="445" t="n">
        <v>10</v>
      </c>
      <c r="D16" s="62" t="inlineStr">
        <is>
          <t xml:space="preserve">Imbelbelou 3 </t>
        </is>
      </c>
      <c r="E16" s="92" t="inlineStr">
        <is>
          <t>Tibiri</t>
        </is>
      </c>
      <c r="F16" s="92" t="inlineStr">
        <is>
          <t>Control</t>
        </is>
      </c>
      <c r="G16" s="55" t="n">
        <v>2018</v>
      </c>
      <c r="H16" s="56" t="n">
        <v>2019</v>
      </c>
      <c r="I16" s="62" t="n">
        <v>1</v>
      </c>
      <c r="J16" s="56" t="inlineStr">
        <is>
          <t>NA</t>
        </is>
      </c>
      <c r="K16" s="56" t="inlineStr">
        <is>
          <t>NA</t>
        </is>
      </c>
      <c r="L16" s="56" t="inlineStr">
        <is>
          <t>NA</t>
        </is>
      </c>
      <c r="M16" s="59" t="n"/>
      <c r="N16" s="562">
        <f>3/40</f>
        <v/>
      </c>
      <c r="O16" s="562" t="n">
        <v>0.59</v>
      </c>
      <c r="P16" s="562" t="n">
        <v>0.55</v>
      </c>
      <c r="Q16" s="62" t="n"/>
      <c r="R16" s="62" t="n"/>
      <c r="S16" s="62" t="n"/>
      <c r="T16" s="62" t="n"/>
      <c r="U16" s="62" t="n">
        <v>0.42</v>
      </c>
      <c r="V16" s="62" t="n">
        <v>-0.23</v>
      </c>
      <c r="W16" s="62" t="n">
        <v>-0.18</v>
      </c>
      <c r="X16" s="49" t="inlineStr">
        <is>
          <t>N/A</t>
        </is>
      </c>
      <c r="Y16" s="62" t="n"/>
      <c r="Z16" s="62" t="n"/>
      <c r="AA16" s="62" t="n"/>
      <c r="AB16" s="62" t="n"/>
      <c r="AC16" s="62" t="n"/>
      <c r="AD16" s="62" t="n"/>
      <c r="AE16" s="62" t="n"/>
      <c r="AF16" s="62" t="n"/>
      <c r="AG16" s="62" t="n"/>
      <c r="AH16" s="62" t="n"/>
      <c r="AI16" s="62" t="n"/>
      <c r="AJ16" s="62" t="n"/>
    </row>
    <row r="17">
      <c r="A17" s="67" t="n"/>
      <c r="B17" s="531" t="n">
        <v>6</v>
      </c>
      <c r="C17" s="65" t="n">
        <v>11</v>
      </c>
      <c r="D17" s="72" t="inlineStr">
        <is>
          <t>Soura Aboubacar 4</t>
        </is>
      </c>
      <c r="E17" s="67" t="inlineStr">
        <is>
          <t>Tibiri</t>
        </is>
      </c>
      <c r="F17" s="67" t="inlineStr">
        <is>
          <t>Intervention</t>
        </is>
      </c>
      <c r="G17" s="68" t="n">
        <v>2018</v>
      </c>
      <c r="H17" s="68" t="n">
        <v>2019</v>
      </c>
      <c r="I17" s="72" t="n">
        <v>1</v>
      </c>
      <c r="J17" s="68" t="n">
        <v>2</v>
      </c>
      <c r="K17" s="68" t="n">
        <v>47</v>
      </c>
      <c r="L17" s="411" t="n">
        <v>1</v>
      </c>
      <c r="M17" s="537" t="n"/>
      <c r="N17" s="561">
        <f>1/47</f>
        <v/>
      </c>
      <c r="O17" s="561" t="n">
        <v>0.7</v>
      </c>
      <c r="P17" s="561" t="n">
        <v>0.71</v>
      </c>
      <c r="Q17" s="560" t="n"/>
      <c r="R17" s="560" t="n"/>
      <c r="S17" s="560" t="n"/>
      <c r="T17" s="560" t="n"/>
      <c r="U17" s="560" t="n"/>
      <c r="V17" s="560" t="n"/>
      <c r="W17" s="560" t="n"/>
      <c r="X17" s="49" t="inlineStr">
        <is>
          <t>N/A</t>
        </is>
      </c>
      <c r="Y17" s="72" t="n"/>
      <c r="Z17" s="72" t="n"/>
      <c r="AA17" s="72" t="n"/>
      <c r="AB17" s="72" t="n"/>
      <c r="AC17" s="72" t="n"/>
      <c r="AD17" s="72" t="n"/>
      <c r="AE17" s="72" t="n"/>
      <c r="AF17" s="72" t="n"/>
      <c r="AG17" s="72" t="n"/>
      <c r="AH17" s="72" t="n"/>
      <c r="AI17" s="72" t="n"/>
      <c r="AJ17" s="72" t="n"/>
    </row>
    <row r="18" ht="15.75" customHeight="1" s="695">
      <c r="A18" s="76" t="n"/>
      <c r="B18" s="698" t="n"/>
      <c r="C18" s="74" t="n">
        <v>12</v>
      </c>
      <c r="D18" s="81" t="inlineStr">
        <is>
          <t>Soura 2</t>
        </is>
      </c>
      <c r="E18" s="76" t="inlineStr">
        <is>
          <t>Tibiri</t>
        </is>
      </c>
      <c r="F18" s="76" t="inlineStr">
        <is>
          <t>Control</t>
        </is>
      </c>
      <c r="G18" s="77" t="n">
        <v>2018</v>
      </c>
      <c r="H18" s="78" t="n">
        <v>2019</v>
      </c>
      <c r="I18" s="81" t="n">
        <v>1</v>
      </c>
      <c r="J18" s="78" t="inlineStr">
        <is>
          <t>NA</t>
        </is>
      </c>
      <c r="K18" s="78" t="inlineStr">
        <is>
          <t>NA</t>
        </is>
      </c>
      <c r="L18" s="78" t="inlineStr">
        <is>
          <t>NA</t>
        </is>
      </c>
      <c r="M18" s="59" t="n"/>
      <c r="N18" s="538">
        <f>9/36</f>
        <v/>
      </c>
      <c r="O18" s="538" t="n">
        <v>0.79</v>
      </c>
      <c r="P18" s="538" t="n">
        <v>0.61</v>
      </c>
      <c r="Q18" s="81" t="n"/>
      <c r="R18" s="81" t="n"/>
      <c r="S18" s="81" t="n"/>
      <c r="T18" s="81" t="n"/>
      <c r="U18" s="81" t="n">
        <v>0.46</v>
      </c>
      <c r="V18" s="81" t="n">
        <v>0.21</v>
      </c>
      <c r="W18" s="81" t="n">
        <v>0.34</v>
      </c>
      <c r="X18" s="49" t="inlineStr">
        <is>
          <t>N/A</t>
        </is>
      </c>
      <c r="Y18" s="81" t="n"/>
      <c r="Z18" s="81" t="n"/>
      <c r="AA18" s="81" t="n"/>
      <c r="AB18" s="81" t="n"/>
      <c r="AC18" s="81" t="n"/>
      <c r="AD18" s="81" t="n"/>
      <c r="AE18" s="81" t="n"/>
      <c r="AF18" s="81" t="n"/>
      <c r="AG18" s="81" t="n"/>
      <c r="AH18" s="81" t="n"/>
      <c r="AI18" s="81" t="n"/>
      <c r="AJ18" s="81" t="n"/>
    </row>
    <row r="19">
      <c r="A19" s="86" t="n"/>
      <c r="B19" s="528" t="n">
        <v>7</v>
      </c>
      <c r="C19" s="87" t="n">
        <v>13</v>
      </c>
      <c r="D19" s="86" t="inlineStr">
        <is>
          <t xml:space="preserve">Garin Yari Idi </t>
        </is>
      </c>
      <c r="E19" s="86" t="inlineStr">
        <is>
          <t>Tibiri</t>
        </is>
      </c>
      <c r="F19" s="86" t="inlineStr">
        <is>
          <t>Intervention</t>
        </is>
      </c>
      <c r="G19" s="87" t="n">
        <v>2018</v>
      </c>
      <c r="H19" s="87" t="n">
        <v>2019</v>
      </c>
      <c r="I19" s="91" t="n">
        <v>1</v>
      </c>
      <c r="J19" s="87" t="n">
        <v>2</v>
      </c>
      <c r="K19" s="87" t="n">
        <v>50</v>
      </c>
      <c r="L19" s="439" t="n">
        <v>1</v>
      </c>
      <c r="M19" s="537" t="n"/>
      <c r="N19" s="559">
        <f>1/44</f>
        <v/>
      </c>
      <c r="O19" s="559" t="n">
        <v>0.62</v>
      </c>
      <c r="P19" s="559" t="n">
        <v>0.7</v>
      </c>
      <c r="Q19" s="560" t="n"/>
      <c r="R19" s="560" t="n"/>
      <c r="S19" s="560" t="n"/>
      <c r="T19" s="560" t="n"/>
      <c r="U19" s="560" t="n"/>
      <c r="V19" s="560" t="n"/>
      <c r="W19" s="560" t="n"/>
      <c r="X19" s="49" t="inlineStr">
        <is>
          <t>N/A</t>
        </is>
      </c>
      <c r="Y19" s="91" t="n"/>
      <c r="Z19" s="91" t="n"/>
      <c r="AA19" s="91" t="n"/>
      <c r="AB19" s="91" t="n"/>
      <c r="AC19" s="91" t="n"/>
      <c r="AD19" s="91" t="n"/>
      <c r="AE19" s="91" t="n"/>
      <c r="AF19" s="91" t="n"/>
      <c r="AG19" s="91" t="n"/>
      <c r="AH19" s="91" t="n"/>
      <c r="AI19" s="91" t="n"/>
      <c r="AJ19" s="91" t="n"/>
    </row>
    <row r="20">
      <c r="A20" s="92" t="n"/>
      <c r="B20" s="698" t="n"/>
      <c r="C20" s="56" t="n">
        <v>14</v>
      </c>
      <c r="D20" s="92" t="inlineStr">
        <is>
          <t xml:space="preserve">Kara Kara 2 </t>
        </is>
      </c>
      <c r="E20" s="92" t="inlineStr">
        <is>
          <t>Tibiri</t>
        </is>
      </c>
      <c r="F20" s="92" t="inlineStr">
        <is>
          <t>Control</t>
        </is>
      </c>
      <c r="G20" s="55" t="n">
        <v>2018</v>
      </c>
      <c r="H20" s="56" t="n">
        <v>2019</v>
      </c>
      <c r="I20" s="62" t="n">
        <v>1</v>
      </c>
      <c r="J20" s="56" t="inlineStr">
        <is>
          <t>NA</t>
        </is>
      </c>
      <c r="K20" s="56" t="inlineStr">
        <is>
          <t>NA</t>
        </is>
      </c>
      <c r="L20" s="56" t="inlineStr">
        <is>
          <t>NA</t>
        </is>
      </c>
      <c r="M20" s="59" t="n"/>
      <c r="N20" s="562">
        <f>10/46</f>
        <v/>
      </c>
      <c r="O20" s="562" t="n">
        <v>0.57</v>
      </c>
      <c r="P20" s="562" t="n">
        <v>0.59</v>
      </c>
      <c r="Q20" s="62" t="n"/>
      <c r="R20" s="62" t="n"/>
      <c r="S20" s="62" t="n"/>
      <c r="T20" s="62" t="n"/>
      <c r="U20" s="62" t="n">
        <v>0.03</v>
      </c>
      <c r="V20" s="62" t="n">
        <v>2.28</v>
      </c>
      <c r="W20" s="62" t="n">
        <v>1.25</v>
      </c>
      <c r="X20" s="49" t="inlineStr">
        <is>
          <t>N/A</t>
        </is>
      </c>
      <c r="Y20" s="62" t="n"/>
      <c r="Z20" s="62" t="n"/>
      <c r="AA20" s="62" t="n"/>
      <c r="AB20" s="62" t="n"/>
      <c r="AC20" s="62" t="n"/>
      <c r="AD20" s="62" t="n"/>
      <c r="AE20" s="62" t="n"/>
      <c r="AF20" s="62" t="n"/>
      <c r="AG20" s="62" t="n"/>
      <c r="AH20" s="62" t="n"/>
      <c r="AI20" s="62" t="n"/>
      <c r="AJ20" s="62" t="n"/>
    </row>
    <row r="21">
      <c r="A21" s="95" t="n"/>
      <c r="B21" s="95" t="n"/>
      <c r="C21" s="96" t="n"/>
      <c r="D21" s="97" t="n"/>
      <c r="E21" s="95" t="n"/>
      <c r="F21" s="95" t="n"/>
      <c r="G21" s="95" t="n"/>
      <c r="H21" s="95" t="n"/>
      <c r="I21" s="98" t="n"/>
      <c r="J21" s="98" t="n"/>
      <c r="K21" s="98" t="n"/>
      <c r="L21" s="99" t="n"/>
      <c r="M21" s="100" t="n"/>
      <c r="N21" s="100" t="n"/>
      <c r="O21" s="100" t="n"/>
      <c r="P21" s="100" t="n"/>
      <c r="Q21" s="100" t="n"/>
      <c r="R21" s="100" t="n"/>
      <c r="S21" s="100" t="n"/>
      <c r="T21" s="100" t="n"/>
      <c r="U21" s="100" t="n"/>
      <c r="V21" s="100" t="n"/>
      <c r="W21" s="100" t="n"/>
      <c r="X21" s="100" t="n"/>
      <c r="Y21" s="100" t="n"/>
      <c r="Z21" s="100" t="n"/>
      <c r="AA21" s="100" t="n"/>
      <c r="AB21" s="100" t="n"/>
      <c r="AC21" s="100" t="n"/>
    </row>
    <row r="22">
      <c r="A22" s="207" t="inlineStr">
        <is>
          <t>COHORTE 2 CM2 2019-2020</t>
        </is>
      </c>
      <c r="B22" s="100" t="n"/>
      <c r="C22" s="99" t="n"/>
      <c r="D22" s="100" t="n"/>
      <c r="E22" s="100" t="n"/>
      <c r="F22" s="100" t="n"/>
      <c r="G22" s="100" t="n"/>
      <c r="H22" s="100" t="n"/>
      <c r="I22" s="99" t="n"/>
      <c r="J22" s="99" t="n"/>
      <c r="K22" s="99" t="n"/>
      <c r="L22" s="99" t="n"/>
      <c r="M22" s="100" t="n"/>
      <c r="N22" s="100" t="n"/>
      <c r="O22" s="100" t="n"/>
      <c r="P22" s="100" t="n"/>
      <c r="Q22" s="100" t="n"/>
      <c r="R22" s="100" t="n"/>
      <c r="S22" s="100" t="n"/>
      <c r="T22" s="100" t="n"/>
      <c r="U22" s="100" t="n"/>
      <c r="V22" s="100" t="n"/>
      <c r="W22" s="100" t="n"/>
      <c r="X22" s="100" t="n"/>
      <c r="Y22" s="100" t="n"/>
      <c r="Z22" s="100" t="n"/>
      <c r="AA22" s="100" t="n"/>
      <c r="AB22" s="100" t="n"/>
      <c r="AC22" s="100" t="n"/>
    </row>
    <row r="23">
      <c r="A23" s="641" t="n"/>
      <c r="B23" s="729" t="n">
        <v>1</v>
      </c>
      <c r="C23" s="439" t="n">
        <v>1</v>
      </c>
      <c r="D23" s="49" t="inlineStr">
        <is>
          <t>Katare Guidan Ousmane 1</t>
        </is>
      </c>
      <c r="E23" s="641" t="inlineStr">
        <is>
          <t>Tibiri</t>
        </is>
      </c>
      <c r="F23" s="641" t="inlineStr">
        <is>
          <t>Intervention</t>
        </is>
      </c>
      <c r="G23" s="641" t="n">
        <v>2019</v>
      </c>
      <c r="H23" s="641" t="n">
        <v>2020</v>
      </c>
      <c r="I23" s="35" t="n">
        <v>2</v>
      </c>
      <c r="J23" s="456" t="n">
        <v>1</v>
      </c>
      <c r="K23" s="456" t="n">
        <v>39</v>
      </c>
      <c r="L23" s="456" t="n">
        <v>1</v>
      </c>
      <c r="M23" s="127" t="n"/>
      <c r="N23" s="540" t="n">
        <v>0</v>
      </c>
      <c r="O23" s="540" t="n">
        <v>0.72</v>
      </c>
      <c r="P23" s="157" t="n"/>
      <c r="Q23" s="129" t="n"/>
      <c r="R23" s="129" t="n"/>
      <c r="S23" s="129" t="n"/>
      <c r="T23" s="129" t="n"/>
      <c r="U23" s="129" t="n">
        <v>4.24</v>
      </c>
      <c r="V23" s="129" t="n">
        <v>4.87</v>
      </c>
      <c r="W23" s="129" t="n">
        <v>4.56</v>
      </c>
      <c r="X23" s="35" t="inlineStr">
        <is>
          <t>N/A</t>
        </is>
      </c>
      <c r="Y23" s="35" t="n"/>
      <c r="Z23" s="35" t="n"/>
      <c r="AA23" s="35" t="n"/>
      <c r="AB23" s="35" t="n"/>
      <c r="AC23" s="35" t="n"/>
      <c r="AD23" s="35" t="n"/>
      <c r="AE23" s="35" t="n"/>
      <c r="AF23" s="35" t="n"/>
      <c r="AG23" s="35" t="n"/>
      <c r="AH23" s="35" t="n"/>
      <c r="AI23" s="35" t="n"/>
      <c r="AJ23" s="35" t="n"/>
    </row>
    <row r="24">
      <c r="A24" s="649" t="n"/>
      <c r="B24" s="698" t="n"/>
      <c r="C24" s="399" t="n">
        <v>2</v>
      </c>
      <c r="D24" s="62" t="inlineStr">
        <is>
          <t xml:space="preserve">Soura 3 </t>
        </is>
      </c>
      <c r="E24" s="649" t="inlineStr">
        <is>
          <t>Tibiri</t>
        </is>
      </c>
      <c r="F24" s="649" t="inlineStr">
        <is>
          <t>Control</t>
        </is>
      </c>
      <c r="G24" s="55" t="n">
        <v>2019</v>
      </c>
      <c r="H24" s="649" t="n">
        <v>2020</v>
      </c>
      <c r="I24" s="544" t="n">
        <v>2</v>
      </c>
      <c r="J24" s="652" t="n">
        <v>1</v>
      </c>
      <c r="K24" s="652" t="n">
        <v>20</v>
      </c>
      <c r="L24" s="652" t="inlineStr">
        <is>
          <t>NA</t>
        </is>
      </c>
      <c r="M24" s="139" t="n"/>
      <c r="N24" s="564">
        <f>1/K24</f>
        <v/>
      </c>
      <c r="O24" s="564" t="n">
        <v>0.5</v>
      </c>
      <c r="P24" s="141" t="n"/>
      <c r="Q24" s="142" t="n"/>
      <c r="R24" s="142" t="n"/>
      <c r="S24" s="142" t="n"/>
      <c r="T24" s="142" t="n"/>
      <c r="U24" s="142" t="n">
        <v>2.36</v>
      </c>
      <c r="V24" s="142" t="n">
        <v>3.24</v>
      </c>
      <c r="W24" s="142" t="n">
        <v>2.62</v>
      </c>
      <c r="X24" s="35" t="inlineStr">
        <is>
          <t>N/A</t>
        </is>
      </c>
      <c r="Y24" s="544" t="n"/>
      <c r="Z24" s="544" t="n"/>
      <c r="AA24" s="544" t="n"/>
      <c r="AB24" s="544" t="n"/>
      <c r="AC24" s="544" t="n"/>
      <c r="AD24" s="544" t="n"/>
      <c r="AE24" s="544" t="n"/>
      <c r="AF24" s="544" t="n"/>
      <c r="AG24" s="544" t="n"/>
      <c r="AH24" s="544" t="n"/>
      <c r="AI24" s="544" t="n"/>
      <c r="AJ24" s="544" t="n"/>
    </row>
    <row r="25">
      <c r="A25" s="546" t="n"/>
      <c r="B25" s="730" t="n">
        <v>2</v>
      </c>
      <c r="C25" s="420" t="n">
        <v>3</v>
      </c>
      <c r="D25" s="72" t="inlineStr">
        <is>
          <t>Katare Guidan Ousmane 2</t>
        </is>
      </c>
      <c r="E25" s="546" t="inlineStr">
        <is>
          <t>Tibiri</t>
        </is>
      </c>
      <c r="F25" s="546" t="inlineStr">
        <is>
          <t>Intervention</t>
        </is>
      </c>
      <c r="G25" s="546" t="n">
        <v>2019</v>
      </c>
      <c r="H25" s="546" t="n">
        <v>2020</v>
      </c>
      <c r="I25" s="547" t="n">
        <v>2</v>
      </c>
      <c r="J25" s="359" t="n">
        <v>2</v>
      </c>
      <c r="K25" s="359" t="n">
        <v>18</v>
      </c>
      <c r="L25" s="359" t="n">
        <v>1</v>
      </c>
      <c r="M25" s="127" t="n"/>
      <c r="N25" s="569" t="n">
        <v>0</v>
      </c>
      <c r="O25" s="569" t="n">
        <v>0.72</v>
      </c>
      <c r="P25" s="157" t="n"/>
      <c r="Q25" s="150" t="n"/>
      <c r="R25" s="150" t="n"/>
      <c r="S25" s="150" t="n"/>
      <c r="T25" s="150" t="n"/>
      <c r="U25" s="150" t="n">
        <v>1.8</v>
      </c>
      <c r="V25" s="150" t="n">
        <v>3.2</v>
      </c>
      <c r="W25" s="150" t="n">
        <v>2.5</v>
      </c>
      <c r="X25" s="35" t="inlineStr">
        <is>
          <t>N/A</t>
        </is>
      </c>
      <c r="Y25" s="547" t="n"/>
      <c r="Z25" s="547" t="n"/>
      <c r="AA25" s="547" t="n"/>
      <c r="AB25" s="547" t="n"/>
      <c r="AC25" s="547" t="n"/>
      <c r="AD25" s="547" t="n"/>
      <c r="AE25" s="547" t="n"/>
      <c r="AF25" s="547" t="n"/>
      <c r="AG25" s="547" t="n"/>
      <c r="AH25" s="547" t="n"/>
      <c r="AI25" s="547" t="n"/>
      <c r="AJ25" s="547" t="n"/>
    </row>
    <row r="26">
      <c r="A26" s="549" t="n"/>
      <c r="B26" s="698" t="n"/>
      <c r="C26" s="420" t="n">
        <v>4</v>
      </c>
      <c r="D26" s="81" t="inlineStr">
        <is>
          <t>Kara Kara 3</t>
        </is>
      </c>
      <c r="E26" s="549" t="inlineStr">
        <is>
          <t>Tibiri</t>
        </is>
      </c>
      <c r="F26" s="549" t="inlineStr">
        <is>
          <t>Control</t>
        </is>
      </c>
      <c r="G26" s="77" t="n">
        <v>2019</v>
      </c>
      <c r="H26" s="549" t="n">
        <v>2020</v>
      </c>
      <c r="I26" s="550" t="n">
        <v>2</v>
      </c>
      <c r="J26" s="566" t="n">
        <v>2</v>
      </c>
      <c r="K26" s="566" t="n">
        <v>37</v>
      </c>
      <c r="L26" s="566" t="inlineStr">
        <is>
          <t>NA</t>
        </is>
      </c>
      <c r="M26" s="139" t="n"/>
      <c r="N26" s="567">
        <f>1/K26</f>
        <v/>
      </c>
      <c r="O26" s="567" t="n">
        <v>0.51</v>
      </c>
      <c r="P26" s="141" t="n"/>
      <c r="Q26" s="153" t="n"/>
      <c r="R26" s="153" t="n"/>
      <c r="S26" s="153" t="n"/>
      <c r="T26" s="153" t="n"/>
      <c r="U26" s="153" t="n">
        <v>4.67</v>
      </c>
      <c r="V26" s="153" t="n">
        <v>3.03</v>
      </c>
      <c r="W26" s="153" t="n">
        <v>3.54</v>
      </c>
      <c r="X26" s="35" t="inlineStr">
        <is>
          <t>N/A</t>
        </is>
      </c>
      <c r="Y26" s="550" t="n"/>
      <c r="Z26" s="550" t="n"/>
      <c r="AA26" s="550" t="n"/>
      <c r="AB26" s="550" t="n"/>
      <c r="AC26" s="550" t="n"/>
      <c r="AD26" s="550" t="n"/>
      <c r="AE26" s="550" t="n"/>
      <c r="AF26" s="550" t="n"/>
      <c r="AG26" s="550" t="n"/>
      <c r="AH26" s="550" t="n"/>
      <c r="AI26" s="550" t="n"/>
      <c r="AJ26" s="550" t="n"/>
    </row>
    <row r="27">
      <c r="A27" s="641" t="n"/>
      <c r="B27" s="729" t="n">
        <v>3</v>
      </c>
      <c r="C27" s="568" t="n">
        <v>5</v>
      </c>
      <c r="D27" s="641" t="inlineStr">
        <is>
          <t>Tibiri Nord 3</t>
        </is>
      </c>
      <c r="E27" s="641" t="inlineStr">
        <is>
          <t>Tibiri</t>
        </is>
      </c>
      <c r="F27" s="641" t="inlineStr">
        <is>
          <t>Intervention</t>
        </is>
      </c>
      <c r="G27" s="641" t="n">
        <v>2019</v>
      </c>
      <c r="H27" s="641" t="n">
        <v>2020</v>
      </c>
      <c r="I27" s="35" t="n">
        <v>2</v>
      </c>
      <c r="J27" s="456" t="n">
        <v>2</v>
      </c>
      <c r="K27" s="456" t="n">
        <v>21</v>
      </c>
      <c r="L27" s="456" t="n">
        <v>1</v>
      </c>
      <c r="M27" s="127" t="n"/>
      <c r="N27" s="540" t="n">
        <v>0</v>
      </c>
      <c r="O27" s="540" t="n">
        <v>0.86</v>
      </c>
      <c r="P27" s="157" t="n"/>
      <c r="Q27" s="129" t="n"/>
      <c r="R27" s="129" t="n"/>
      <c r="S27" s="129" t="n"/>
      <c r="T27" s="129" t="n"/>
      <c r="U27" s="129" t="n">
        <v>2.15</v>
      </c>
      <c r="V27" s="129" t="n">
        <v>4.96</v>
      </c>
      <c r="W27" s="129" t="n">
        <v>3.62</v>
      </c>
      <c r="X27" s="35" t="inlineStr">
        <is>
          <t>N/A</t>
        </is>
      </c>
      <c r="Y27" s="35" t="n"/>
      <c r="Z27" s="35" t="n"/>
      <c r="AA27" s="35" t="n"/>
      <c r="AB27" s="35" t="n"/>
      <c r="AC27" s="35" t="n"/>
      <c r="AD27" s="35" t="n"/>
      <c r="AE27" s="35" t="n"/>
      <c r="AF27" s="35" t="n"/>
      <c r="AG27" s="35" t="n"/>
      <c r="AH27" s="35" t="n"/>
      <c r="AI27" s="35" t="n"/>
      <c r="AJ27" s="35" t="n"/>
    </row>
    <row r="28">
      <c r="A28" s="649" t="n"/>
      <c r="B28" s="698" t="n"/>
      <c r="C28" s="652" t="n">
        <v>6</v>
      </c>
      <c r="D28" s="649" t="inlineStr">
        <is>
          <t>Garin Daoure 1</t>
        </is>
      </c>
      <c r="E28" s="649" t="inlineStr">
        <is>
          <t>Tibiri</t>
        </is>
      </c>
      <c r="F28" s="649" t="inlineStr">
        <is>
          <t>Control</t>
        </is>
      </c>
      <c r="G28" s="55" t="n">
        <v>2019</v>
      </c>
      <c r="H28" s="649" t="n">
        <v>2020</v>
      </c>
      <c r="I28" s="544" t="n">
        <v>2</v>
      </c>
      <c r="J28" s="652" t="n">
        <v>2</v>
      </c>
      <c r="K28" s="652" t="n">
        <v>15</v>
      </c>
      <c r="L28" s="652" t="inlineStr">
        <is>
          <t>NA</t>
        </is>
      </c>
      <c r="M28" s="139" t="n"/>
      <c r="N28" s="564" t="n">
        <v>0</v>
      </c>
      <c r="O28" s="564" t="n">
        <v>0.73</v>
      </c>
      <c r="P28" s="141" t="n"/>
      <c r="Q28" s="142" t="n"/>
      <c r="R28" s="142" t="n"/>
      <c r="S28" s="142" t="n"/>
      <c r="T28" s="142" t="n"/>
      <c r="U28" s="142" t="n">
        <v>1.25</v>
      </c>
      <c r="V28" s="142" t="n">
        <v>1.7</v>
      </c>
      <c r="W28" s="142" t="n">
        <v>1.48</v>
      </c>
      <c r="X28" s="35" t="inlineStr">
        <is>
          <t>N/A</t>
        </is>
      </c>
      <c r="Y28" s="544" t="n"/>
      <c r="Z28" s="544" t="n"/>
      <c r="AA28" s="544" t="n"/>
      <c r="AB28" s="544" t="n"/>
      <c r="AC28" s="544" t="n"/>
      <c r="AD28" s="544" t="n"/>
      <c r="AE28" s="544" t="n"/>
      <c r="AF28" s="544" t="n"/>
      <c r="AG28" s="544" t="n"/>
      <c r="AH28" s="544" t="n"/>
      <c r="AI28" s="544" t="n"/>
      <c r="AJ28" s="544" t="n"/>
    </row>
    <row r="29">
      <c r="A29" s="546" t="n"/>
      <c r="B29" s="730" t="n">
        <v>4</v>
      </c>
      <c r="C29" s="65" t="n">
        <v>9</v>
      </c>
      <c r="D29" s="72" t="inlineStr">
        <is>
          <t>Soura Aboubacar 3</t>
        </is>
      </c>
      <c r="E29" s="546" t="inlineStr">
        <is>
          <t>Tibiri</t>
        </is>
      </c>
      <c r="F29" s="546" t="inlineStr">
        <is>
          <t>Intervention</t>
        </is>
      </c>
      <c r="G29" s="546" t="n">
        <v>2019</v>
      </c>
      <c r="H29" s="546" t="n">
        <v>2020</v>
      </c>
      <c r="I29" s="547" t="n">
        <v>2</v>
      </c>
      <c r="J29" s="359" t="n">
        <v>2</v>
      </c>
      <c r="K29" s="359" t="n">
        <v>66</v>
      </c>
      <c r="L29" s="359" t="n">
        <v>1</v>
      </c>
      <c r="M29" s="127" t="n"/>
      <c r="N29" s="569">
        <f>3/66</f>
        <v/>
      </c>
      <c r="O29" s="569" t="n">
        <v>0.66</v>
      </c>
      <c r="P29" s="157" t="n"/>
      <c r="Q29" s="150" t="n"/>
      <c r="R29" s="150" t="n"/>
      <c r="S29" s="150" t="n"/>
      <c r="T29" s="150" t="n"/>
      <c r="U29" s="150" t="n">
        <v>4.67</v>
      </c>
      <c r="V29" s="150" t="n">
        <v>3.28</v>
      </c>
      <c r="W29" s="150" t="n">
        <v>4.16</v>
      </c>
      <c r="X29" s="35" t="inlineStr">
        <is>
          <t>N/A</t>
        </is>
      </c>
      <c r="Y29" s="547" t="n"/>
      <c r="Z29" s="547" t="n"/>
      <c r="AA29" s="547" t="n"/>
      <c r="AB29" s="547" t="n"/>
      <c r="AC29" s="547" t="n"/>
      <c r="AD29" s="547" t="n"/>
      <c r="AE29" s="547" t="n"/>
      <c r="AF29" s="547" t="n"/>
      <c r="AG29" s="547" t="n"/>
      <c r="AH29" s="547" t="n"/>
      <c r="AI29" s="547" t="n"/>
      <c r="AJ29" s="547" t="n"/>
    </row>
    <row r="30">
      <c r="A30" s="549" t="n"/>
      <c r="B30" s="698" t="n"/>
      <c r="C30" s="74" t="n">
        <v>10</v>
      </c>
      <c r="D30" s="81" t="inlineStr">
        <is>
          <t>Imbelbelou 3</t>
        </is>
      </c>
      <c r="E30" s="549" t="inlineStr">
        <is>
          <t>Tibiri</t>
        </is>
      </c>
      <c r="F30" s="549" t="inlineStr">
        <is>
          <t>Control</t>
        </is>
      </c>
      <c r="G30" s="77" t="n">
        <v>2019</v>
      </c>
      <c r="H30" s="549" t="n">
        <v>2020</v>
      </c>
      <c r="I30" s="550" t="n">
        <v>2</v>
      </c>
      <c r="J30" s="566" t="n">
        <v>2</v>
      </c>
      <c r="K30" s="566" t="n">
        <v>48</v>
      </c>
      <c r="L30" s="566" t="inlineStr">
        <is>
          <t>NA</t>
        </is>
      </c>
      <c r="M30" s="139" t="n"/>
      <c r="N30" s="567">
        <f>1/K30</f>
        <v/>
      </c>
      <c r="O30" s="567" t="n">
        <v>0.58</v>
      </c>
      <c r="P30" s="141" t="n"/>
      <c r="Q30" s="153" t="n"/>
      <c r="R30" s="153" t="n"/>
      <c r="S30" s="153" t="n"/>
      <c r="T30" s="153" t="n"/>
      <c r="U30" s="153" t="n">
        <v>1.33</v>
      </c>
      <c r="V30" s="153" t="n">
        <v>0.16</v>
      </c>
      <c r="W30" s="153" t="n">
        <v>0.75</v>
      </c>
      <c r="X30" s="35" t="inlineStr">
        <is>
          <t>N/A</t>
        </is>
      </c>
      <c r="Y30" s="550" t="n"/>
      <c r="Z30" s="550" t="n"/>
      <c r="AA30" s="550" t="n"/>
      <c r="AB30" s="550" t="n"/>
      <c r="AC30" s="550" t="n"/>
      <c r="AD30" s="550" t="n"/>
      <c r="AE30" s="550" t="n"/>
      <c r="AF30" s="550" t="n"/>
      <c r="AG30" s="550" t="n"/>
      <c r="AH30" s="550" t="n"/>
      <c r="AI30" s="550" t="n"/>
      <c r="AJ30" s="550" t="n"/>
    </row>
    <row r="31">
      <c r="A31" s="641" t="n"/>
      <c r="B31" s="729" t="n">
        <v>5</v>
      </c>
      <c r="C31" s="439" t="n">
        <v>11</v>
      </c>
      <c r="D31" s="91" t="inlineStr">
        <is>
          <t>Soura Aboubacar 4</t>
        </is>
      </c>
      <c r="E31" s="641" t="inlineStr">
        <is>
          <t>Tibiri</t>
        </is>
      </c>
      <c r="F31" s="641" t="inlineStr">
        <is>
          <t>Intervention</t>
        </is>
      </c>
      <c r="G31" s="641" t="n">
        <v>2019</v>
      </c>
      <c r="H31" s="641" t="n">
        <v>2020</v>
      </c>
      <c r="I31" s="91" t="n">
        <v>2</v>
      </c>
      <c r="J31" s="456" t="n">
        <v>2</v>
      </c>
      <c r="K31" s="456" t="n">
        <v>44</v>
      </c>
      <c r="L31" s="456" t="n">
        <v>1</v>
      </c>
      <c r="M31" s="127" t="n"/>
      <c r="N31" s="540" t="n">
        <v>0</v>
      </c>
      <c r="O31" s="540" t="n">
        <v>0.66</v>
      </c>
      <c r="P31" s="157" t="n"/>
      <c r="Q31" s="129" t="n"/>
      <c r="R31" s="129" t="n"/>
      <c r="S31" s="129" t="n"/>
      <c r="T31" s="129" t="n"/>
      <c r="U31" s="129" t="n">
        <v>3.52</v>
      </c>
      <c r="V31" s="129" t="n">
        <v>2.95</v>
      </c>
      <c r="W31" s="129" t="n">
        <v>3.23</v>
      </c>
      <c r="X31" s="35" t="inlineStr">
        <is>
          <t>N/A</t>
        </is>
      </c>
      <c r="Y31" s="91" t="n"/>
      <c r="Z31" s="91" t="n"/>
      <c r="AA31" s="91" t="n"/>
      <c r="AB31" s="91" t="n"/>
      <c r="AC31" s="91" t="n"/>
      <c r="AD31" s="91" t="n"/>
      <c r="AE31" s="91" t="n"/>
      <c r="AF31" s="91" t="n"/>
      <c r="AG31" s="91" t="n"/>
      <c r="AH31" s="91" t="n"/>
      <c r="AI31" s="91" t="n"/>
      <c r="AJ31" s="160" t="n"/>
    </row>
    <row r="32">
      <c r="A32" s="649" t="n"/>
      <c r="B32" s="698" t="n"/>
      <c r="C32" s="445" t="n">
        <v>12</v>
      </c>
      <c r="D32" s="62" t="inlineStr">
        <is>
          <t>Soura 2</t>
        </is>
      </c>
      <c r="E32" s="649" t="inlineStr">
        <is>
          <t>Tibiri</t>
        </is>
      </c>
      <c r="F32" s="649" t="inlineStr">
        <is>
          <t>Control</t>
        </is>
      </c>
      <c r="G32" s="55" t="n">
        <v>2019</v>
      </c>
      <c r="H32" s="649" t="n">
        <v>2020</v>
      </c>
      <c r="I32" s="62" t="n">
        <v>2</v>
      </c>
      <c r="J32" s="652" t="n">
        <v>2</v>
      </c>
      <c r="K32" s="652" t="n">
        <v>24</v>
      </c>
      <c r="L32" s="652" t="inlineStr">
        <is>
          <t>NA</t>
        </is>
      </c>
      <c r="M32" s="139" t="n"/>
      <c r="N32" s="564">
        <f>1/K32</f>
        <v/>
      </c>
      <c r="O32" s="564" t="n">
        <v>0.63</v>
      </c>
      <c r="P32" s="141" t="n"/>
      <c r="Q32" s="142" t="n"/>
      <c r="R32" s="142" t="n"/>
      <c r="S32" s="142" t="n"/>
      <c r="T32" s="142" t="n"/>
      <c r="U32" s="142" t="n">
        <v>1.64</v>
      </c>
      <c r="V32" s="142" t="n">
        <v>2.72</v>
      </c>
      <c r="W32" s="142" t="n">
        <v>2.18</v>
      </c>
      <c r="X32" s="35" t="inlineStr">
        <is>
          <t>N/A</t>
        </is>
      </c>
      <c r="Y32" s="62" t="n"/>
      <c r="Z32" s="62" t="n"/>
      <c r="AA32" s="62" t="n"/>
      <c r="AB32" s="62" t="n"/>
      <c r="AC32" s="62" t="n"/>
      <c r="AD32" s="62" t="n"/>
      <c r="AE32" s="62" t="n"/>
      <c r="AF32" s="62" t="n"/>
      <c r="AG32" s="62" t="n"/>
      <c r="AH32" s="62" t="n"/>
      <c r="AI32" s="62" t="n"/>
      <c r="AJ32" s="162" t="n"/>
    </row>
    <row r="33">
      <c r="A33" s="546" t="n"/>
      <c r="B33" s="730" t="n">
        <v>6</v>
      </c>
      <c r="C33" s="359" t="n">
        <v>13</v>
      </c>
      <c r="D33" s="546" t="inlineStr">
        <is>
          <t>Garin Yari Idi</t>
        </is>
      </c>
      <c r="E33" s="546" t="inlineStr">
        <is>
          <t>Tibiri</t>
        </is>
      </c>
      <c r="F33" s="546" t="inlineStr">
        <is>
          <t>Intervention</t>
        </is>
      </c>
      <c r="G33" s="546" t="n">
        <v>2019</v>
      </c>
      <c r="H33" s="546" t="n">
        <v>2020</v>
      </c>
      <c r="I33" s="72" t="n">
        <v>2</v>
      </c>
      <c r="J33" s="359" t="n">
        <v>2</v>
      </c>
      <c r="K33" s="359" t="n">
        <v>23</v>
      </c>
      <c r="L33" s="359" t="n">
        <v>1</v>
      </c>
      <c r="M33" s="127" t="n"/>
      <c r="N33" s="569" t="n">
        <v>0</v>
      </c>
      <c r="O33" s="569" t="n">
        <v>0.52</v>
      </c>
      <c r="P33" s="157" t="n"/>
      <c r="Q33" s="150" t="n"/>
      <c r="R33" s="150" t="n"/>
      <c r="S33" s="150" t="n"/>
      <c r="T33" s="150" t="n"/>
      <c r="U33" s="150" t="n">
        <v>3.49</v>
      </c>
      <c r="V33" s="150" t="n">
        <v>6.12</v>
      </c>
      <c r="W33" s="150" t="n">
        <v>4.8</v>
      </c>
      <c r="X33" s="35" t="inlineStr">
        <is>
          <t>N/A</t>
        </is>
      </c>
      <c r="Y33" s="72" t="n"/>
      <c r="Z33" s="72" t="n"/>
      <c r="AA33" s="72" t="n"/>
      <c r="AB33" s="72" t="n"/>
      <c r="AC33" s="72" t="n"/>
      <c r="AD33" s="72" t="n"/>
      <c r="AE33" s="72" t="n"/>
      <c r="AF33" s="72" t="n"/>
      <c r="AG33" s="72" t="n"/>
      <c r="AH33" s="72" t="n"/>
      <c r="AI33" s="72" t="n"/>
      <c r="AJ33" s="163" t="n"/>
    </row>
    <row r="34">
      <c r="A34" s="570" t="inlineStr">
        <is>
          <t>Katare Guidan Ousmane 2</t>
        </is>
      </c>
      <c r="B34" s="698" t="n"/>
      <c r="C34" s="571" t="n">
        <v>31</v>
      </c>
      <c r="D34" s="570" t="inlineStr">
        <is>
          <t>Soura Sarkin Galma 1</t>
        </is>
      </c>
      <c r="E34" s="570" t="inlineStr">
        <is>
          <t>Tibiri</t>
        </is>
      </c>
      <c r="F34" s="572" t="inlineStr">
        <is>
          <t>Controle</t>
        </is>
      </c>
      <c r="G34" s="573" t="n">
        <v>2019</v>
      </c>
      <c r="H34" s="570" t="n">
        <v>2020</v>
      </c>
      <c r="I34" s="574" t="n">
        <v>1</v>
      </c>
      <c r="J34" s="571" t="n">
        <v>2</v>
      </c>
      <c r="K34" s="571" t="n">
        <v>23</v>
      </c>
      <c r="L34" s="571" t="inlineStr">
        <is>
          <t>NA</t>
        </is>
      </c>
      <c r="M34" s="169" t="n"/>
      <c r="N34" s="575" t="n">
        <v>0</v>
      </c>
      <c r="O34" s="575" t="n">
        <v>0.65</v>
      </c>
      <c r="P34" s="170" t="n"/>
      <c r="Q34" s="171" t="n"/>
      <c r="R34" s="171" t="n"/>
      <c r="S34" s="171" t="n"/>
      <c r="T34" s="171" t="n"/>
      <c r="U34" s="171" t="n">
        <v>2.42</v>
      </c>
      <c r="V34" s="171" t="n">
        <v>7.76</v>
      </c>
      <c r="W34" s="570" t="n">
        <v>4.92</v>
      </c>
      <c r="X34" s="35" t="inlineStr">
        <is>
          <t>N/A</t>
        </is>
      </c>
      <c r="Y34" s="574" t="n"/>
      <c r="Z34" s="574" t="n"/>
      <c r="AA34" s="574" t="n"/>
      <c r="AB34" s="574" t="n"/>
      <c r="AC34" s="574" t="n"/>
      <c r="AD34" s="574" t="n"/>
      <c r="AE34" s="574" t="n"/>
      <c r="AF34" s="574" t="n"/>
      <c r="AG34" s="574" t="n"/>
      <c r="AH34" s="574" t="n"/>
      <c r="AI34" s="574" t="n"/>
      <c r="AJ34" s="173" t="n"/>
    </row>
    <row r="35" ht="16.5" customHeight="1" s="695">
      <c r="A35" s="576" t="n"/>
      <c r="B35" s="731" t="n">
        <v>7</v>
      </c>
      <c r="C35" s="645" t="n">
        <v>15</v>
      </c>
      <c r="D35" s="578" t="inlineStr">
        <is>
          <t>Waraou</t>
        </is>
      </c>
      <c r="E35" s="39" t="inlineStr">
        <is>
          <t>Tibiri</t>
        </is>
      </c>
      <c r="F35" s="39" t="inlineStr">
        <is>
          <t>Intervention</t>
        </is>
      </c>
      <c r="G35" s="43" t="n">
        <v>2019</v>
      </c>
      <c r="H35" s="43" t="n">
        <v>2020</v>
      </c>
      <c r="I35" s="49" t="n">
        <v>1</v>
      </c>
      <c r="J35" s="43" t="n">
        <v>2</v>
      </c>
      <c r="K35" s="43" t="n">
        <v>45</v>
      </c>
      <c r="L35" s="41" t="n">
        <v>1</v>
      </c>
      <c r="M35" s="534" t="n"/>
      <c r="N35" s="532" t="n">
        <v>0</v>
      </c>
      <c r="O35" s="532" t="n">
        <v>0.71</v>
      </c>
      <c r="P35" s="47" t="n"/>
      <c r="Q35" s="180" t="n"/>
      <c r="R35" s="180" t="n"/>
      <c r="S35" s="180" t="n"/>
      <c r="T35" s="180" t="n"/>
      <c r="U35" s="180" t="n">
        <v>1.41</v>
      </c>
      <c r="V35" s="180" t="n">
        <v>4.29</v>
      </c>
      <c r="W35" s="180" t="n">
        <v>2.46</v>
      </c>
      <c r="X35" s="35" t="inlineStr">
        <is>
          <t>N/A</t>
        </is>
      </c>
      <c r="Y35" s="49" t="n"/>
      <c r="Z35" s="49" t="n"/>
      <c r="AA35" s="49" t="n"/>
      <c r="AB35" s="49" t="n"/>
      <c r="AC35" s="49" t="n"/>
      <c r="AD35" s="49" t="n"/>
      <c r="AE35" s="49" t="n"/>
      <c r="AF35" s="49" t="n"/>
      <c r="AG35" s="49" t="n"/>
      <c r="AH35" s="49" t="n"/>
      <c r="AI35" s="49" t="n"/>
      <c r="AJ35" s="181" t="n"/>
    </row>
    <row r="36" ht="16.5" customHeight="1" s="695">
      <c r="A36" s="579" t="n"/>
      <c r="B36" s="698" t="n"/>
      <c r="C36" s="652" t="n">
        <v>16</v>
      </c>
      <c r="D36" s="649" t="inlineStr">
        <is>
          <t>Soura Sarkin Galma  2</t>
        </is>
      </c>
      <c r="E36" s="92" t="inlineStr">
        <is>
          <t>Tibiri</t>
        </is>
      </c>
      <c r="F36" s="92" t="inlineStr">
        <is>
          <t>Control</t>
        </is>
      </c>
      <c r="G36" s="55" t="n">
        <v>2019</v>
      </c>
      <c r="H36" s="56" t="n">
        <v>2020</v>
      </c>
      <c r="I36" s="62" t="n">
        <v>1</v>
      </c>
      <c r="J36" s="56" t="n">
        <v>4</v>
      </c>
      <c r="K36" s="56" t="n">
        <v>54</v>
      </c>
      <c r="L36" s="56" t="inlineStr">
        <is>
          <t>NA</t>
        </is>
      </c>
      <c r="M36" s="59" t="n"/>
      <c r="N36" s="562">
        <f>29/K36</f>
        <v/>
      </c>
      <c r="O36" s="562" t="n">
        <v>0.13</v>
      </c>
      <c r="P36" s="80" t="n"/>
      <c r="Q36" s="184" t="n"/>
      <c r="R36" s="184" t="n"/>
      <c r="S36" s="184" t="n"/>
      <c r="T36" s="184" t="n"/>
      <c r="U36" s="184" t="n">
        <v>-1.39</v>
      </c>
      <c r="V36" s="184" t="n">
        <v>1.83</v>
      </c>
      <c r="W36" s="184" t="n">
        <v>-0.06</v>
      </c>
      <c r="X36" s="35" t="inlineStr">
        <is>
          <t>N/A</t>
        </is>
      </c>
      <c r="Y36" s="62" t="n"/>
      <c r="Z36" s="62" t="n"/>
      <c r="AA36" s="62" t="n"/>
      <c r="AB36" s="62" t="n"/>
      <c r="AC36" s="62" t="n"/>
      <c r="AD36" s="62" t="n"/>
      <c r="AE36" s="62" t="n"/>
      <c r="AF36" s="62" t="n"/>
      <c r="AG36" s="62" t="n"/>
      <c r="AH36" s="62" t="n"/>
      <c r="AI36" s="62" t="n"/>
      <c r="AJ36" s="162" t="n"/>
    </row>
    <row r="37">
      <c r="A37" s="67" t="n"/>
      <c r="B37" s="730" t="n">
        <v>8</v>
      </c>
      <c r="C37" s="359" t="n">
        <v>17</v>
      </c>
      <c r="D37" s="546" t="inlineStr">
        <is>
          <t>Madara</t>
        </is>
      </c>
      <c r="E37" s="92" t="inlineStr">
        <is>
          <t>Tibiri</t>
        </is>
      </c>
      <c r="F37" s="67" t="inlineStr">
        <is>
          <t>Intervention</t>
        </is>
      </c>
      <c r="G37" s="68" t="n">
        <v>2019</v>
      </c>
      <c r="H37" s="68" t="n">
        <v>2020</v>
      </c>
      <c r="I37" s="72" t="n">
        <v>1</v>
      </c>
      <c r="J37" s="68" t="n">
        <v>1</v>
      </c>
      <c r="K37" s="68" t="n">
        <v>18</v>
      </c>
      <c r="L37" s="411" t="n">
        <v>1</v>
      </c>
      <c r="M37" s="537" t="n"/>
      <c r="N37" s="561" t="n">
        <v>0</v>
      </c>
      <c r="O37" s="561" t="n">
        <v>0.44</v>
      </c>
      <c r="P37" s="89" t="n"/>
      <c r="Q37" s="188" t="n"/>
      <c r="R37" s="188" t="n"/>
      <c r="S37" s="188" t="n"/>
      <c r="T37" s="188" t="n"/>
      <c r="U37" s="188" t="n">
        <v>1.01</v>
      </c>
      <c r="V37" s="188" t="n">
        <v>1.89</v>
      </c>
      <c r="W37" s="188" t="n">
        <v>1.45</v>
      </c>
      <c r="X37" s="35" t="inlineStr">
        <is>
          <t>N/A</t>
        </is>
      </c>
      <c r="Y37" s="72" t="n"/>
      <c r="Z37" s="72" t="n"/>
      <c r="AA37" s="72" t="n"/>
      <c r="AB37" s="72" t="n"/>
      <c r="AC37" s="72" t="n"/>
      <c r="AD37" s="72" t="n"/>
      <c r="AE37" s="72" t="n"/>
      <c r="AF37" s="72" t="n"/>
      <c r="AG37" s="72" t="n"/>
      <c r="AH37" s="72" t="n"/>
      <c r="AI37" s="72" t="n"/>
      <c r="AJ37" s="72" t="n"/>
    </row>
    <row r="38">
      <c r="A38" s="76" t="n"/>
      <c r="B38" s="698" t="n"/>
      <c r="C38" s="566" t="n">
        <v>18</v>
      </c>
      <c r="D38" s="549" t="inlineStr">
        <is>
          <t>Yan Zango</t>
        </is>
      </c>
      <c r="E38" s="76" t="inlineStr">
        <is>
          <t>Tibiri</t>
        </is>
      </c>
      <c r="F38" s="76" t="inlineStr">
        <is>
          <t>Control</t>
        </is>
      </c>
      <c r="G38" s="77" t="n">
        <v>2019</v>
      </c>
      <c r="H38" s="78" t="n">
        <v>2020</v>
      </c>
      <c r="I38" s="81" t="n">
        <v>1</v>
      </c>
      <c r="J38" s="78" t="n">
        <v>1</v>
      </c>
      <c r="K38" s="78" t="n">
        <v>20</v>
      </c>
      <c r="L38" s="78" t="inlineStr">
        <is>
          <t>NA</t>
        </is>
      </c>
      <c r="M38" s="59" t="n"/>
      <c r="N38" s="538" t="n">
        <v>0</v>
      </c>
      <c r="O38" s="538" t="n">
        <v>0.3</v>
      </c>
      <c r="P38" s="80" t="n"/>
      <c r="Q38" s="190" t="n"/>
      <c r="R38" s="190" t="n"/>
      <c r="S38" s="190" t="n"/>
      <c r="T38" s="190" t="n"/>
      <c r="U38" s="190" t="n">
        <v>0.29</v>
      </c>
      <c r="V38" s="190" t="n">
        <v>1.1</v>
      </c>
      <c r="W38" s="190" t="n">
        <v>0.6899999999999999</v>
      </c>
      <c r="X38" s="35" t="inlineStr">
        <is>
          <t>N/A</t>
        </is>
      </c>
      <c r="Y38" s="81" t="n"/>
      <c r="Z38" s="81" t="n"/>
      <c r="AA38" s="81" t="n"/>
      <c r="AB38" s="81" t="n"/>
      <c r="AC38" s="81" t="n"/>
      <c r="AD38" s="81" t="n"/>
      <c r="AE38" s="81" t="n"/>
      <c r="AF38" s="81" t="n"/>
      <c r="AG38" s="81" t="n"/>
      <c r="AH38" s="81" t="n"/>
      <c r="AI38" s="81" t="n"/>
      <c r="AJ38" s="81" t="n"/>
    </row>
    <row r="39">
      <c r="A39" s="86" t="n"/>
      <c r="B39" s="729" t="n">
        <v>9</v>
      </c>
      <c r="C39" s="456" t="n">
        <v>19</v>
      </c>
      <c r="D39" s="641" t="inlineStr">
        <is>
          <t>Guidan Oumarou D</t>
        </is>
      </c>
      <c r="E39" s="92" t="inlineStr">
        <is>
          <t>Tibiri</t>
        </is>
      </c>
      <c r="F39" s="86" t="inlineStr">
        <is>
          <t>Intervention</t>
        </is>
      </c>
      <c r="G39" s="87" t="n">
        <v>2019</v>
      </c>
      <c r="H39" s="87" t="n">
        <v>2020</v>
      </c>
      <c r="I39" s="91" t="n">
        <v>1</v>
      </c>
      <c r="J39" s="87" t="n">
        <v>2</v>
      </c>
      <c r="K39" s="87" t="n">
        <v>50</v>
      </c>
      <c r="L39" s="439" t="n">
        <v>1</v>
      </c>
      <c r="M39" s="537" t="n"/>
      <c r="N39" s="559" t="n">
        <v>0</v>
      </c>
      <c r="O39" s="559" t="n">
        <v>0.88</v>
      </c>
      <c r="P39" s="89" t="n"/>
      <c r="Q39" s="192" t="n"/>
      <c r="R39" s="192" t="n"/>
      <c r="S39" s="192" t="n"/>
      <c r="T39" s="192" t="n"/>
      <c r="U39" s="192" t="n">
        <v>2.54</v>
      </c>
      <c r="V39" s="192" t="n">
        <v>4.26</v>
      </c>
      <c r="W39" s="192" t="n">
        <v>3.96</v>
      </c>
      <c r="X39" s="35" t="inlineStr">
        <is>
          <t>N/A</t>
        </is>
      </c>
      <c r="Y39" s="91" t="n"/>
      <c r="Z39" s="91" t="n"/>
      <c r="AA39" s="91" t="n"/>
      <c r="AB39" s="91" t="n"/>
      <c r="AC39" s="91" t="n"/>
      <c r="AD39" s="91" t="n"/>
      <c r="AE39" s="91" t="n"/>
      <c r="AF39" s="91" t="n"/>
      <c r="AG39" s="91" t="n"/>
      <c r="AH39" s="91" t="n"/>
      <c r="AI39" s="91" t="n"/>
      <c r="AJ39" s="91" t="n"/>
    </row>
    <row r="40">
      <c r="A40" s="92" t="n"/>
      <c r="B40" s="698" t="n"/>
      <c r="C40" s="652" t="n">
        <v>20</v>
      </c>
      <c r="D40" s="649" t="inlineStr">
        <is>
          <t>Garin Adjia Sofoua</t>
        </is>
      </c>
      <c r="E40" s="92" t="inlineStr">
        <is>
          <t>Tibiri</t>
        </is>
      </c>
      <c r="F40" s="92" t="inlineStr">
        <is>
          <t>Control</t>
        </is>
      </c>
      <c r="G40" s="55" t="n">
        <v>2019</v>
      </c>
      <c r="H40" s="56" t="n">
        <v>2020</v>
      </c>
      <c r="I40" s="62" t="n">
        <v>1</v>
      </c>
      <c r="J40" s="56" t="n">
        <v>1</v>
      </c>
      <c r="K40" s="56" t="n">
        <v>10</v>
      </c>
      <c r="L40" s="56" t="inlineStr">
        <is>
          <t>NA</t>
        </is>
      </c>
      <c r="M40" s="59" t="n"/>
      <c r="N40" s="562" t="n">
        <v>0</v>
      </c>
      <c r="O40" s="562" t="n">
        <v>0.73</v>
      </c>
      <c r="P40" s="80" t="n"/>
      <c r="Q40" s="184" t="n"/>
      <c r="R40" s="184" t="n"/>
      <c r="S40" s="184" t="n"/>
      <c r="T40" s="184" t="n"/>
      <c r="U40" s="184" t="n">
        <v>1.99</v>
      </c>
      <c r="V40" s="184" t="n">
        <v>1.76</v>
      </c>
      <c r="W40" s="184" t="n">
        <v>1.75</v>
      </c>
      <c r="X40" s="35" t="inlineStr">
        <is>
          <t>N/A</t>
        </is>
      </c>
      <c r="Y40" s="62" t="n"/>
      <c r="Z40" s="62" t="n"/>
      <c r="AA40" s="62" t="n"/>
      <c r="AB40" s="62" t="n"/>
      <c r="AC40" s="62" t="n"/>
      <c r="AD40" s="62" t="n"/>
      <c r="AE40" s="62" t="n"/>
      <c r="AF40" s="62" t="n"/>
      <c r="AG40" s="62" t="n"/>
      <c r="AH40" s="62" t="n"/>
      <c r="AI40" s="62" t="n"/>
      <c r="AJ40" s="62" t="n"/>
    </row>
    <row r="41">
      <c r="A41" s="67" t="n"/>
      <c r="B41" s="730" t="n">
        <v>10</v>
      </c>
      <c r="C41" s="359" t="n">
        <v>21</v>
      </c>
      <c r="D41" s="546" t="inlineStr">
        <is>
          <t xml:space="preserve">Moundourkoussa </t>
        </is>
      </c>
      <c r="E41" s="76" t="inlineStr">
        <is>
          <t>Tibiri</t>
        </is>
      </c>
      <c r="F41" s="67" t="inlineStr">
        <is>
          <t>Intervention</t>
        </is>
      </c>
      <c r="G41" s="68" t="n">
        <v>2019</v>
      </c>
      <c r="H41" s="68" t="n">
        <v>2020</v>
      </c>
      <c r="I41" s="72" t="n">
        <v>1</v>
      </c>
      <c r="J41" s="68" t="n">
        <v>1</v>
      </c>
      <c r="K41" s="68" t="n">
        <v>14</v>
      </c>
      <c r="L41" s="411" t="n">
        <v>1</v>
      </c>
      <c r="M41" s="537" t="n"/>
      <c r="N41" s="561" t="n">
        <v>0</v>
      </c>
      <c r="O41" s="561" t="n">
        <v>0.43</v>
      </c>
      <c r="P41" s="89" t="n"/>
      <c r="Q41" s="188" t="n"/>
      <c r="R41" s="188" t="n"/>
      <c r="S41" s="188" t="n"/>
      <c r="T41" s="188" t="n"/>
      <c r="U41" s="188" t="n">
        <v>2.25</v>
      </c>
      <c r="V41" s="188" t="n">
        <v>3.42</v>
      </c>
      <c r="W41" s="188" t="n">
        <v>2.84</v>
      </c>
      <c r="X41" s="35" t="inlineStr">
        <is>
          <t>N/A</t>
        </is>
      </c>
      <c r="Y41" s="72" t="n"/>
      <c r="Z41" s="72" t="n"/>
      <c r="AA41" s="72" t="n"/>
      <c r="AB41" s="72" t="n"/>
      <c r="AC41" s="72" t="n"/>
      <c r="AD41" s="72" t="n"/>
      <c r="AE41" s="72" t="n"/>
      <c r="AF41" s="72" t="n"/>
      <c r="AG41" s="72" t="n"/>
      <c r="AH41" s="72" t="n"/>
      <c r="AI41" s="72" t="n"/>
      <c r="AJ41" s="72" t="n"/>
    </row>
    <row r="42">
      <c r="A42" s="76" t="n"/>
      <c r="B42" s="698" t="n"/>
      <c r="C42" s="566" t="n">
        <v>22</v>
      </c>
      <c r="D42" s="549" t="inlineStr">
        <is>
          <t>Guigamaoua Sofoua</t>
        </is>
      </c>
      <c r="E42" s="76" t="inlineStr">
        <is>
          <t>Tibiri</t>
        </is>
      </c>
      <c r="F42" s="76" t="inlineStr">
        <is>
          <t>Control</t>
        </is>
      </c>
      <c r="G42" s="77" t="n">
        <v>2019</v>
      </c>
      <c r="H42" s="78" t="n">
        <v>2020</v>
      </c>
      <c r="I42" s="81" t="n">
        <v>1</v>
      </c>
      <c r="J42" s="78" t="n">
        <v>1</v>
      </c>
      <c r="K42" s="78" t="n">
        <v>21</v>
      </c>
      <c r="L42" s="78" t="inlineStr">
        <is>
          <t>NA</t>
        </is>
      </c>
      <c r="M42" s="59" t="n"/>
      <c r="N42" s="538">
        <f>2/K42</f>
        <v/>
      </c>
      <c r="O42" s="538" t="n">
        <v>0.33</v>
      </c>
      <c r="P42" s="80" t="n"/>
      <c r="Q42" s="190" t="n"/>
      <c r="R42" s="190" t="n"/>
      <c r="S42" s="190" t="n"/>
      <c r="T42" s="190" t="n"/>
      <c r="U42" s="190" t="n">
        <v>4.67</v>
      </c>
      <c r="V42" s="190" t="n">
        <v>2</v>
      </c>
      <c r="W42" s="190" t="n">
        <v>1.94</v>
      </c>
      <c r="X42" s="35" t="inlineStr">
        <is>
          <t>N/A</t>
        </is>
      </c>
      <c r="Y42" s="81" t="n"/>
      <c r="Z42" s="81" t="n"/>
      <c r="AA42" s="81" t="n"/>
      <c r="AB42" s="81" t="n"/>
      <c r="AC42" s="81" t="n"/>
      <c r="AD42" s="81" t="n"/>
      <c r="AE42" s="81" t="n"/>
      <c r="AF42" s="81" t="n"/>
      <c r="AG42" s="81" t="n"/>
      <c r="AH42" s="81" t="n"/>
      <c r="AI42" s="81" t="n"/>
      <c r="AJ42" s="81" t="n"/>
    </row>
    <row r="43">
      <c r="A43" s="86" t="n"/>
      <c r="B43" s="729" t="n">
        <v>11</v>
      </c>
      <c r="C43" s="456" t="n">
        <v>23</v>
      </c>
      <c r="D43" s="641" t="inlineStr">
        <is>
          <t xml:space="preserve">Guidan Adjia 1 </t>
        </is>
      </c>
      <c r="E43" s="76" t="inlineStr">
        <is>
          <t>Tibiri</t>
        </is>
      </c>
      <c r="F43" s="86" t="inlineStr">
        <is>
          <t>Intervention</t>
        </is>
      </c>
      <c r="G43" s="87" t="n">
        <v>2019</v>
      </c>
      <c r="H43" s="87" t="n">
        <v>2020</v>
      </c>
      <c r="I43" s="91" t="n">
        <v>1</v>
      </c>
      <c r="J43" s="87" t="n">
        <v>2</v>
      </c>
      <c r="K43" s="87" t="n">
        <v>35</v>
      </c>
      <c r="L43" s="439" t="n">
        <v>1</v>
      </c>
      <c r="M43" s="537" t="n"/>
      <c r="N43" s="559" t="n">
        <v>0</v>
      </c>
      <c r="O43" s="559" t="n">
        <v>0.4</v>
      </c>
      <c r="P43" s="89" t="n"/>
      <c r="Q43" s="192" t="n"/>
      <c r="R43" s="192" t="n"/>
      <c r="S43" s="192" t="n"/>
      <c r="T43" s="192" t="n"/>
      <c r="U43" s="192" t="n">
        <v>3.6</v>
      </c>
      <c r="V43" s="192" t="n">
        <v>3.55</v>
      </c>
      <c r="W43" s="192" t="n">
        <v>3.55</v>
      </c>
      <c r="X43" s="35" t="inlineStr">
        <is>
          <t>N/A</t>
        </is>
      </c>
      <c r="Y43" s="91" t="n"/>
      <c r="Z43" s="91" t="n"/>
      <c r="AA43" s="91" t="n"/>
      <c r="AB43" s="91" t="n"/>
      <c r="AC43" s="91" t="n"/>
      <c r="AD43" s="91" t="n"/>
      <c r="AE43" s="91" t="n"/>
      <c r="AF43" s="91" t="n"/>
      <c r="AG43" s="91" t="n"/>
      <c r="AH43" s="91" t="n"/>
      <c r="AI43" s="91" t="n"/>
      <c r="AJ43" s="91" t="n"/>
    </row>
    <row r="44">
      <c r="A44" s="92" t="n"/>
      <c r="B44" s="698" t="n"/>
      <c r="C44" s="652" t="n">
        <v>24</v>
      </c>
      <c r="D44" s="649" t="inlineStr">
        <is>
          <t>Dan Adoua</t>
        </is>
      </c>
      <c r="E44" s="76" t="inlineStr">
        <is>
          <t>Tibiri</t>
        </is>
      </c>
      <c r="F44" s="92" t="inlineStr">
        <is>
          <t>Control</t>
        </is>
      </c>
      <c r="G44" s="55" t="n">
        <v>2019</v>
      </c>
      <c r="H44" s="56" t="n">
        <v>2020</v>
      </c>
      <c r="I44" s="62" t="n">
        <v>1</v>
      </c>
      <c r="J44" s="56" t="n">
        <v>1</v>
      </c>
      <c r="K44" s="56" t="n">
        <v>28</v>
      </c>
      <c r="L44" s="56" t="inlineStr">
        <is>
          <t>NA</t>
        </is>
      </c>
      <c r="M44" s="59" t="n"/>
      <c r="N44" s="562">
        <f>5/K44</f>
        <v/>
      </c>
      <c r="O44" s="562" t="n">
        <v>0.54</v>
      </c>
      <c r="P44" s="80" t="n"/>
      <c r="Q44" s="184" t="n"/>
      <c r="R44" s="184" t="n"/>
      <c r="S44" s="184" t="n"/>
      <c r="T44" s="184" t="n"/>
      <c r="U44" s="184" t="n">
        <v>2.63</v>
      </c>
      <c r="V44" s="184" t="n">
        <v>-1.67</v>
      </c>
      <c r="W44" s="184" t="n">
        <v>0.48</v>
      </c>
      <c r="X44" s="35" t="inlineStr">
        <is>
          <t>N/A</t>
        </is>
      </c>
      <c r="Y44" s="62" t="n"/>
      <c r="Z44" s="62" t="n"/>
      <c r="AA44" s="62" t="n"/>
      <c r="AB44" s="62" t="n"/>
      <c r="AC44" s="62" t="n"/>
      <c r="AD44" s="62" t="n"/>
      <c r="AE44" s="62" t="n"/>
      <c r="AF44" s="62" t="n"/>
      <c r="AG44" s="62" t="n"/>
      <c r="AH44" s="62" t="n"/>
      <c r="AI44" s="62" t="n"/>
      <c r="AJ44" s="62" t="n"/>
    </row>
    <row r="45">
      <c r="A45" s="67" t="n"/>
      <c r="B45" s="730" t="n">
        <v>12</v>
      </c>
      <c r="C45" s="359" t="n">
        <v>25</v>
      </c>
      <c r="D45" s="546" t="inlineStr">
        <is>
          <t>Soura Magagi Rogo</t>
        </is>
      </c>
      <c r="E45" s="67" t="inlineStr">
        <is>
          <t>Tibiri</t>
        </is>
      </c>
      <c r="F45" s="67" t="inlineStr">
        <is>
          <t>Intervention</t>
        </is>
      </c>
      <c r="G45" s="68" t="n">
        <v>2019</v>
      </c>
      <c r="H45" s="68" t="n">
        <v>2020</v>
      </c>
      <c r="I45" s="72" t="n">
        <v>1</v>
      </c>
      <c r="J45" s="68" t="n">
        <v>1</v>
      </c>
      <c r="K45" s="68" t="n">
        <v>22</v>
      </c>
      <c r="L45" s="411" t="n">
        <v>1</v>
      </c>
      <c r="M45" s="537" t="n"/>
      <c r="N45" s="561">
        <f>1/22</f>
        <v/>
      </c>
      <c r="O45" s="561" t="n">
        <v>1</v>
      </c>
      <c r="P45" s="89" t="n"/>
      <c r="Q45" s="188" t="n"/>
      <c r="R45" s="188" t="n"/>
      <c r="S45" s="188" t="n"/>
      <c r="T45" s="188" t="n"/>
      <c r="U45" s="188" t="n">
        <v>2.24</v>
      </c>
      <c r="V45" s="188" t="n">
        <v>1.13</v>
      </c>
      <c r="W45" s="188" t="n">
        <v>1.79</v>
      </c>
      <c r="X45" s="35" t="inlineStr">
        <is>
          <t>N/A</t>
        </is>
      </c>
      <c r="Y45" s="72" t="n"/>
      <c r="Z45" s="72" t="n"/>
      <c r="AA45" s="72" t="n"/>
      <c r="AB45" s="72" t="n"/>
      <c r="AC45" s="72" t="n"/>
      <c r="AD45" s="72" t="n"/>
      <c r="AE45" s="72" t="n"/>
      <c r="AF45" s="72" t="n"/>
      <c r="AG45" s="72" t="n"/>
      <c r="AH45" s="72" t="n"/>
      <c r="AI45" s="72" t="n"/>
      <c r="AJ45" s="72" t="n"/>
    </row>
    <row r="46" ht="15.75" customHeight="1" s="695">
      <c r="A46" s="76" t="n"/>
      <c r="B46" s="698" t="n"/>
      <c r="C46" s="566" t="n">
        <v>26</v>
      </c>
      <c r="D46" s="549" t="inlineStr">
        <is>
          <t>Maisso</t>
        </is>
      </c>
      <c r="E46" s="76" t="inlineStr">
        <is>
          <t>Tibiri</t>
        </is>
      </c>
      <c r="F46" s="76" t="inlineStr">
        <is>
          <t>Control</t>
        </is>
      </c>
      <c r="G46" s="77" t="n">
        <v>2019</v>
      </c>
      <c r="H46" s="78" t="n">
        <v>2020</v>
      </c>
      <c r="I46" s="81" t="n">
        <v>1</v>
      </c>
      <c r="J46" s="78" t="n">
        <v>1</v>
      </c>
      <c r="K46" s="78" t="n">
        <v>14</v>
      </c>
      <c r="L46" s="78" t="inlineStr">
        <is>
          <t>NA</t>
        </is>
      </c>
      <c r="M46" s="59" t="n"/>
      <c r="N46" s="538" t="n">
        <v>0</v>
      </c>
      <c r="O46" s="538" t="n">
        <v>0.5</v>
      </c>
      <c r="P46" s="80" t="n"/>
      <c r="Q46" s="190" t="n"/>
      <c r="R46" s="190" t="n"/>
      <c r="S46" s="190" t="n"/>
      <c r="T46" s="190" t="n"/>
      <c r="U46" s="190" t="n">
        <v>1.13</v>
      </c>
      <c r="V46" s="190" t="n">
        <v>0.45</v>
      </c>
      <c r="W46" s="190" t="n">
        <v>0.79</v>
      </c>
      <c r="X46" s="35" t="inlineStr">
        <is>
          <t>N/A</t>
        </is>
      </c>
      <c r="Y46" s="81" t="n"/>
      <c r="Z46" s="81" t="n"/>
      <c r="AA46" s="81" t="n"/>
      <c r="AB46" s="81" t="n"/>
      <c r="AC46" s="81" t="n"/>
      <c r="AD46" s="81" t="n"/>
      <c r="AE46" s="81" t="n"/>
      <c r="AF46" s="81" t="n"/>
      <c r="AG46" s="81" t="n"/>
      <c r="AH46" s="81" t="n"/>
      <c r="AI46" s="81" t="n"/>
      <c r="AJ46" s="81" t="n"/>
    </row>
    <row r="47">
      <c r="A47" s="86" t="n"/>
      <c r="B47" s="732" t="n">
        <v>13</v>
      </c>
      <c r="C47" s="456" t="n">
        <v>27</v>
      </c>
      <c r="D47" s="641" t="inlineStr">
        <is>
          <t>Kalgon Waraou</t>
        </is>
      </c>
      <c r="E47" s="86" t="inlineStr">
        <is>
          <t>Tibiri</t>
        </is>
      </c>
      <c r="F47" s="86" t="inlineStr">
        <is>
          <t>Intervention</t>
        </is>
      </c>
      <c r="G47" s="87" t="n">
        <v>2019</v>
      </c>
      <c r="H47" s="87" t="n">
        <v>2020</v>
      </c>
      <c r="I47" s="91" t="n">
        <v>1</v>
      </c>
      <c r="J47" s="87" t="n">
        <v>1</v>
      </c>
      <c r="K47" s="87" t="n">
        <v>12</v>
      </c>
      <c r="L47" s="439" t="n">
        <v>1</v>
      </c>
      <c r="M47" s="537" t="n"/>
      <c r="N47" s="559" t="n">
        <v>0</v>
      </c>
      <c r="O47" s="559" t="n">
        <v>0.5</v>
      </c>
      <c r="P47" s="89" t="n"/>
      <c r="Q47" s="192" t="n"/>
      <c r="R47" s="192" t="n"/>
      <c r="S47" s="192" t="n"/>
      <c r="T47" s="192" t="n"/>
      <c r="U47" s="192" t="n">
        <v>3.13</v>
      </c>
      <c r="V47" s="192" t="n">
        <v>3.94</v>
      </c>
      <c r="W47" s="192" t="n">
        <v>2.95</v>
      </c>
      <c r="X47" s="35" t="inlineStr">
        <is>
          <t>N/A</t>
        </is>
      </c>
      <c r="Y47" s="91" t="n"/>
      <c r="Z47" s="91" t="n"/>
      <c r="AA47" s="91" t="n"/>
      <c r="AB47" s="91" t="n"/>
      <c r="AC47" s="91" t="n"/>
      <c r="AD47" s="91" t="n"/>
      <c r="AE47" s="91" t="n"/>
      <c r="AF47" s="91" t="n"/>
      <c r="AG47" s="91" t="n"/>
      <c r="AH47" s="91" t="n"/>
      <c r="AI47" s="91" t="n"/>
      <c r="AJ47" s="91" t="n"/>
    </row>
    <row r="48">
      <c r="A48" s="92" t="n"/>
      <c r="B48" s="706" t="n"/>
      <c r="C48" s="456" t="n">
        <v>28</v>
      </c>
      <c r="D48" s="580" t="inlineStr">
        <is>
          <t xml:space="preserve">Garin Malan Hamza </t>
        </is>
      </c>
      <c r="E48" s="581" t="inlineStr">
        <is>
          <t>Tibiri</t>
        </is>
      </c>
      <c r="F48" s="92" t="inlineStr">
        <is>
          <t>Control</t>
        </is>
      </c>
      <c r="G48" s="55" t="n">
        <v>2019</v>
      </c>
      <c r="H48" s="56" t="n">
        <v>2020</v>
      </c>
      <c r="I48" s="62" t="n">
        <v>1</v>
      </c>
      <c r="J48" s="56" t="n">
        <v>1</v>
      </c>
      <c r="K48" s="56" t="n">
        <v>19</v>
      </c>
      <c r="L48" s="56" t="inlineStr">
        <is>
          <t>NA</t>
        </is>
      </c>
      <c r="M48" s="59" t="n"/>
      <c r="N48" s="562" t="n">
        <v>0</v>
      </c>
      <c r="O48" s="562" t="n">
        <v>0.53</v>
      </c>
      <c r="P48" s="80" t="n"/>
      <c r="Q48" s="184" t="n"/>
      <c r="R48" s="184" t="n"/>
      <c r="S48" s="184" t="n"/>
      <c r="T48" s="184" t="n"/>
      <c r="U48" s="184" t="n">
        <v>2.72</v>
      </c>
      <c r="V48" s="184" t="n">
        <v>3.49</v>
      </c>
      <c r="W48" s="184" t="n">
        <v>3.11</v>
      </c>
      <c r="X48" s="35" t="inlineStr">
        <is>
          <t>N/A</t>
        </is>
      </c>
      <c r="Y48" s="62" t="n"/>
      <c r="Z48" s="62" t="n"/>
      <c r="AA48" s="62" t="n"/>
      <c r="AB48" s="62" t="n"/>
      <c r="AC48" s="62" t="n"/>
      <c r="AD48" s="62" t="n"/>
      <c r="AE48" s="62" t="n"/>
      <c r="AF48" s="62" t="n"/>
      <c r="AG48" s="62" t="n"/>
      <c r="AH48" s="62" t="n"/>
      <c r="AI48" s="62" t="n"/>
      <c r="AJ48" s="62" t="n"/>
    </row>
    <row r="49">
      <c r="A49" s="584" t="n"/>
      <c r="B49" s="733" t="n">
        <v>14</v>
      </c>
      <c r="C49" s="359" t="n">
        <v>29</v>
      </c>
      <c r="D49" s="584" t="inlineStr">
        <is>
          <t xml:space="preserve">Laouali Dango </t>
        </is>
      </c>
      <c r="E49" s="585" t="inlineStr">
        <is>
          <t>Tibiri</t>
        </is>
      </c>
      <c r="F49" s="584" t="inlineStr">
        <is>
          <t>Intervention</t>
        </is>
      </c>
      <c r="G49" s="584" t="n">
        <v>2019</v>
      </c>
      <c r="H49" s="584" t="n">
        <v>2020</v>
      </c>
      <c r="I49" s="547" t="n">
        <v>1</v>
      </c>
      <c r="J49" s="586" t="n">
        <v>2</v>
      </c>
      <c r="K49" s="586" t="n">
        <v>54</v>
      </c>
      <c r="L49" s="586" t="n">
        <v>1</v>
      </c>
      <c r="M49" s="201" t="n"/>
      <c r="N49" s="587" t="n">
        <v>0</v>
      </c>
      <c r="O49" s="587" t="n">
        <v>0.76</v>
      </c>
      <c r="P49" s="202" t="n"/>
      <c r="Q49" s="588" t="n"/>
      <c r="R49" s="588" t="n"/>
      <c r="S49" s="588" t="n"/>
      <c r="T49" s="588" t="n"/>
      <c r="U49" s="588" t="n">
        <v>2.63</v>
      </c>
      <c r="V49" s="588" t="n">
        <v>3.68</v>
      </c>
      <c r="W49" s="588" t="n">
        <v>3.16</v>
      </c>
      <c r="X49" s="35" t="inlineStr">
        <is>
          <t>N/A</t>
        </is>
      </c>
      <c r="Y49" s="547" t="n"/>
      <c r="Z49" s="547" t="n"/>
      <c r="AA49" s="547" t="n"/>
      <c r="AB49" s="547" t="n"/>
      <c r="AC49" s="547" t="n"/>
      <c r="AD49" s="547" t="n"/>
      <c r="AE49" s="547" t="n"/>
      <c r="AF49" s="547" t="n"/>
      <c r="AG49" s="547" t="n"/>
      <c r="AH49" s="547" t="n"/>
      <c r="AI49" s="547" t="n"/>
      <c r="AJ49" s="547" t="n"/>
    </row>
    <row r="50">
      <c r="A50" s="549" t="n"/>
      <c r="B50" s="698" t="n"/>
      <c r="C50" s="566" t="n">
        <v>30</v>
      </c>
      <c r="D50" s="549" t="inlineStr">
        <is>
          <t>Garin Barmo</t>
        </is>
      </c>
      <c r="E50" s="585" t="inlineStr">
        <is>
          <t>Tibiri</t>
        </is>
      </c>
      <c r="F50" s="549" t="inlineStr">
        <is>
          <t>Control</t>
        </is>
      </c>
      <c r="G50" s="77" t="n">
        <v>2019</v>
      </c>
      <c r="H50" s="549" t="n">
        <v>2020</v>
      </c>
      <c r="I50" s="550" t="n">
        <v>1</v>
      </c>
      <c r="J50" s="566" t="n">
        <v>1</v>
      </c>
      <c r="K50" s="566" t="n">
        <v>20</v>
      </c>
      <c r="L50" s="566" t="inlineStr">
        <is>
          <t>NA</t>
        </is>
      </c>
      <c r="M50" s="139" t="n"/>
      <c r="N50" s="567" t="n">
        <v>0</v>
      </c>
      <c r="O50" s="567" t="n">
        <v>0.47</v>
      </c>
      <c r="P50" s="141" t="n"/>
      <c r="Q50" s="153" t="n"/>
      <c r="R50" s="153" t="n"/>
      <c r="S50" s="153" t="n"/>
      <c r="T50" s="153" t="n"/>
      <c r="U50" s="153" t="n">
        <v>1.06</v>
      </c>
      <c r="V50" s="153" t="n">
        <v>1.46</v>
      </c>
      <c r="W50" s="153" t="n">
        <v>1.26</v>
      </c>
      <c r="X50" s="35" t="inlineStr">
        <is>
          <t>N/A</t>
        </is>
      </c>
      <c r="Y50" s="550" t="n"/>
      <c r="Z50" s="550" t="n"/>
      <c r="AA50" s="550" t="n"/>
      <c r="AB50" s="550" t="n"/>
      <c r="AC50" s="550" t="n"/>
      <c r="AD50" s="550" t="n"/>
      <c r="AE50" s="550" t="n"/>
      <c r="AF50" s="550" t="n"/>
      <c r="AG50" s="550" t="n"/>
      <c r="AH50" s="550" t="n"/>
      <c r="AI50" s="550" t="n"/>
      <c r="AJ50" s="550" t="n"/>
    </row>
    <row r="51">
      <c r="A51" s="95" t="n"/>
      <c r="B51" s="95" t="n"/>
      <c r="C51" s="98" t="n"/>
      <c r="D51" s="95" t="n"/>
      <c r="E51" s="95" t="n"/>
      <c r="F51" s="95" t="n"/>
      <c r="G51" s="95" t="n"/>
      <c r="H51" s="95" t="n"/>
      <c r="I51" s="95" t="n"/>
      <c r="J51" s="95" t="n"/>
      <c r="K51" s="95" t="n"/>
      <c r="L51" s="99" t="n"/>
      <c r="M51" s="100" t="n"/>
      <c r="N51" s="100" t="n"/>
      <c r="O51" s="100" t="n"/>
      <c r="P51" s="100" t="n"/>
      <c r="Q51" s="100" t="n"/>
      <c r="R51" s="100" t="n"/>
      <c r="S51" s="100" t="n"/>
      <c r="T51" s="100" t="n"/>
      <c r="U51" s="100" t="n"/>
      <c r="V51" s="100" t="n"/>
      <c r="W51" s="100" t="n"/>
      <c r="X51" s="100" t="n"/>
      <c r="Y51" s="100" t="n"/>
      <c r="Z51" s="100" t="n"/>
      <c r="AA51" s="100" t="n"/>
      <c r="AB51" s="100" t="n"/>
      <c r="AC51" s="100" t="n"/>
      <c r="AD51" s="100" t="n"/>
      <c r="AE51" s="100" t="n"/>
      <c r="AF51" s="100" t="n"/>
      <c r="AG51" s="100" t="n"/>
      <c r="AH51" s="100" t="n"/>
      <c r="AI51" s="100" t="n"/>
      <c r="AJ51" s="100" t="n"/>
    </row>
    <row r="52">
      <c r="A52" s="207" t="inlineStr">
        <is>
          <t>COHORTE 3 CM2 2020-2021</t>
        </is>
      </c>
      <c r="B52" s="95" t="n"/>
      <c r="C52" s="98" t="n"/>
      <c r="D52" s="95" t="n"/>
      <c r="E52" s="95" t="n"/>
      <c r="F52" s="95" t="n"/>
      <c r="G52" s="95" t="n"/>
      <c r="H52" s="95" t="n"/>
      <c r="I52" s="95" t="n"/>
      <c r="J52" s="95" t="n"/>
      <c r="K52" s="95" t="n"/>
      <c r="L52" s="99" t="n"/>
      <c r="M52" s="100" t="n"/>
      <c r="N52" s="100" t="n"/>
      <c r="O52" s="100" t="n"/>
      <c r="P52" s="100" t="n"/>
      <c r="Q52" s="100" t="n"/>
      <c r="R52" s="100" t="n"/>
      <c r="S52" s="100" t="n"/>
      <c r="T52" s="100" t="n"/>
      <c r="U52" s="100" t="n"/>
      <c r="V52" s="100" t="n"/>
      <c r="W52" s="100" t="n"/>
      <c r="X52" s="100" t="n"/>
      <c r="Y52" s="100" t="n"/>
      <c r="Z52" s="100" t="n"/>
      <c r="AA52" s="100" t="n"/>
      <c r="AB52" s="100" t="n"/>
      <c r="AC52" s="100" t="n"/>
      <c r="AD52" s="100" t="n"/>
      <c r="AE52" s="100" t="n"/>
      <c r="AF52" s="100" t="n"/>
      <c r="AG52" s="100" t="n"/>
      <c r="AH52" s="100" t="n"/>
      <c r="AI52" s="100" t="n"/>
      <c r="AJ52" s="100" t="n"/>
    </row>
    <row r="53">
      <c r="A53" s="597" t="n"/>
      <c r="B53" s="714" t="n">
        <v>1</v>
      </c>
      <c r="C53" s="463" t="n">
        <v>1</v>
      </c>
      <c r="D53" s="49" t="inlineStr">
        <is>
          <t>Katare Guidan Ousmane 1</t>
        </is>
      </c>
      <c r="E53" s="343" t="inlineStr">
        <is>
          <t>Tibiri</t>
        </is>
      </c>
      <c r="F53" s="343" t="inlineStr">
        <is>
          <t>Intervention</t>
        </is>
      </c>
      <c r="G53" s="641" t="n">
        <v>2020</v>
      </c>
      <c r="H53" s="641" t="n">
        <v>2021</v>
      </c>
      <c r="I53" s="91" t="n">
        <v>3</v>
      </c>
      <c r="J53" s="456" t="n">
        <v>2</v>
      </c>
      <c r="K53" s="343" t="n">
        <v>35</v>
      </c>
      <c r="L53" s="346" t="n">
        <v>1</v>
      </c>
      <c r="M53" s="537" t="n"/>
      <c r="N53" s="559" t="n">
        <v>0</v>
      </c>
      <c r="O53" s="559" t="n">
        <v>0.6</v>
      </c>
      <c r="P53" s="560" t="n"/>
      <c r="Q53" s="246" t="n"/>
      <c r="R53" s="246" t="n"/>
      <c r="S53" s="246" t="n"/>
      <c r="T53" s="246" t="n"/>
      <c r="U53" s="246" t="n">
        <v>2.735</v>
      </c>
      <c r="V53" s="246" t="n">
        <v>2.234</v>
      </c>
      <c r="W53" s="246" t="n">
        <v>2.01</v>
      </c>
      <c r="X53" s="91" t="inlineStr">
        <is>
          <t>N/A</t>
        </is>
      </c>
      <c r="Y53" s="91" t="n"/>
      <c r="Z53" s="91" t="n"/>
      <c r="AA53" s="91" t="n"/>
      <c r="AB53" s="91" t="n"/>
      <c r="AC53" s="91" t="n"/>
      <c r="AD53" s="91" t="n"/>
      <c r="AE53" s="91" t="n"/>
      <c r="AF53" s="91" t="n"/>
      <c r="AG53" s="91" t="n"/>
      <c r="AH53" s="91" t="n"/>
      <c r="AI53" s="91" t="n"/>
      <c r="AJ53" s="160" t="n"/>
    </row>
    <row r="54">
      <c r="A54" s="618" t="n"/>
      <c r="B54" s="698" t="n"/>
      <c r="C54" s="589" t="n">
        <v>2</v>
      </c>
      <c r="D54" s="62" t="inlineStr">
        <is>
          <t xml:space="preserve">Soura 3 </t>
        </is>
      </c>
      <c r="E54" s="350" t="inlineStr">
        <is>
          <t>Tibiri</t>
        </is>
      </c>
      <c r="F54" s="350" t="inlineStr">
        <is>
          <t>Control</t>
        </is>
      </c>
      <c r="G54" s="55" t="n">
        <v>2020</v>
      </c>
      <c r="H54" s="649" t="n">
        <v>2021</v>
      </c>
      <c r="I54" s="62" t="n">
        <v>3</v>
      </c>
      <c r="J54" s="56" t="inlineStr">
        <is>
          <t>NA</t>
        </is>
      </c>
      <c r="K54" s="350" t="n">
        <v>21</v>
      </c>
      <c r="L54" s="589" t="inlineStr">
        <is>
          <t>NA</t>
        </is>
      </c>
      <c r="M54" s="59" t="n"/>
      <c r="N54" s="562">
        <f>1/K54</f>
        <v/>
      </c>
      <c r="O54" s="562" t="n">
        <v>0.67</v>
      </c>
      <c r="P54" s="590" t="n"/>
      <c r="Q54" s="242" t="n"/>
      <c r="R54" s="242" t="n"/>
      <c r="S54" s="242" t="n"/>
      <c r="T54" s="242" t="n"/>
      <c r="U54" s="242" t="n">
        <v>2.369</v>
      </c>
      <c r="V54" s="242" t="n">
        <v>4.077</v>
      </c>
      <c r="W54" s="242" t="n">
        <v>-1.51</v>
      </c>
      <c r="X54" s="91" t="inlineStr">
        <is>
          <t>N/A</t>
        </is>
      </c>
      <c r="Y54" s="62" t="n"/>
      <c r="Z54" s="62" t="n"/>
      <c r="AA54" s="62" t="n"/>
      <c r="AB54" s="62" t="n"/>
      <c r="AC54" s="62" t="n"/>
      <c r="AD54" s="62" t="n"/>
      <c r="AE54" s="62" t="n"/>
      <c r="AF54" s="62" t="n"/>
      <c r="AG54" s="62" t="n"/>
      <c r="AH54" s="62" t="n"/>
      <c r="AI54" s="62" t="n"/>
      <c r="AJ54" s="162" t="n"/>
    </row>
    <row r="55">
      <c r="A55" s="353" t="n"/>
      <c r="B55" s="625" t="n">
        <v>2</v>
      </c>
      <c r="C55" s="464" t="n">
        <v>3</v>
      </c>
      <c r="D55" s="72" t="inlineStr">
        <is>
          <t>Katare Guidan Ousmane 2</t>
        </is>
      </c>
      <c r="E55" s="357" t="inlineStr">
        <is>
          <t>Tibiri</t>
        </is>
      </c>
      <c r="F55" s="357" t="inlineStr">
        <is>
          <t>Intervention</t>
        </is>
      </c>
      <c r="G55" s="546" t="n">
        <v>2020</v>
      </c>
      <c r="H55" s="546" t="n">
        <v>2021</v>
      </c>
      <c r="I55" s="72" t="n">
        <v>3</v>
      </c>
      <c r="J55" s="359" t="n">
        <v>1</v>
      </c>
      <c r="K55" s="357" t="n">
        <v>16</v>
      </c>
      <c r="L55" s="360" t="n">
        <v>1</v>
      </c>
      <c r="M55" s="537" t="n"/>
      <c r="N55" s="561" t="n">
        <v>0</v>
      </c>
      <c r="O55" s="561" t="n">
        <v>0.44</v>
      </c>
      <c r="P55" s="560" t="n"/>
      <c r="Q55" s="255" t="n"/>
      <c r="R55" s="255" t="n"/>
      <c r="S55" s="255" t="n"/>
      <c r="T55" s="255" t="n"/>
      <c r="U55" s="255" t="n">
        <v>3.426</v>
      </c>
      <c r="V55" s="255" t="n">
        <v>1.853</v>
      </c>
      <c r="W55" s="255" t="n">
        <v>2.73</v>
      </c>
      <c r="X55" s="91" t="inlineStr">
        <is>
          <t>N/A</t>
        </is>
      </c>
      <c r="Y55" s="72" t="n"/>
      <c r="Z55" s="72" t="n"/>
      <c r="AA55" s="72" t="n"/>
      <c r="AB55" s="72" t="n"/>
      <c r="AC55" s="72" t="n"/>
      <c r="AD55" s="72" t="n"/>
      <c r="AE55" s="72" t="n"/>
      <c r="AF55" s="72" t="n"/>
      <c r="AG55" s="72" t="n"/>
      <c r="AH55" s="72" t="n"/>
      <c r="AI55" s="72" t="n"/>
      <c r="AJ55" s="163" t="n"/>
    </row>
    <row r="56">
      <c r="A56" s="659" t="n"/>
      <c r="B56" s="698" t="n"/>
      <c r="C56" s="592" t="n">
        <v>4</v>
      </c>
      <c r="D56" s="81" t="inlineStr">
        <is>
          <t>Kara Kara 3</t>
        </is>
      </c>
      <c r="E56" s="364" t="inlineStr">
        <is>
          <t>Tibiri</t>
        </is>
      </c>
      <c r="F56" s="364" t="inlineStr">
        <is>
          <t>Control</t>
        </is>
      </c>
      <c r="G56" s="77" t="n">
        <v>2020</v>
      </c>
      <c r="H56" s="549" t="n">
        <v>2021</v>
      </c>
      <c r="I56" s="81" t="n">
        <v>3</v>
      </c>
      <c r="J56" s="78" t="inlineStr">
        <is>
          <t>NA</t>
        </is>
      </c>
      <c r="K56" s="364" t="n">
        <v>28</v>
      </c>
      <c r="L56" s="592" t="inlineStr">
        <is>
          <t>NA</t>
        </is>
      </c>
      <c r="M56" s="59" t="n"/>
      <c r="N56" s="538" t="n">
        <v>0</v>
      </c>
      <c r="O56" s="538" t="n">
        <v>0.54</v>
      </c>
      <c r="P56" s="590" t="n"/>
      <c r="Q56" s="243" t="n"/>
      <c r="R56" s="243" t="n"/>
      <c r="S56" s="243" t="n"/>
      <c r="T56" s="243" t="n"/>
      <c r="U56" s="243" t="n">
        <v>2.944</v>
      </c>
      <c r="V56" s="243" t="n">
        <v>1.188</v>
      </c>
      <c r="W56" s="243" t="n">
        <v>0.91</v>
      </c>
      <c r="X56" s="91" t="inlineStr">
        <is>
          <t>N/A</t>
        </is>
      </c>
      <c r="Y56" s="81" t="n"/>
      <c r="Z56" s="81" t="n"/>
      <c r="AA56" s="81" t="n"/>
      <c r="AB56" s="81" t="n"/>
      <c r="AC56" s="81" t="n"/>
      <c r="AD56" s="81" t="n"/>
      <c r="AE56" s="81" t="n"/>
      <c r="AF56" s="81" t="n"/>
      <c r="AG56" s="81" t="n"/>
      <c r="AH56" s="81" t="n"/>
      <c r="AI56" s="81" t="n"/>
      <c r="AJ56" s="244" t="n"/>
    </row>
    <row r="57">
      <c r="A57" s="597" t="n"/>
      <c r="B57" s="714" t="n">
        <v>3</v>
      </c>
      <c r="C57" s="593" t="n">
        <v>5</v>
      </c>
      <c r="D57" s="641" t="inlineStr">
        <is>
          <t>Tibiri Nord 3</t>
        </is>
      </c>
      <c r="E57" s="343" t="inlineStr">
        <is>
          <t>Tibiri</t>
        </is>
      </c>
      <c r="F57" s="343" t="inlineStr">
        <is>
          <t>Intervention</t>
        </is>
      </c>
      <c r="G57" s="641" t="n">
        <v>2020</v>
      </c>
      <c r="H57" s="641" t="n">
        <v>2021</v>
      </c>
      <c r="I57" s="91" t="n">
        <v>3</v>
      </c>
      <c r="J57" s="343" t="n">
        <v>2</v>
      </c>
      <c r="K57" s="343" t="n">
        <v>26</v>
      </c>
      <c r="L57" s="594" t="n">
        <v>1</v>
      </c>
      <c r="M57" s="537" t="n"/>
      <c r="N57" s="559" t="n">
        <v>0</v>
      </c>
      <c r="O57" s="559" t="n">
        <v>0.92</v>
      </c>
      <c r="P57" s="560" t="n"/>
      <c r="Q57" s="246" t="n"/>
      <c r="R57" s="246" t="n"/>
      <c r="S57" s="246" t="n"/>
      <c r="T57" s="246" t="n"/>
      <c r="U57" s="246" t="n">
        <v>4.679</v>
      </c>
      <c r="V57" s="246" t="n">
        <v>3.04</v>
      </c>
      <c r="W57" s="246" t="n">
        <v>4.26</v>
      </c>
      <c r="X57" s="91" t="inlineStr">
        <is>
          <t>N/A</t>
        </is>
      </c>
      <c r="Y57" s="91" t="n"/>
      <c r="Z57" s="91" t="n"/>
      <c r="AA57" s="91" t="n"/>
      <c r="AB57" s="91" t="n"/>
      <c r="AC57" s="91" t="n"/>
      <c r="AD57" s="91" t="n"/>
      <c r="AE57" s="91" t="n"/>
      <c r="AF57" s="91" t="n"/>
      <c r="AG57" s="91" t="n"/>
      <c r="AH57" s="91" t="n"/>
      <c r="AI57" s="91" t="n"/>
      <c r="AJ57" s="160" t="n"/>
    </row>
    <row r="58">
      <c r="A58" s="618" t="n"/>
      <c r="B58" s="698" t="n"/>
      <c r="C58" s="595" t="n">
        <v>6</v>
      </c>
      <c r="D58" s="649" t="inlineStr">
        <is>
          <t>Garin Daoure 1</t>
        </is>
      </c>
      <c r="E58" s="350" t="inlineStr">
        <is>
          <t>Tibiri</t>
        </is>
      </c>
      <c r="F58" s="350" t="inlineStr">
        <is>
          <t>Control</t>
        </is>
      </c>
      <c r="G58" s="55" t="n">
        <v>2020</v>
      </c>
      <c r="H58" s="649" t="n">
        <v>2021</v>
      </c>
      <c r="I58" s="62" t="n">
        <v>3</v>
      </c>
      <c r="J58" s="56" t="inlineStr">
        <is>
          <t>NA</t>
        </is>
      </c>
      <c r="K58" s="350" t="n">
        <v>14</v>
      </c>
      <c r="L58" s="589" t="inlineStr">
        <is>
          <t>NA</t>
        </is>
      </c>
      <c r="M58" s="59" t="n"/>
      <c r="N58" s="562" t="n">
        <v>0</v>
      </c>
      <c r="O58" s="562" t="n">
        <v>0.79</v>
      </c>
      <c r="P58" s="590" t="n"/>
      <c r="Q58" s="596" t="n"/>
      <c r="R58" s="596" t="n"/>
      <c r="S58" s="596" t="n"/>
      <c r="T58" s="596" t="n"/>
      <c r="U58" s="596" t="n">
        <v>-5.48</v>
      </c>
      <c r="V58" s="596" t="n">
        <v>-5.86</v>
      </c>
      <c r="W58" s="242" t="n">
        <v>-5.67</v>
      </c>
      <c r="X58" s="91" t="inlineStr">
        <is>
          <t>N/A</t>
        </is>
      </c>
      <c r="Y58" s="62" t="n"/>
      <c r="Z58" s="62" t="n"/>
      <c r="AA58" s="62" t="n"/>
      <c r="AB58" s="62" t="n"/>
      <c r="AC58" s="62" t="n"/>
      <c r="AD58" s="62" t="n"/>
      <c r="AE58" s="62" t="n"/>
      <c r="AF58" s="62" t="n"/>
      <c r="AG58" s="62" t="n"/>
      <c r="AH58" s="62" t="n"/>
      <c r="AI58" s="62" t="n"/>
      <c r="AJ58" s="162" t="n"/>
    </row>
    <row r="59">
      <c r="A59" s="597" t="inlineStr">
        <is>
          <t>Soura Aboubacar 3</t>
        </is>
      </c>
      <c r="B59" s="714" t="n">
        <v>4</v>
      </c>
      <c r="C59" s="598" t="n">
        <v>8</v>
      </c>
      <c r="D59" s="599" t="inlineStr">
        <is>
          <t>Tibiri Dan Fillo 3</t>
        </is>
      </c>
      <c r="E59" s="343" t="inlineStr">
        <is>
          <t>Tibiri</t>
        </is>
      </c>
      <c r="F59" s="343" t="inlineStr">
        <is>
          <t>Intervention</t>
        </is>
      </c>
      <c r="G59" s="87" t="n">
        <v>2020</v>
      </c>
      <c r="H59" s="87" t="n">
        <v>2021</v>
      </c>
      <c r="I59" s="91" t="n">
        <v>2</v>
      </c>
      <c r="J59" s="87" t="n">
        <v>3</v>
      </c>
      <c r="K59" s="343" t="n">
        <v>47</v>
      </c>
      <c r="L59" s="346" t="n">
        <v>1</v>
      </c>
      <c r="M59" s="537" t="n"/>
      <c r="N59" s="559" t="n">
        <v>0</v>
      </c>
      <c r="O59" s="559" t="n">
        <v>0.72</v>
      </c>
      <c r="P59" s="560" t="n"/>
      <c r="Q59" s="246" t="n"/>
      <c r="R59" s="246" t="n"/>
      <c r="S59" s="246" t="n"/>
      <c r="T59" s="246" t="n"/>
      <c r="U59" s="246" t="n">
        <v>2.491</v>
      </c>
      <c r="V59" s="246" t="n">
        <v>3.648</v>
      </c>
      <c r="W59" s="246" t="n">
        <v>3.07</v>
      </c>
      <c r="X59" s="91" t="inlineStr">
        <is>
          <t>N/A</t>
        </is>
      </c>
      <c r="Y59" s="91" t="n"/>
      <c r="Z59" s="91" t="n"/>
      <c r="AA59" s="91" t="n"/>
      <c r="AB59" s="91" t="n"/>
      <c r="AC59" s="91" t="n"/>
      <c r="AD59" s="91" t="n"/>
      <c r="AE59" s="91" t="n"/>
      <c r="AF59" s="91" t="n"/>
      <c r="AG59" s="91" t="n"/>
      <c r="AH59" s="91" t="n"/>
      <c r="AI59" s="91" t="n"/>
      <c r="AJ59" s="160" t="n"/>
    </row>
    <row r="60">
      <c r="A60" s="618" t="n"/>
      <c r="B60" s="698" t="n"/>
      <c r="C60" s="595" t="n">
        <v>10</v>
      </c>
      <c r="D60" s="600" t="inlineStr">
        <is>
          <t>Imbelbelou 3</t>
        </is>
      </c>
      <c r="E60" s="350" t="inlineStr">
        <is>
          <t>Tibiri</t>
        </is>
      </c>
      <c r="F60" s="350" t="inlineStr">
        <is>
          <t>Control</t>
        </is>
      </c>
      <c r="G60" s="55" t="n">
        <v>2020</v>
      </c>
      <c r="H60" s="56" t="n">
        <v>2021</v>
      </c>
      <c r="I60" s="62" t="n">
        <v>3</v>
      </c>
      <c r="J60" s="56" t="inlineStr">
        <is>
          <t>NA</t>
        </is>
      </c>
      <c r="K60" s="350" t="n">
        <v>46</v>
      </c>
      <c r="L60" s="589" t="inlineStr">
        <is>
          <t>NA</t>
        </is>
      </c>
      <c r="M60" s="59" t="n"/>
      <c r="N60" s="562" t="n">
        <v>0</v>
      </c>
      <c r="O60" s="562" t="n">
        <v>0.78</v>
      </c>
      <c r="P60" s="590" t="n"/>
      <c r="Q60" s="242" t="n"/>
      <c r="R60" s="242" t="n"/>
      <c r="S60" s="242" t="n"/>
      <c r="T60" s="242" t="n"/>
      <c r="U60" s="242" t="n">
        <v>0.605</v>
      </c>
      <c r="V60" s="242" t="n">
        <v>2.364</v>
      </c>
      <c r="W60" s="242" t="n">
        <v>1.04</v>
      </c>
      <c r="X60" s="91" t="inlineStr">
        <is>
          <t>N/A</t>
        </is>
      </c>
      <c r="Y60" s="62" t="n"/>
      <c r="Z60" s="62" t="n"/>
      <c r="AA60" s="62" t="n"/>
      <c r="AB60" s="62" t="n"/>
      <c r="AC60" s="62" t="n"/>
      <c r="AD60" s="62" t="n"/>
      <c r="AE60" s="62" t="n"/>
      <c r="AF60" s="62" t="n"/>
      <c r="AG60" s="62" t="n"/>
      <c r="AH60" s="62" t="n"/>
      <c r="AI60" s="62" t="n"/>
      <c r="AJ60" s="162" t="n"/>
    </row>
    <row r="61">
      <c r="A61" s="353" t="n"/>
      <c r="B61" s="625" t="n">
        <v>5</v>
      </c>
      <c r="C61" s="601" t="n">
        <v>11</v>
      </c>
      <c r="D61" s="622" t="inlineStr">
        <is>
          <t>Soura Aboubacar 4</t>
        </is>
      </c>
      <c r="E61" s="357" t="inlineStr">
        <is>
          <t>Tibiri</t>
        </is>
      </c>
      <c r="F61" s="357" t="inlineStr">
        <is>
          <t>Intervention</t>
        </is>
      </c>
      <c r="G61" s="546" t="n">
        <v>2020</v>
      </c>
      <c r="H61" s="546" t="n">
        <v>2021</v>
      </c>
      <c r="I61" s="72" t="n">
        <v>3</v>
      </c>
      <c r="J61" s="359" t="n">
        <v>4</v>
      </c>
      <c r="K61" s="357" t="n">
        <v>64</v>
      </c>
      <c r="L61" s="360" t="n">
        <v>1</v>
      </c>
      <c r="M61" s="537" t="n"/>
      <c r="N61" s="561" t="n">
        <v>0</v>
      </c>
      <c r="O61" s="561" t="n">
        <v>0.61</v>
      </c>
      <c r="P61" s="560" t="n"/>
      <c r="Q61" s="255" t="n"/>
      <c r="R61" s="255" t="n"/>
      <c r="S61" s="255" t="n"/>
      <c r="T61" s="255" t="n"/>
      <c r="U61" s="255" t="n">
        <v>4.528</v>
      </c>
      <c r="V61" s="255" t="n">
        <v>6.27</v>
      </c>
      <c r="W61" s="255" t="n">
        <v>4.71</v>
      </c>
      <c r="X61" s="91" t="inlineStr">
        <is>
          <t>N/A</t>
        </is>
      </c>
      <c r="Y61" s="72" t="n"/>
      <c r="Z61" s="72" t="n"/>
      <c r="AA61" s="72" t="n"/>
      <c r="AB61" s="72" t="n"/>
      <c r="AC61" s="72" t="n"/>
      <c r="AD61" s="72" t="n"/>
      <c r="AE61" s="72" t="n"/>
      <c r="AF61" s="72" t="n"/>
      <c r="AG61" s="72" t="n"/>
      <c r="AH61" s="72" t="n"/>
      <c r="AI61" s="72" t="n"/>
      <c r="AJ61" s="163" t="n"/>
    </row>
    <row r="62">
      <c r="A62" s="659" t="n"/>
      <c r="B62" s="698" t="n"/>
      <c r="C62" s="602" t="n">
        <v>12</v>
      </c>
      <c r="D62" s="623" t="inlineStr">
        <is>
          <t>Soura 2</t>
        </is>
      </c>
      <c r="E62" s="364" t="inlineStr">
        <is>
          <t>Tibiri</t>
        </is>
      </c>
      <c r="F62" s="364" t="inlineStr">
        <is>
          <t>Control</t>
        </is>
      </c>
      <c r="G62" s="77" t="n">
        <v>2020</v>
      </c>
      <c r="H62" s="549" t="n">
        <v>2021</v>
      </c>
      <c r="I62" s="81" t="n">
        <v>3</v>
      </c>
      <c r="J62" s="78" t="inlineStr">
        <is>
          <t>NA</t>
        </is>
      </c>
      <c r="K62" s="364" t="n">
        <v>21</v>
      </c>
      <c r="L62" s="592" t="inlineStr">
        <is>
          <t>NA</t>
        </is>
      </c>
      <c r="M62" s="59" t="n"/>
      <c r="N62" s="538">
        <f>3/K62</f>
        <v/>
      </c>
      <c r="O62" s="538" t="n">
        <v>0.57</v>
      </c>
      <c r="P62" s="590" t="n"/>
      <c r="Q62" s="243" t="n"/>
      <c r="R62" s="243" t="n"/>
      <c r="S62" s="243" t="n"/>
      <c r="T62" s="243" t="n"/>
      <c r="U62" s="243" t="n">
        <v>3.533</v>
      </c>
      <c r="V62" s="243" t="n">
        <v>2.979</v>
      </c>
      <c r="W62" s="243" t="n">
        <v>-3.13</v>
      </c>
      <c r="X62" s="91" t="inlineStr">
        <is>
          <t>N/A</t>
        </is>
      </c>
      <c r="Y62" s="81" t="n"/>
      <c r="Z62" s="81" t="n"/>
      <c r="AA62" s="81" t="n"/>
      <c r="AB62" s="81" t="n"/>
      <c r="AC62" s="81" t="n"/>
      <c r="AD62" s="81" t="n"/>
      <c r="AE62" s="81" t="n"/>
      <c r="AF62" s="81" t="n"/>
      <c r="AG62" s="81" t="n"/>
      <c r="AH62" s="81" t="n"/>
      <c r="AI62" s="81" t="n"/>
      <c r="AJ62" s="244" t="n"/>
    </row>
    <row r="63">
      <c r="A63" s="597" t="n"/>
      <c r="B63" s="714" t="n">
        <v>6</v>
      </c>
      <c r="C63" s="593" t="n">
        <v>13</v>
      </c>
      <c r="D63" s="603" t="inlineStr">
        <is>
          <t>Garin Yari Idi</t>
        </is>
      </c>
      <c r="E63" s="343" t="inlineStr">
        <is>
          <t>Tibiri</t>
        </is>
      </c>
      <c r="F63" s="343" t="inlineStr">
        <is>
          <t>Intervention</t>
        </is>
      </c>
      <c r="G63" s="641" t="n">
        <v>2020</v>
      </c>
      <c r="H63" s="641" t="n">
        <v>2021</v>
      </c>
      <c r="I63" s="91" t="n">
        <v>3</v>
      </c>
      <c r="J63" s="343" t="n">
        <v>2</v>
      </c>
      <c r="K63" s="343" t="n">
        <v>27</v>
      </c>
      <c r="L63" s="594" t="n">
        <v>1</v>
      </c>
      <c r="M63" s="537" t="n"/>
      <c r="N63" s="559" t="n">
        <v>0</v>
      </c>
      <c r="O63" s="559" t="n">
        <v>0.59</v>
      </c>
      <c r="P63" s="560" t="n"/>
      <c r="Q63" s="246" t="n"/>
      <c r="R63" s="246" t="n"/>
      <c r="S63" s="246" t="n"/>
      <c r="T63" s="246" t="n"/>
      <c r="U63" s="246" t="n">
        <v>0.005</v>
      </c>
      <c r="V63" s="246" t="n">
        <v>1.091</v>
      </c>
      <c r="W63" s="246" t="n">
        <v>1.47</v>
      </c>
      <c r="X63" s="91" t="inlineStr">
        <is>
          <t>N/A</t>
        </is>
      </c>
      <c r="Y63" s="91" t="n"/>
      <c r="Z63" s="91" t="n"/>
      <c r="AA63" s="91" t="n"/>
      <c r="AB63" s="91" t="n"/>
      <c r="AC63" s="91" t="n"/>
      <c r="AD63" s="91" t="n"/>
      <c r="AE63" s="91" t="n"/>
      <c r="AF63" s="91" t="n"/>
      <c r="AG63" s="91" t="n"/>
      <c r="AH63" s="91" t="n"/>
      <c r="AI63" s="91" t="n"/>
      <c r="AJ63" s="160" t="n"/>
    </row>
    <row r="64">
      <c r="A64" s="618" t="n"/>
      <c r="B64" s="698" t="n"/>
      <c r="C64" s="595" t="n">
        <v>31</v>
      </c>
      <c r="D64" s="600" t="inlineStr">
        <is>
          <t>Soura Sarkin Galma 1</t>
        </is>
      </c>
      <c r="E64" s="350" t="inlineStr">
        <is>
          <t>Tibiri</t>
        </is>
      </c>
      <c r="F64" s="350" t="inlineStr">
        <is>
          <t>Control</t>
        </is>
      </c>
      <c r="G64" s="55" t="n">
        <v>2020</v>
      </c>
      <c r="H64" s="649" t="n">
        <v>2021</v>
      </c>
      <c r="I64" s="62" t="n">
        <v>3</v>
      </c>
      <c r="J64" s="56" t="inlineStr">
        <is>
          <t>NA</t>
        </is>
      </c>
      <c r="K64" s="350" t="n">
        <v>25</v>
      </c>
      <c r="L64" s="589" t="inlineStr">
        <is>
          <t>NA</t>
        </is>
      </c>
      <c r="M64" s="59" t="n"/>
      <c r="N64" s="562" t="n">
        <v>0</v>
      </c>
      <c r="O64" s="562" t="n">
        <v>0.76</v>
      </c>
      <c r="P64" s="590" t="n"/>
      <c r="Q64" s="242" t="n"/>
      <c r="R64" s="242" t="n"/>
      <c r="S64" s="242" t="n"/>
      <c r="T64" s="242" t="n"/>
      <c r="U64" s="242" t="n">
        <v>2.661</v>
      </c>
      <c r="V64" s="242" t="n">
        <v>0.851</v>
      </c>
      <c r="W64" s="242" t="n">
        <v>-0.45</v>
      </c>
      <c r="X64" s="91" t="inlineStr">
        <is>
          <t>N/A</t>
        </is>
      </c>
      <c r="Y64" s="62" t="n"/>
      <c r="Z64" s="62" t="n"/>
      <c r="AA64" s="62" t="n"/>
      <c r="AB64" s="62" t="n"/>
      <c r="AC64" s="62" t="n"/>
      <c r="AD64" s="62" t="n"/>
      <c r="AE64" s="62" t="n"/>
      <c r="AF64" s="62" t="n"/>
      <c r="AG64" s="62" t="n"/>
      <c r="AH64" s="62" t="n"/>
      <c r="AI64" s="62" t="n"/>
      <c r="AJ64" s="162" t="n"/>
    </row>
    <row r="65">
      <c r="A65" s="353" t="n"/>
      <c r="B65" s="625" t="n">
        <v>7</v>
      </c>
      <c r="C65" s="601" t="n">
        <v>15</v>
      </c>
      <c r="D65" s="622" t="inlineStr">
        <is>
          <t>Waraou</t>
        </is>
      </c>
      <c r="E65" s="357" t="inlineStr">
        <is>
          <t>Tibiri</t>
        </is>
      </c>
      <c r="F65" s="357" t="inlineStr">
        <is>
          <t>Intervention</t>
        </is>
      </c>
      <c r="G65" s="546" t="n">
        <v>2020</v>
      </c>
      <c r="H65" s="546" t="n">
        <v>2021</v>
      </c>
      <c r="I65" s="72" t="n">
        <v>2</v>
      </c>
      <c r="J65" s="359" t="n">
        <v>3</v>
      </c>
      <c r="K65" s="357" t="n">
        <v>46</v>
      </c>
      <c r="L65" s="360" t="n">
        <v>1</v>
      </c>
      <c r="M65" s="537" t="n"/>
      <c r="N65" s="561" t="n">
        <v>0</v>
      </c>
      <c r="O65" s="561" t="n">
        <v>0.65</v>
      </c>
      <c r="P65" s="560" t="n"/>
      <c r="Q65" s="255" t="n"/>
      <c r="R65" s="255" t="n"/>
      <c r="S65" s="255" t="n"/>
      <c r="T65" s="255" t="n"/>
      <c r="U65" s="255" t="n">
        <v>6.033</v>
      </c>
      <c r="V65" s="255" t="n">
        <v>4.255</v>
      </c>
      <c r="W65" s="255" t="n">
        <v>5.08</v>
      </c>
      <c r="X65" s="91" t="inlineStr">
        <is>
          <t>N/A</t>
        </is>
      </c>
      <c r="Y65" s="72" t="n"/>
      <c r="Z65" s="72" t="n"/>
      <c r="AA65" s="72" t="n"/>
      <c r="AB65" s="72" t="n"/>
      <c r="AC65" s="72" t="n"/>
      <c r="AD65" s="72" t="n"/>
      <c r="AE65" s="72" t="n"/>
      <c r="AF65" s="72" t="n"/>
      <c r="AG65" s="72" t="n"/>
      <c r="AH65" s="72" t="n"/>
      <c r="AI65" s="72" t="n"/>
      <c r="AJ65" s="163" t="n"/>
    </row>
    <row r="66">
      <c r="A66" s="659" t="n"/>
      <c r="B66" s="698" t="n"/>
      <c r="C66" s="602" t="n">
        <v>16</v>
      </c>
      <c r="D66" s="649" t="inlineStr">
        <is>
          <t>Soura Sarkin Galma  2</t>
        </is>
      </c>
      <c r="E66" s="364" t="inlineStr">
        <is>
          <t>Tibiri</t>
        </is>
      </c>
      <c r="F66" s="364" t="inlineStr">
        <is>
          <t>Control</t>
        </is>
      </c>
      <c r="G66" s="77" t="n">
        <v>2020</v>
      </c>
      <c r="H66" s="549" t="n">
        <v>2021</v>
      </c>
      <c r="I66" s="81" t="n">
        <v>2</v>
      </c>
      <c r="J66" s="78" t="inlineStr">
        <is>
          <t>NA</t>
        </is>
      </c>
      <c r="K66" s="364" t="n">
        <v>25</v>
      </c>
      <c r="L66" s="592" t="inlineStr">
        <is>
          <t>NA</t>
        </is>
      </c>
      <c r="M66" s="59" t="n"/>
      <c r="N66" s="538" t="n">
        <v>0</v>
      </c>
      <c r="O66" s="538" t="n">
        <v>0.5600000000000001</v>
      </c>
      <c r="P66" s="590" t="n"/>
      <c r="Q66" s="243" t="n"/>
      <c r="R66" s="243" t="n"/>
      <c r="S66" s="243" t="n"/>
      <c r="T66" s="243" t="n"/>
      <c r="U66" s="243" t="n">
        <v>1.421</v>
      </c>
      <c r="V66" s="243" t="n">
        <v>2.304</v>
      </c>
      <c r="W66" s="243" t="n">
        <v>0.36</v>
      </c>
      <c r="X66" s="91" t="inlineStr">
        <is>
          <t>N/A</t>
        </is>
      </c>
      <c r="Y66" s="81" t="n"/>
      <c r="Z66" s="81" t="n"/>
      <c r="AA66" s="81" t="n"/>
      <c r="AB66" s="81" t="n"/>
      <c r="AC66" s="81" t="n"/>
      <c r="AD66" s="81" t="n"/>
      <c r="AE66" s="81" t="n"/>
      <c r="AF66" s="81" t="n"/>
      <c r="AG66" s="81" t="n"/>
      <c r="AH66" s="81" t="n"/>
      <c r="AI66" s="81" t="n"/>
      <c r="AJ66" s="244" t="n"/>
    </row>
    <row r="67">
      <c r="A67" s="597" t="n"/>
      <c r="B67" s="714" t="n">
        <v>8</v>
      </c>
      <c r="C67" s="593" t="n">
        <v>17</v>
      </c>
      <c r="D67" s="603" t="inlineStr">
        <is>
          <t>Madara</t>
        </is>
      </c>
      <c r="E67" s="350" t="inlineStr">
        <is>
          <t>Tibiri</t>
        </is>
      </c>
      <c r="F67" s="343" t="inlineStr">
        <is>
          <t>Intervention</t>
        </is>
      </c>
      <c r="G67" s="641" t="n">
        <v>2020</v>
      </c>
      <c r="H67" s="641" t="n">
        <v>2021</v>
      </c>
      <c r="I67" s="91" t="n">
        <v>2</v>
      </c>
      <c r="J67" s="456" t="n">
        <v>1</v>
      </c>
      <c r="K67" s="343" t="n">
        <v>18</v>
      </c>
      <c r="L67" s="346" t="n">
        <v>1</v>
      </c>
      <c r="M67" s="537" t="n"/>
      <c r="N67" s="559" t="n">
        <v>0</v>
      </c>
      <c r="O67" s="559" t="n">
        <v>0.72</v>
      </c>
      <c r="P67" s="560" t="n"/>
      <c r="Q67" s="246" t="n"/>
      <c r="R67" s="246" t="n"/>
      <c r="S67" s="246" t="n"/>
      <c r="T67" s="246" t="n"/>
      <c r="U67" s="246" t="n">
        <v>6.028</v>
      </c>
      <c r="V67" s="246" t="n">
        <v>1.986</v>
      </c>
      <c r="W67" s="246" t="n">
        <v>4.01</v>
      </c>
      <c r="X67" s="91" t="inlineStr">
        <is>
          <t>N/A</t>
        </is>
      </c>
      <c r="Y67" s="91" t="n"/>
      <c r="Z67" s="91" t="n"/>
      <c r="AA67" s="91" t="n"/>
      <c r="AB67" s="91" t="n"/>
      <c r="AC67" s="91" t="n"/>
      <c r="AD67" s="91" t="n"/>
      <c r="AE67" s="91" t="n"/>
      <c r="AF67" s="91" t="n"/>
      <c r="AG67" s="91" t="n"/>
      <c r="AH67" s="91" t="n"/>
      <c r="AI67" s="91" t="n"/>
      <c r="AJ67" s="160" t="n"/>
    </row>
    <row r="68">
      <c r="A68" s="618" t="n"/>
      <c r="B68" s="698" t="n"/>
      <c r="C68" s="595" t="n">
        <v>18</v>
      </c>
      <c r="D68" s="600" t="inlineStr">
        <is>
          <t>Yan Zango</t>
        </is>
      </c>
      <c r="E68" s="350" t="inlineStr">
        <is>
          <t>Tibiri</t>
        </is>
      </c>
      <c r="F68" s="350" t="inlineStr">
        <is>
          <t>Control</t>
        </is>
      </c>
      <c r="G68" s="55" t="n">
        <v>2020</v>
      </c>
      <c r="H68" s="649" t="n">
        <v>2021</v>
      </c>
      <c r="I68" s="62" t="n">
        <v>2</v>
      </c>
      <c r="J68" s="56" t="inlineStr">
        <is>
          <t>NA</t>
        </is>
      </c>
      <c r="K68" s="350" t="n">
        <v>14</v>
      </c>
      <c r="L68" s="589" t="inlineStr">
        <is>
          <t>NA</t>
        </is>
      </c>
      <c r="M68" s="59" t="n"/>
      <c r="N68" s="562">
        <f>2/K68</f>
        <v/>
      </c>
      <c r="O68" s="562" t="n">
        <v>0.64</v>
      </c>
      <c r="P68" s="590" t="n"/>
      <c r="Q68" s="242" t="n"/>
      <c r="R68" s="242" t="n"/>
      <c r="S68" s="242" t="n"/>
      <c r="T68" s="242" t="n"/>
      <c r="U68" s="242" t="n">
        <v>2.131</v>
      </c>
      <c r="V68" s="242" t="n">
        <v>5.961</v>
      </c>
      <c r="W68" s="242" t="n">
        <v>2.62</v>
      </c>
      <c r="X68" s="91" t="inlineStr">
        <is>
          <t>N/A</t>
        </is>
      </c>
      <c r="Y68" s="62" t="n"/>
      <c r="Z68" s="62" t="n"/>
      <c r="AA68" s="62" t="n"/>
      <c r="AB68" s="62" t="n"/>
      <c r="AC68" s="62" t="n"/>
      <c r="AD68" s="62" t="n"/>
      <c r="AE68" s="62" t="n"/>
      <c r="AF68" s="62" t="n"/>
      <c r="AG68" s="62" t="n"/>
      <c r="AH68" s="62" t="n"/>
      <c r="AI68" s="62" t="n"/>
      <c r="AJ68" s="162" t="n"/>
    </row>
    <row r="69">
      <c r="A69" s="353" t="n"/>
      <c r="B69" s="625" t="n">
        <v>9</v>
      </c>
      <c r="C69" s="601" t="n">
        <v>21</v>
      </c>
      <c r="D69" s="622" t="inlineStr">
        <is>
          <t>Moundourkoussa</t>
        </is>
      </c>
      <c r="E69" s="364" t="inlineStr">
        <is>
          <t>Tibiri</t>
        </is>
      </c>
      <c r="F69" s="357" t="inlineStr">
        <is>
          <t>Intervention</t>
        </is>
      </c>
      <c r="G69" s="546" t="n">
        <v>2020</v>
      </c>
      <c r="H69" s="546" t="n">
        <v>2021</v>
      </c>
      <c r="I69" s="72" t="n">
        <v>2</v>
      </c>
      <c r="J69" s="359" t="n">
        <v>1</v>
      </c>
      <c r="K69" s="357" t="n">
        <v>13</v>
      </c>
      <c r="L69" s="360" t="n">
        <v>1</v>
      </c>
      <c r="M69" s="537" t="n"/>
      <c r="N69" s="561" t="n">
        <v>0</v>
      </c>
      <c r="O69" s="561" t="n">
        <v>0.46</v>
      </c>
      <c r="P69" s="560" t="n"/>
      <c r="Q69" s="255" t="n"/>
      <c r="R69" s="255" t="n"/>
      <c r="S69" s="255" t="n"/>
      <c r="T69" s="255" t="n"/>
      <c r="U69" s="255" t="n">
        <v>3.878</v>
      </c>
      <c r="V69" s="255" t="n">
        <v>7.198</v>
      </c>
      <c r="W69" s="255" t="n">
        <v>6.72</v>
      </c>
      <c r="X69" s="91" t="inlineStr">
        <is>
          <t>N/A</t>
        </is>
      </c>
      <c r="Y69" s="72" t="n"/>
      <c r="Z69" s="72" t="n"/>
      <c r="AA69" s="72" t="n"/>
      <c r="AB69" s="72" t="n"/>
      <c r="AC69" s="72" t="n"/>
      <c r="AD69" s="72" t="n"/>
      <c r="AE69" s="72" t="n"/>
      <c r="AF69" s="72" t="n"/>
      <c r="AG69" s="72" t="n"/>
      <c r="AH69" s="72" t="n"/>
      <c r="AI69" s="72" t="n"/>
      <c r="AJ69" s="163" t="n"/>
    </row>
    <row r="70">
      <c r="A70" s="659" t="n"/>
      <c r="B70" s="698" t="n"/>
      <c r="C70" s="602" t="n">
        <v>22</v>
      </c>
      <c r="D70" s="623" t="inlineStr">
        <is>
          <t>Guigamaoua Sofoua</t>
        </is>
      </c>
      <c r="E70" s="364" t="inlineStr">
        <is>
          <t>Tibiri</t>
        </is>
      </c>
      <c r="F70" s="364" t="inlineStr">
        <is>
          <t>Control</t>
        </is>
      </c>
      <c r="G70" s="77" t="n">
        <v>2020</v>
      </c>
      <c r="H70" s="549" t="n">
        <v>2021</v>
      </c>
      <c r="I70" s="81" t="n">
        <v>2</v>
      </c>
      <c r="J70" s="78" t="inlineStr">
        <is>
          <t>NA</t>
        </is>
      </c>
      <c r="K70" s="364" t="n">
        <v>8</v>
      </c>
      <c r="L70" s="592" t="inlineStr">
        <is>
          <t>NA</t>
        </is>
      </c>
      <c r="M70" s="59" t="n"/>
      <c r="N70" s="538" t="n">
        <v>0</v>
      </c>
      <c r="O70" s="538" t="n">
        <v>0.88</v>
      </c>
      <c r="P70" s="590" t="n"/>
      <c r="Q70" s="243" t="n"/>
      <c r="R70" s="243" t="n"/>
      <c r="S70" s="243" t="n"/>
      <c r="T70" s="243" t="n"/>
      <c r="U70" s="243" t="n">
        <v>2.833</v>
      </c>
      <c r="V70" s="243" t="n">
        <v>4.542</v>
      </c>
      <c r="W70" s="243" t="n">
        <v>1.89</v>
      </c>
      <c r="X70" s="91" t="inlineStr">
        <is>
          <t>N/A</t>
        </is>
      </c>
      <c r="Y70" s="81" t="n"/>
      <c r="Z70" s="81" t="n"/>
      <c r="AA70" s="81" t="n"/>
      <c r="AB70" s="81" t="n"/>
      <c r="AC70" s="81" t="n"/>
      <c r="AD70" s="81" t="n"/>
      <c r="AE70" s="81" t="n"/>
      <c r="AF70" s="81" t="n"/>
      <c r="AG70" s="81" t="n"/>
      <c r="AH70" s="81" t="n"/>
      <c r="AI70" s="81" t="n"/>
      <c r="AJ70" s="244" t="n"/>
    </row>
    <row r="71">
      <c r="A71" s="597" t="n"/>
      <c r="B71" s="714" t="n">
        <v>10</v>
      </c>
      <c r="C71" s="593" t="n">
        <v>27</v>
      </c>
      <c r="D71" s="603" t="inlineStr">
        <is>
          <t>Kalgon Waraou</t>
        </is>
      </c>
      <c r="E71" s="343" t="inlineStr">
        <is>
          <t>Tibiri</t>
        </is>
      </c>
      <c r="F71" s="343" t="inlineStr">
        <is>
          <t>Intervention</t>
        </is>
      </c>
      <c r="G71" s="641" t="n">
        <v>2020</v>
      </c>
      <c r="H71" s="641" t="n">
        <v>2021</v>
      </c>
      <c r="I71" s="91" t="n">
        <v>2</v>
      </c>
      <c r="J71" s="456" t="n">
        <v>1</v>
      </c>
      <c r="K71" s="343" t="n">
        <v>16</v>
      </c>
      <c r="L71" s="346" t="n">
        <v>1</v>
      </c>
      <c r="M71" s="537" t="n"/>
      <c r="N71" s="559" t="n">
        <v>0</v>
      </c>
      <c r="O71" s="559" t="n">
        <v>1</v>
      </c>
      <c r="P71" s="560" t="n"/>
      <c r="Q71" s="246" t="n"/>
      <c r="R71" s="246" t="n"/>
      <c r="S71" s="246" t="n"/>
      <c r="T71" s="246" t="n"/>
      <c r="U71" s="246" t="n">
        <v>5.938</v>
      </c>
      <c r="V71" s="246" t="n">
        <v>4.672</v>
      </c>
      <c r="W71" s="246" t="n">
        <v>5.3</v>
      </c>
      <c r="X71" s="91" t="inlineStr">
        <is>
          <t>N/A</t>
        </is>
      </c>
      <c r="Y71" s="91" t="n"/>
      <c r="Z71" s="91" t="n"/>
      <c r="AA71" s="91" t="n"/>
      <c r="AB71" s="91" t="n"/>
      <c r="AC71" s="91" t="n"/>
      <c r="AD71" s="91" t="n"/>
      <c r="AE71" s="91" t="n"/>
      <c r="AF71" s="91" t="n"/>
      <c r="AG71" s="91" t="n"/>
      <c r="AH71" s="91" t="n"/>
      <c r="AI71" s="91" t="n"/>
      <c r="AJ71" s="160" t="n"/>
    </row>
    <row r="72">
      <c r="A72" s="618" t="n"/>
      <c r="B72" s="698" t="n"/>
      <c r="C72" s="595" t="n">
        <v>28</v>
      </c>
      <c r="D72" s="600" t="inlineStr">
        <is>
          <t>Garin Malan Hamza</t>
        </is>
      </c>
      <c r="E72" s="350" t="inlineStr">
        <is>
          <t>Tibiri</t>
        </is>
      </c>
      <c r="F72" s="350" t="inlineStr">
        <is>
          <t>Control</t>
        </is>
      </c>
      <c r="G72" s="55" t="n">
        <v>2020</v>
      </c>
      <c r="H72" s="649" t="n">
        <v>2021</v>
      </c>
      <c r="I72" s="62" t="n">
        <v>2</v>
      </c>
      <c r="J72" s="56" t="inlineStr">
        <is>
          <t>NA</t>
        </is>
      </c>
      <c r="K72" s="350" t="n">
        <v>9</v>
      </c>
      <c r="L72" s="589" t="inlineStr">
        <is>
          <t>NA</t>
        </is>
      </c>
      <c r="M72" s="59" t="n"/>
      <c r="N72" s="562" t="n">
        <v>0</v>
      </c>
      <c r="O72" s="562" t="n">
        <v>0.89</v>
      </c>
      <c r="P72" s="590" t="n"/>
      <c r="Q72" s="242" t="n"/>
      <c r="R72" s="242" t="n"/>
      <c r="S72" s="242" t="n"/>
      <c r="T72" s="242" t="n"/>
      <c r="U72" s="242" t="n">
        <v>0.778</v>
      </c>
      <c r="V72" s="242" t="n">
        <v>0.139</v>
      </c>
      <c r="W72" s="242" t="n">
        <v>1.9</v>
      </c>
      <c r="X72" s="91" t="inlineStr">
        <is>
          <t>N/A</t>
        </is>
      </c>
      <c r="Y72" s="62" t="n"/>
      <c r="Z72" s="62" t="n"/>
      <c r="AA72" s="62" t="n"/>
      <c r="AB72" s="62" t="n"/>
      <c r="AC72" s="62" t="n"/>
      <c r="AD72" s="62" t="n"/>
      <c r="AE72" s="62" t="n"/>
      <c r="AF72" s="62" t="n"/>
      <c r="AG72" s="62" t="n"/>
      <c r="AH72" s="62" t="n"/>
      <c r="AI72" s="62" t="n"/>
      <c r="AJ72" s="162" t="n"/>
    </row>
    <row r="73" ht="16.5" customHeight="1" s="695">
      <c r="A73" s="604" t="n"/>
      <c r="B73" s="734" t="n">
        <v>11</v>
      </c>
      <c r="C73" s="606" t="n">
        <v>62</v>
      </c>
      <c r="D73" s="607" t="inlineStr">
        <is>
          <t xml:space="preserve">Houdel </t>
        </is>
      </c>
      <c r="E73" s="608" t="inlineStr">
        <is>
          <t>Djirataoua</t>
        </is>
      </c>
      <c r="F73" s="609" t="inlineStr">
        <is>
          <t>Intervention</t>
        </is>
      </c>
      <c r="G73" s="610" t="n">
        <v>2020</v>
      </c>
      <c r="H73" s="610" t="n">
        <v>2021</v>
      </c>
      <c r="I73" s="300" t="n">
        <v>1</v>
      </c>
      <c r="J73" s="610" t="n">
        <v>2</v>
      </c>
      <c r="K73" s="609" t="n">
        <v>24</v>
      </c>
      <c r="L73" s="360" t="n">
        <v>1</v>
      </c>
      <c r="M73" s="534" t="n"/>
      <c r="N73" s="299" t="n">
        <v>0</v>
      </c>
      <c r="O73" s="299" t="n">
        <v>0.25</v>
      </c>
      <c r="P73" s="611" t="n"/>
      <c r="Q73" s="266" t="n"/>
      <c r="R73" s="266" t="n"/>
      <c r="S73" s="266" t="n"/>
      <c r="T73" s="266" t="n"/>
      <c r="U73" s="266" t="n">
        <v>4.604</v>
      </c>
      <c r="V73" s="266" t="n">
        <v>-0.198</v>
      </c>
      <c r="W73" s="266" t="n">
        <v>2.13</v>
      </c>
      <c r="X73" s="91" t="inlineStr">
        <is>
          <t>N/A</t>
        </is>
      </c>
      <c r="Y73" s="300" t="n"/>
      <c r="Z73" s="300" t="n"/>
      <c r="AA73" s="300" t="n"/>
      <c r="AB73" s="300" t="n"/>
      <c r="AC73" s="300" t="n"/>
      <c r="AD73" s="300" t="n"/>
      <c r="AE73" s="300" t="n"/>
      <c r="AF73" s="300" t="n"/>
      <c r="AG73" s="300" t="n"/>
      <c r="AH73" s="300" t="n"/>
      <c r="AI73" s="300" t="n"/>
      <c r="AJ73" s="268" t="n"/>
    </row>
    <row r="74">
      <c r="A74" s="659" t="n"/>
      <c r="B74" s="698" t="n"/>
      <c r="C74" s="612" t="n">
        <v>63</v>
      </c>
      <c r="D74" s="613" t="inlineStr">
        <is>
          <t>Dallia</t>
        </is>
      </c>
      <c r="E74" s="608" t="inlineStr">
        <is>
          <t>Djirataoua</t>
        </is>
      </c>
      <c r="F74" s="364" t="inlineStr">
        <is>
          <t>Control</t>
        </is>
      </c>
      <c r="G74" s="77" t="n">
        <v>2020</v>
      </c>
      <c r="H74" s="78" t="n">
        <v>2021</v>
      </c>
      <c r="I74" s="81" t="n">
        <v>1</v>
      </c>
      <c r="J74" s="78" t="inlineStr">
        <is>
          <t>NA</t>
        </is>
      </c>
      <c r="K74" s="364" t="n">
        <v>20</v>
      </c>
      <c r="L74" s="592" t="inlineStr">
        <is>
          <t>NA</t>
        </is>
      </c>
      <c r="M74" s="59" t="n"/>
      <c r="N74" s="538" t="n">
        <v>0</v>
      </c>
      <c r="O74" s="538" t="n">
        <v>0.2</v>
      </c>
      <c r="P74" s="590" t="n"/>
      <c r="Q74" s="243" t="n"/>
      <c r="R74" s="243" t="n"/>
      <c r="S74" s="243" t="n"/>
      <c r="T74" s="243" t="n"/>
      <c r="U74" s="243" t="n">
        <v>2.925</v>
      </c>
      <c r="V74" s="243" t="n">
        <v>5.688</v>
      </c>
      <c r="W74" s="243" t="n">
        <v>-0.29</v>
      </c>
      <c r="X74" s="91" t="inlineStr">
        <is>
          <t>N/A</t>
        </is>
      </c>
      <c r="Y74" s="81" t="n"/>
      <c r="Z74" s="81" t="n"/>
      <c r="AA74" s="81" t="n"/>
      <c r="AB74" s="81" t="n"/>
      <c r="AC74" s="81" t="n"/>
      <c r="AD74" s="81" t="n"/>
      <c r="AE74" s="81" t="n"/>
      <c r="AF74" s="81" t="n"/>
      <c r="AG74" s="81" t="n"/>
      <c r="AH74" s="81" t="n"/>
      <c r="AI74" s="81" t="n"/>
      <c r="AJ74" s="244" t="n"/>
    </row>
    <row r="75">
      <c r="A75" s="614" t="n"/>
      <c r="B75" s="735" t="n">
        <v>12</v>
      </c>
      <c r="C75" s="616" t="n">
        <v>34</v>
      </c>
      <c r="D75" s="578" t="inlineStr">
        <is>
          <t>Koderaoua</t>
        </is>
      </c>
      <c r="E75" s="617" t="inlineStr">
        <is>
          <t>Djirataoua</t>
        </is>
      </c>
      <c r="F75" s="617" t="inlineStr">
        <is>
          <t>Intervention</t>
        </is>
      </c>
      <c r="G75" s="43" t="n">
        <v>2020</v>
      </c>
      <c r="H75" s="43" t="n">
        <v>2021</v>
      </c>
      <c r="I75" s="49" t="n">
        <v>1</v>
      </c>
      <c r="J75" s="43" t="n">
        <v>2</v>
      </c>
      <c r="K75" s="617" t="n">
        <v>31</v>
      </c>
      <c r="L75" s="346" t="n">
        <v>1</v>
      </c>
      <c r="M75" s="534" t="n"/>
      <c r="N75" s="532" t="n">
        <v>0</v>
      </c>
      <c r="O75" s="532" t="n">
        <v>0.42</v>
      </c>
      <c r="P75" s="611" t="n"/>
      <c r="Q75" s="271" t="n"/>
      <c r="R75" s="271" t="n"/>
      <c r="S75" s="271" t="n"/>
      <c r="T75" s="271" t="n"/>
      <c r="U75" s="271" t="n">
        <v>1.467</v>
      </c>
      <c r="V75" s="271" t="n">
        <v>2.217</v>
      </c>
      <c r="W75" s="271" t="n">
        <v>2.43</v>
      </c>
      <c r="X75" s="91" t="inlineStr">
        <is>
          <t>N/A</t>
        </is>
      </c>
      <c r="Y75" s="49" t="n"/>
      <c r="Z75" s="49" t="n"/>
      <c r="AA75" s="49" t="n"/>
      <c r="AB75" s="49" t="n"/>
      <c r="AC75" s="49" t="n"/>
      <c r="AD75" s="49" t="n"/>
      <c r="AE75" s="49" t="n"/>
      <c r="AF75" s="49" t="n"/>
      <c r="AG75" s="49" t="n"/>
      <c r="AH75" s="49" t="n"/>
      <c r="AI75" s="49" t="n"/>
      <c r="AJ75" s="181" t="n"/>
    </row>
    <row r="76">
      <c r="A76" s="618" t="n"/>
      <c r="B76" s="698" t="n"/>
      <c r="C76" s="619" t="n">
        <v>64</v>
      </c>
      <c r="D76" s="649" t="inlineStr">
        <is>
          <t>Oumarou lawali gago</t>
        </is>
      </c>
      <c r="E76" s="350" t="inlineStr">
        <is>
          <t>Djirataoua</t>
        </is>
      </c>
      <c r="F76" s="350" t="inlineStr">
        <is>
          <t>Control</t>
        </is>
      </c>
      <c r="G76" s="55" t="n">
        <v>2020</v>
      </c>
      <c r="H76" s="56" t="n">
        <v>2021</v>
      </c>
      <c r="I76" s="62" t="n">
        <v>1</v>
      </c>
      <c r="J76" s="56" t="n">
        <v>3</v>
      </c>
      <c r="K76" s="350" t="n">
        <v>43</v>
      </c>
      <c r="L76" s="589" t="inlineStr">
        <is>
          <t>NA</t>
        </is>
      </c>
      <c r="M76" s="59" t="n"/>
      <c r="N76" s="562" t="n">
        <v>0</v>
      </c>
      <c r="O76" s="562" t="n">
        <v>0.63</v>
      </c>
      <c r="P76" s="590" t="n"/>
      <c r="Q76" s="242" t="n"/>
      <c r="R76" s="242" t="n"/>
      <c r="S76" s="242" t="n"/>
      <c r="T76" s="242" t="n"/>
      <c r="U76" s="242" t="n">
        <v>0.385</v>
      </c>
      <c r="V76" s="242" t="n">
        <v>2.809</v>
      </c>
      <c r="W76" s="242" t="n">
        <v>0.8100000000000001</v>
      </c>
      <c r="X76" s="91" t="inlineStr">
        <is>
          <t>N/A</t>
        </is>
      </c>
      <c r="Y76" s="62" t="n"/>
      <c r="Z76" s="62" t="n"/>
      <c r="AA76" s="62" t="n"/>
      <c r="AB76" s="62" t="n"/>
      <c r="AC76" s="62" t="n"/>
      <c r="AD76" s="62" t="n"/>
      <c r="AE76" s="62" t="n"/>
      <c r="AF76" s="62" t="n"/>
      <c r="AG76" s="62" t="n"/>
      <c r="AH76" s="62" t="n"/>
      <c r="AI76" s="62" t="n"/>
      <c r="AJ76" s="162" t="n"/>
    </row>
    <row r="77">
      <c r="A77" s="353" t="n"/>
      <c r="B77" s="625" t="n">
        <v>13</v>
      </c>
      <c r="C77" s="606" t="n">
        <v>49</v>
      </c>
      <c r="D77" s="546" t="inlineStr">
        <is>
          <t>Takalmaoua 1 (not2)</t>
        </is>
      </c>
      <c r="E77" s="357" t="inlineStr">
        <is>
          <t>Djirataoua</t>
        </is>
      </c>
      <c r="F77" s="357" t="inlineStr">
        <is>
          <t>Intervention</t>
        </is>
      </c>
      <c r="G77" s="68" t="n">
        <v>2020</v>
      </c>
      <c r="H77" s="68" t="n">
        <v>2021</v>
      </c>
      <c r="I77" s="72" t="n">
        <v>1</v>
      </c>
      <c r="J77" s="68" t="n">
        <v>2</v>
      </c>
      <c r="K77" s="357" t="n">
        <v>32</v>
      </c>
      <c r="L77" s="360" t="n">
        <v>1</v>
      </c>
      <c r="M77" s="537" t="n"/>
      <c r="N77" s="561">
        <f>1/K77</f>
        <v/>
      </c>
      <c r="O77" s="561" t="n">
        <v>0.63</v>
      </c>
      <c r="P77" s="560" t="n"/>
      <c r="Q77" s="255" t="n"/>
      <c r="R77" s="255" t="n"/>
      <c r="S77" s="255" t="n"/>
      <c r="T77" s="255" t="n"/>
      <c r="U77" s="255" t="n">
        <v>6.172</v>
      </c>
      <c r="V77" s="255" t="n">
        <v>4.346</v>
      </c>
      <c r="W77" s="255" t="n">
        <v>6.66</v>
      </c>
      <c r="X77" s="91" t="inlineStr">
        <is>
          <t>N/A</t>
        </is>
      </c>
      <c r="Y77" s="72" t="n"/>
      <c r="Z77" s="72" t="n"/>
      <c r="AA77" s="72" t="n"/>
      <c r="AB77" s="72" t="n"/>
      <c r="AC77" s="72" t="n"/>
      <c r="AD77" s="72" t="n"/>
      <c r="AE77" s="72" t="n"/>
      <c r="AF77" s="72" t="n"/>
      <c r="AG77" s="72" t="n"/>
      <c r="AH77" s="72" t="n"/>
      <c r="AI77" s="72" t="n"/>
      <c r="AJ77" s="163" t="n"/>
    </row>
    <row r="78">
      <c r="A78" s="659" t="n"/>
      <c r="B78" s="698" t="n"/>
      <c r="C78" s="612" t="n">
        <v>65</v>
      </c>
      <c r="D78" s="549" t="inlineStr">
        <is>
          <t>Tajae Djiratawa</t>
        </is>
      </c>
      <c r="E78" s="364" t="inlineStr">
        <is>
          <t>Djirataoua</t>
        </is>
      </c>
      <c r="F78" s="364" t="inlineStr">
        <is>
          <t>Control</t>
        </is>
      </c>
      <c r="G78" s="77" t="n">
        <v>2020</v>
      </c>
      <c r="H78" s="78" t="n">
        <v>2021</v>
      </c>
      <c r="I78" s="81" t="n">
        <v>1</v>
      </c>
      <c r="J78" s="78" t="inlineStr">
        <is>
          <t>NA</t>
        </is>
      </c>
      <c r="K78" s="364" t="n">
        <v>32</v>
      </c>
      <c r="L78" s="592" t="inlineStr">
        <is>
          <t>NA</t>
        </is>
      </c>
      <c r="M78" s="59" t="n"/>
      <c r="N78" s="538" t="n">
        <v>0</v>
      </c>
      <c r="O78" s="538" t="n">
        <v>0.63</v>
      </c>
      <c r="P78" s="590" t="n"/>
      <c r="Q78" s="243" t="n"/>
      <c r="R78" s="243" t="n"/>
      <c r="S78" s="243" t="n"/>
      <c r="T78" s="243" t="n"/>
      <c r="U78" s="243" t="n">
        <v>4.344</v>
      </c>
      <c r="V78" s="243" t="n">
        <v>3.233</v>
      </c>
      <c r="W78" s="243" t="n">
        <v>3.5</v>
      </c>
      <c r="X78" s="91" t="inlineStr">
        <is>
          <t>N/A</t>
        </is>
      </c>
      <c r="Y78" s="81" t="n"/>
      <c r="Z78" s="81" t="n"/>
      <c r="AA78" s="81" t="n"/>
      <c r="AB78" s="81" t="n"/>
      <c r="AC78" s="81" t="n"/>
      <c r="AD78" s="81" t="n"/>
      <c r="AE78" s="81" t="n"/>
      <c r="AF78" s="81" t="n"/>
      <c r="AG78" s="81" t="n"/>
      <c r="AH78" s="81" t="n"/>
      <c r="AI78" s="81" t="n"/>
      <c r="AJ78" s="244" t="n"/>
    </row>
    <row r="79">
      <c r="A79" s="597" t="n"/>
      <c r="B79" s="714" t="n">
        <v>14</v>
      </c>
      <c r="C79" s="616" t="n">
        <v>38</v>
      </c>
      <c r="D79" s="641" t="inlineStr">
        <is>
          <t>Danja 2</t>
        </is>
      </c>
      <c r="E79" s="343" t="inlineStr">
        <is>
          <t>Djirataoua</t>
        </is>
      </c>
      <c r="F79" s="343" t="inlineStr">
        <is>
          <t>Intervention</t>
        </is>
      </c>
      <c r="G79" s="87" t="n">
        <v>2020</v>
      </c>
      <c r="H79" s="87" t="n">
        <v>2021</v>
      </c>
      <c r="I79" s="91" t="n">
        <v>1</v>
      </c>
      <c r="J79" s="87" t="n">
        <v>1</v>
      </c>
      <c r="K79" s="343" t="n">
        <v>23</v>
      </c>
      <c r="L79" s="346" t="n">
        <v>1</v>
      </c>
      <c r="M79" s="537" t="n"/>
      <c r="N79" s="559" t="n">
        <v>0</v>
      </c>
      <c r="O79" s="559" t="n">
        <v>0.48</v>
      </c>
      <c r="P79" s="560" t="n"/>
      <c r="Q79" s="246" t="n"/>
      <c r="R79" s="246" t="n"/>
      <c r="S79" s="246" t="n"/>
      <c r="T79" s="246" t="n"/>
      <c r="U79" s="246" t="n">
        <v>2.804</v>
      </c>
      <c r="V79" s="246" t="n">
        <v>2.88</v>
      </c>
      <c r="W79" s="246" t="n">
        <v>2.84</v>
      </c>
      <c r="X79" s="91" t="inlineStr">
        <is>
          <t>N/A</t>
        </is>
      </c>
      <c r="Y79" s="91" t="n"/>
      <c r="Z79" s="91" t="n"/>
      <c r="AA79" s="91" t="n"/>
      <c r="AB79" s="91" t="n"/>
      <c r="AC79" s="91" t="n"/>
      <c r="AD79" s="91" t="n"/>
      <c r="AE79" s="91" t="n"/>
      <c r="AF79" s="91" t="n"/>
      <c r="AG79" s="91" t="n"/>
      <c r="AH79" s="91" t="n"/>
      <c r="AI79" s="91" t="n"/>
      <c r="AJ79" s="160" t="n"/>
    </row>
    <row r="80">
      <c r="A80" s="618" t="n"/>
      <c r="B80" s="698" t="n"/>
      <c r="C80" s="619" t="n">
        <v>66</v>
      </c>
      <c r="D80" s="649" t="inlineStr">
        <is>
          <t>Kontagora Soufoua</t>
        </is>
      </c>
      <c r="E80" s="350" t="inlineStr">
        <is>
          <t>Djirataoua</t>
        </is>
      </c>
      <c r="F80" s="350" t="inlineStr">
        <is>
          <t>Control</t>
        </is>
      </c>
      <c r="G80" s="55" t="n">
        <v>2020</v>
      </c>
      <c r="H80" s="56" t="n">
        <v>2021</v>
      </c>
      <c r="I80" s="62" t="n">
        <v>1</v>
      </c>
      <c r="J80" s="56" t="inlineStr">
        <is>
          <t>NA</t>
        </is>
      </c>
      <c r="K80" s="350" t="n">
        <v>29</v>
      </c>
      <c r="L80" s="589" t="inlineStr">
        <is>
          <t>NA</t>
        </is>
      </c>
      <c r="M80" s="59" t="n"/>
      <c r="N80" s="562" t="n">
        <v>0</v>
      </c>
      <c r="O80" s="562" t="n">
        <v>0.38</v>
      </c>
      <c r="P80" s="590" t="n"/>
      <c r="Q80" s="242" t="n"/>
      <c r="R80" s="242" t="n"/>
      <c r="S80" s="242" t="n"/>
      <c r="T80" s="242" t="n"/>
      <c r="U80" s="242" t="n">
        <v>3.335</v>
      </c>
      <c r="V80" s="242" t="n">
        <v>4.787</v>
      </c>
      <c r="W80" s="242" t="n">
        <v>3.15</v>
      </c>
      <c r="X80" s="91" t="inlineStr">
        <is>
          <t>N/A</t>
        </is>
      </c>
      <c r="Y80" s="62" t="n"/>
      <c r="Z80" s="62" t="n"/>
      <c r="AA80" s="62" t="n"/>
      <c r="AB80" s="62" t="n"/>
      <c r="AC80" s="62" t="n"/>
      <c r="AD80" s="62" t="n"/>
      <c r="AE80" s="62" t="n"/>
      <c r="AF80" s="62" t="n"/>
      <c r="AG80" s="62" t="n"/>
      <c r="AH80" s="62" t="n"/>
      <c r="AI80" s="62" t="n"/>
      <c r="AJ80" s="162" t="n"/>
    </row>
    <row r="81">
      <c r="A81" s="353" t="n"/>
      <c r="B81" s="625" t="n">
        <v>15</v>
      </c>
      <c r="C81" s="606" t="n">
        <v>40</v>
      </c>
      <c r="D81" s="620" t="inlineStr">
        <is>
          <t>El Kokia</t>
        </is>
      </c>
      <c r="E81" s="621" t="inlineStr">
        <is>
          <t>Djirataoua</t>
        </is>
      </c>
      <c r="F81" s="357" t="inlineStr">
        <is>
          <t>Intervention</t>
        </is>
      </c>
      <c r="G81" s="68" t="n">
        <v>2020</v>
      </c>
      <c r="H81" s="68" t="n">
        <v>2021</v>
      </c>
      <c r="I81" s="72" t="n">
        <v>1</v>
      </c>
      <c r="J81" s="68" t="n">
        <v>3</v>
      </c>
      <c r="K81" s="357" t="n">
        <v>59</v>
      </c>
      <c r="L81" s="360" t="n">
        <v>1</v>
      </c>
      <c r="M81" s="537" t="n"/>
      <c r="N81" s="561">
        <f>1/K81</f>
        <v/>
      </c>
      <c r="O81" s="561" t="n">
        <v>0.5600000000000001</v>
      </c>
      <c r="P81" s="560" t="n"/>
      <c r="Q81" s="255" t="n"/>
      <c r="R81" s="255" t="n"/>
      <c r="S81" s="255" t="n"/>
      <c r="T81" s="255" t="n"/>
      <c r="U81" s="255" t="n">
        <v>6.12</v>
      </c>
      <c r="V81" s="255" t="n">
        <v>7.308</v>
      </c>
      <c r="W81" s="255" t="n">
        <v>6.46</v>
      </c>
      <c r="X81" s="91" t="inlineStr">
        <is>
          <t>N/A</t>
        </is>
      </c>
      <c r="Y81" s="72" t="n"/>
      <c r="Z81" s="72" t="n"/>
      <c r="AA81" s="72" t="n"/>
      <c r="AB81" s="72" t="n"/>
      <c r="AC81" s="72" t="n"/>
      <c r="AD81" s="72" t="n"/>
      <c r="AE81" s="72" t="n"/>
      <c r="AF81" s="72" t="n"/>
      <c r="AG81" s="72" t="n"/>
      <c r="AH81" s="72" t="n"/>
      <c r="AI81" s="72" t="n"/>
      <c r="AJ81" s="163" t="n"/>
    </row>
    <row r="82">
      <c r="A82" s="659" t="n"/>
      <c r="B82" s="698" t="n"/>
      <c r="C82" s="612" t="n">
        <v>67</v>
      </c>
      <c r="D82" s="613" t="inlineStr">
        <is>
          <t>Dan Kari Trad</t>
        </is>
      </c>
      <c r="E82" s="621" t="inlineStr">
        <is>
          <t>Djirataoua</t>
        </is>
      </c>
      <c r="F82" s="364" t="inlineStr">
        <is>
          <t>Control</t>
        </is>
      </c>
      <c r="G82" s="77" t="n">
        <v>2020</v>
      </c>
      <c r="H82" s="78" t="n">
        <v>2021</v>
      </c>
      <c r="I82" s="81" t="n">
        <v>1</v>
      </c>
      <c r="J82" s="78" t="inlineStr">
        <is>
          <t>NA</t>
        </is>
      </c>
      <c r="K82" s="364" t="n">
        <v>15</v>
      </c>
      <c r="L82" s="592" t="inlineStr">
        <is>
          <t>NA</t>
        </is>
      </c>
      <c r="M82" s="59" t="n"/>
      <c r="N82" s="538" t="n">
        <v>0</v>
      </c>
      <c r="O82" s="538" t="n">
        <v>0.27</v>
      </c>
      <c r="P82" s="590" t="n"/>
      <c r="Q82" s="243" t="n"/>
      <c r="R82" s="243" t="n"/>
      <c r="S82" s="243" t="n"/>
      <c r="T82" s="243" t="n"/>
      <c r="U82" s="243" t="n">
        <v>4.692</v>
      </c>
      <c r="V82" s="243" t="n">
        <v>2.733</v>
      </c>
      <c r="W82" s="243" t="n">
        <v>1.8</v>
      </c>
      <c r="X82" s="91" t="inlineStr">
        <is>
          <t>N/A</t>
        </is>
      </c>
      <c r="Y82" s="81" t="n"/>
      <c r="Z82" s="81" t="n"/>
      <c r="AA82" s="81" t="n"/>
      <c r="AB82" s="81" t="n"/>
      <c r="AC82" s="81" t="n"/>
      <c r="AD82" s="81" t="n"/>
      <c r="AE82" s="81" t="n"/>
      <c r="AF82" s="81" t="n"/>
      <c r="AG82" s="81" t="n"/>
      <c r="AH82" s="81" t="n"/>
      <c r="AI82" s="81" t="n"/>
      <c r="AJ82" s="244" t="n"/>
    </row>
    <row r="83">
      <c r="A83" s="597" t="n"/>
      <c r="B83" s="714" t="n">
        <v>16</v>
      </c>
      <c r="C83" s="616" t="n">
        <v>68</v>
      </c>
      <c r="D83" s="641" t="inlineStr">
        <is>
          <t>Rigial Sarki</t>
        </is>
      </c>
      <c r="E83" s="621" t="inlineStr">
        <is>
          <t>Djirataoua</t>
        </is>
      </c>
      <c r="F83" s="343" t="inlineStr">
        <is>
          <t>Intervention</t>
        </is>
      </c>
      <c r="G83" s="87" t="n">
        <v>2020</v>
      </c>
      <c r="H83" s="87" t="n">
        <v>2021</v>
      </c>
      <c r="I83" s="91" t="n">
        <v>1</v>
      </c>
      <c r="J83" s="87" t="n">
        <v>2</v>
      </c>
      <c r="K83" s="343" t="n">
        <v>24</v>
      </c>
      <c r="L83" s="346" t="n">
        <v>1</v>
      </c>
      <c r="M83" s="537" t="n"/>
      <c r="N83" s="559" t="n">
        <v>0</v>
      </c>
      <c r="O83" s="559" t="n">
        <v>0.42</v>
      </c>
      <c r="P83" s="560" t="n"/>
      <c r="Q83" s="246" t="n"/>
      <c r="R83" s="246" t="n"/>
      <c r="S83" s="246" t="n"/>
      <c r="T83" s="246" t="n"/>
      <c r="U83" s="246" t="n">
        <v>1.885</v>
      </c>
      <c r="V83" s="246" t="n">
        <v>3.554</v>
      </c>
      <c r="W83" s="246" t="n">
        <v>2.56</v>
      </c>
      <c r="X83" s="91" t="inlineStr">
        <is>
          <t>N/A</t>
        </is>
      </c>
      <c r="Y83" s="91" t="n"/>
      <c r="Z83" s="91" t="n"/>
      <c r="AA83" s="91" t="n"/>
      <c r="AB83" s="91" t="n"/>
      <c r="AC83" s="91" t="n"/>
      <c r="AD83" s="91" t="n"/>
      <c r="AE83" s="91" t="n"/>
      <c r="AF83" s="91" t="n"/>
      <c r="AG83" s="91" t="n"/>
      <c r="AH83" s="91" t="n"/>
      <c r="AI83" s="91" t="n"/>
      <c r="AJ83" s="160" t="n"/>
    </row>
    <row r="84">
      <c r="A84" s="618" t="n"/>
      <c r="B84" s="698" t="n"/>
      <c r="C84" s="619" t="n">
        <v>69</v>
      </c>
      <c r="D84" s="649" t="inlineStr">
        <is>
          <t>Garin Dogo</t>
        </is>
      </c>
      <c r="E84" s="621" t="inlineStr">
        <is>
          <t>Djirataoua</t>
        </is>
      </c>
      <c r="F84" s="350" t="inlineStr">
        <is>
          <t>Control</t>
        </is>
      </c>
      <c r="G84" s="55" t="n">
        <v>2020</v>
      </c>
      <c r="H84" s="56" t="n">
        <v>2021</v>
      </c>
      <c r="I84" s="62" t="n">
        <v>1</v>
      </c>
      <c r="J84" s="56" t="inlineStr">
        <is>
          <t>NA</t>
        </is>
      </c>
      <c r="K84" s="350" t="n">
        <v>20</v>
      </c>
      <c r="L84" s="589" t="inlineStr">
        <is>
          <t>NA</t>
        </is>
      </c>
      <c r="M84" s="59" t="n"/>
      <c r="N84" s="562" t="n">
        <v>0</v>
      </c>
      <c r="O84" s="562" t="n">
        <v>0.45</v>
      </c>
      <c r="P84" s="590" t="n"/>
      <c r="Q84" s="242" t="n"/>
      <c r="R84" s="242" t="n"/>
      <c r="S84" s="242" t="n"/>
      <c r="T84" s="242" t="n"/>
      <c r="U84" s="242" t="n">
        <v>2.058</v>
      </c>
      <c r="V84" s="242" t="n">
        <v>-1.343</v>
      </c>
      <c r="W84" s="242" t="n">
        <v>0.16</v>
      </c>
      <c r="X84" s="91" t="inlineStr">
        <is>
          <t>N/A</t>
        </is>
      </c>
      <c r="Y84" s="62" t="n"/>
      <c r="Z84" s="62" t="n"/>
      <c r="AA84" s="62" t="n"/>
      <c r="AB84" s="62" t="n"/>
      <c r="AC84" s="62" t="n"/>
      <c r="AD84" s="62" t="n"/>
      <c r="AE84" s="62" t="n"/>
      <c r="AF84" s="62" t="n"/>
      <c r="AG84" s="62" t="n"/>
      <c r="AH84" s="62" t="n"/>
      <c r="AI84" s="62" t="n"/>
      <c r="AJ84" s="162" t="n"/>
    </row>
    <row r="85">
      <c r="A85" s="353" t="n"/>
      <c r="B85" s="625" t="n">
        <v>17</v>
      </c>
      <c r="C85" s="606" t="n">
        <v>44</v>
      </c>
      <c r="D85" s="622" t="inlineStr">
        <is>
          <t>Sabon Gari Kolta</t>
        </is>
      </c>
      <c r="E85" s="621" t="inlineStr">
        <is>
          <t>Djirataoua</t>
        </is>
      </c>
      <c r="F85" s="357" t="inlineStr">
        <is>
          <t>Intervention</t>
        </is>
      </c>
      <c r="G85" s="546" t="n">
        <v>2020</v>
      </c>
      <c r="H85" s="546" t="n">
        <v>2021</v>
      </c>
      <c r="I85" s="72" t="n">
        <v>1</v>
      </c>
      <c r="J85" s="423" t="n">
        <v>2</v>
      </c>
      <c r="K85" s="357" t="n">
        <v>43</v>
      </c>
      <c r="L85" s="360" t="n">
        <v>1</v>
      </c>
      <c r="M85" s="537" t="n"/>
      <c r="N85" s="561" t="n">
        <v>0</v>
      </c>
      <c r="O85" s="561" t="n">
        <v>0.63</v>
      </c>
      <c r="P85" s="560" t="n"/>
      <c r="Q85" s="255" t="n"/>
      <c r="R85" s="255" t="n"/>
      <c r="S85" s="255" t="n"/>
      <c r="T85" s="255" t="n"/>
      <c r="U85" s="255" t="n">
        <v>3.913</v>
      </c>
      <c r="V85" s="255" t="n">
        <v>5.302</v>
      </c>
      <c r="W85" s="255" t="n">
        <v>4.61</v>
      </c>
      <c r="X85" s="91" t="inlineStr">
        <is>
          <t>N/A</t>
        </is>
      </c>
      <c r="Y85" s="72" t="n"/>
      <c r="Z85" s="72" t="n"/>
      <c r="AA85" s="72" t="n"/>
      <c r="AB85" s="72" t="n"/>
      <c r="AC85" s="72" t="n"/>
      <c r="AD85" s="72" t="n"/>
      <c r="AE85" s="72" t="n"/>
      <c r="AF85" s="72" t="n"/>
      <c r="AG85" s="72" t="n"/>
      <c r="AH85" s="72" t="n"/>
      <c r="AI85" s="72" t="n"/>
      <c r="AJ85" s="163" t="n"/>
    </row>
    <row r="86">
      <c r="A86" s="659" t="n"/>
      <c r="B86" s="698" t="n"/>
      <c r="C86" s="612" t="n">
        <v>70</v>
      </c>
      <c r="D86" s="623" t="inlineStr">
        <is>
          <t>Djiratawa Bilingue</t>
        </is>
      </c>
      <c r="E86" s="364" t="inlineStr">
        <is>
          <t>Djirataoua</t>
        </is>
      </c>
      <c r="F86" s="364" t="inlineStr">
        <is>
          <t>Control</t>
        </is>
      </c>
      <c r="G86" s="77" t="n">
        <v>2020</v>
      </c>
      <c r="H86" s="549" t="n">
        <v>2021</v>
      </c>
      <c r="I86" s="81" t="n">
        <v>1</v>
      </c>
      <c r="J86" s="78" t="inlineStr">
        <is>
          <t>NA</t>
        </is>
      </c>
      <c r="K86" s="364" t="n">
        <v>31</v>
      </c>
      <c r="L86" s="592" t="inlineStr">
        <is>
          <t>NA</t>
        </is>
      </c>
      <c r="M86" s="59" t="n"/>
      <c r="N86" s="538" t="n">
        <v>0</v>
      </c>
      <c r="O86" s="538" t="n">
        <v>0.23</v>
      </c>
      <c r="P86" s="590" t="n"/>
      <c r="Q86" s="243" t="n"/>
      <c r="R86" s="243" t="n"/>
      <c r="S86" s="243" t="n"/>
      <c r="T86" s="243" t="n"/>
      <c r="U86" s="243" t="n">
        <v>0.8080000000000001</v>
      </c>
      <c r="V86" s="243" t="n">
        <v>2.082</v>
      </c>
      <c r="W86" s="243" t="n">
        <v>0.42</v>
      </c>
      <c r="X86" s="91" t="inlineStr">
        <is>
          <t>N/A</t>
        </is>
      </c>
      <c r="Y86" s="81" t="n"/>
      <c r="Z86" s="81" t="n"/>
      <c r="AA86" s="81" t="n"/>
      <c r="AB86" s="81" t="n"/>
      <c r="AC86" s="81" t="n"/>
      <c r="AD86" s="81" t="n"/>
      <c r="AE86" s="81" t="n"/>
      <c r="AF86" s="81" t="n"/>
      <c r="AG86" s="81" t="n"/>
      <c r="AH86" s="81" t="n"/>
      <c r="AI86" s="81" t="n"/>
      <c r="AJ86" s="244" t="n"/>
    </row>
    <row r="87">
      <c r="A87" s="100" t="n"/>
      <c r="B87" s="100" t="n"/>
      <c r="C87" s="99" t="n"/>
      <c r="D87" s="100" t="n"/>
      <c r="E87" s="100" t="n"/>
      <c r="F87" s="100" t="n"/>
      <c r="G87" s="100" t="n"/>
      <c r="H87" s="100" t="n"/>
      <c r="I87" s="100" t="n"/>
      <c r="J87" s="100" t="n"/>
      <c r="K87" s="100" t="n"/>
      <c r="L87" s="99" t="n"/>
      <c r="M87" s="100" t="n"/>
      <c r="N87" s="100" t="n"/>
      <c r="O87" s="100" t="n"/>
      <c r="P87" s="100" t="n"/>
      <c r="Q87" s="100" t="n"/>
      <c r="R87" s="100" t="n"/>
      <c r="S87" s="100" t="n"/>
      <c r="T87" s="100" t="n"/>
      <c r="U87" s="100" t="n"/>
      <c r="V87" s="100" t="n"/>
      <c r="W87" s="100" t="n"/>
      <c r="X87" s="100" t="n"/>
      <c r="Y87" s="100" t="n"/>
      <c r="Z87" s="100" t="n"/>
      <c r="AA87" s="100" t="n"/>
      <c r="AB87" s="100" t="n"/>
      <c r="AC87" s="100" t="n"/>
      <c r="AD87" s="100" t="n"/>
      <c r="AE87" s="100" t="n"/>
      <c r="AF87" s="100" t="n"/>
      <c r="AG87" s="100" t="n"/>
      <c r="AH87" s="100" t="n"/>
      <c r="AI87" s="100" t="n"/>
      <c r="AJ87" s="100" t="n"/>
    </row>
    <row r="88">
      <c r="A88" s="207" t="inlineStr">
        <is>
          <t>COHORTE 4 CM2 2021-2022</t>
        </is>
      </c>
      <c r="B88" s="95" t="n"/>
      <c r="C88" s="98" t="n"/>
      <c r="D88" s="95" t="n"/>
      <c r="E88" s="95" t="n"/>
      <c r="F88" s="95" t="n"/>
      <c r="G88" s="95" t="n"/>
      <c r="H88" s="95" t="n"/>
      <c r="I88" s="95" t="n"/>
      <c r="J88" s="95" t="n"/>
      <c r="K88" s="95" t="n"/>
      <c r="L88" s="99" t="n"/>
      <c r="M88" s="100" t="n"/>
      <c r="N88" s="100" t="n"/>
      <c r="O88" s="100" t="n"/>
      <c r="P88" s="100" t="n"/>
      <c r="Q88" s="100" t="n"/>
      <c r="R88" s="100" t="n"/>
      <c r="S88" s="100" t="n"/>
      <c r="T88" s="100" t="n"/>
      <c r="U88" s="100" t="n"/>
      <c r="V88" s="100" t="n"/>
      <c r="W88" s="100" t="n"/>
      <c r="X88" s="207" t="inlineStr">
        <is>
          <t>Hasken Mata cohorte 1</t>
        </is>
      </c>
      <c r="Y88" s="100" t="n"/>
      <c r="Z88" s="100" t="n"/>
      <c r="AA88" s="100" t="n"/>
      <c r="AB88" s="100" t="n"/>
      <c r="AC88" s="100" t="n"/>
      <c r="AD88" s="100" t="n"/>
      <c r="AE88" s="100" t="n"/>
      <c r="AF88" s="100" t="n"/>
      <c r="AG88" s="100" t="n"/>
      <c r="AH88" s="100" t="n"/>
      <c r="AI88" s="100" t="n"/>
      <c r="AJ88" s="100" t="n"/>
    </row>
    <row r="89">
      <c r="A89" s="597" t="n"/>
      <c r="B89" s="367" t="n">
        <v>1</v>
      </c>
      <c r="C89" s="593" t="n">
        <v>1</v>
      </c>
      <c r="D89" s="603" t="inlineStr">
        <is>
          <t>Katare Guidan Ousmane 1</t>
        </is>
      </c>
      <c r="E89" s="350" t="inlineStr">
        <is>
          <t>Tibiri</t>
        </is>
      </c>
      <c r="F89" s="343" t="inlineStr">
        <is>
          <t>Intervention</t>
        </is>
      </c>
      <c r="G89" s="641" t="n">
        <v>2021</v>
      </c>
      <c r="H89" s="641" t="n">
        <v>2022</v>
      </c>
      <c r="I89" s="91" t="n">
        <v>4</v>
      </c>
      <c r="J89" s="456" t="n">
        <v>2</v>
      </c>
      <c r="K89" s="343" t="n">
        <v>38</v>
      </c>
      <c r="L89" s="346" t="n">
        <v>1</v>
      </c>
      <c r="M89" s="537" t="n"/>
      <c r="N89" s="559">
        <f>2/K89</f>
        <v/>
      </c>
      <c r="O89" s="559" t="n">
        <v>0.42</v>
      </c>
      <c r="P89" s="559" t="n">
        <v>1</v>
      </c>
      <c r="Q89" s="246" t="n"/>
      <c r="R89" s="246" t="n"/>
      <c r="S89" s="246" t="n"/>
      <c r="T89" s="246" t="n"/>
      <c r="U89" s="246" t="n">
        <v>5.53</v>
      </c>
      <c r="V89" s="246" t="n">
        <v>6.33</v>
      </c>
      <c r="W89" s="246" t="n">
        <v>5.05</v>
      </c>
      <c r="X89" s="91" t="n">
        <v>0</v>
      </c>
      <c r="Y89" s="91" t="n"/>
      <c r="Z89" s="91" t="n"/>
      <c r="AA89" s="91" t="n"/>
      <c r="AB89" s="91" t="n"/>
      <c r="AC89" s="91" t="n"/>
      <c r="AD89" s="91" t="n"/>
      <c r="AE89" s="91" t="n"/>
      <c r="AF89" s="91" t="n"/>
      <c r="AG89" s="91" t="n"/>
      <c r="AH89" s="91" t="n"/>
      <c r="AI89" s="91" t="n"/>
      <c r="AJ89" s="160" t="n"/>
    </row>
    <row r="90">
      <c r="A90" s="624" t="inlineStr">
        <is>
          <t xml:space="preserve">Soura 3 </t>
        </is>
      </c>
      <c r="B90" s="367" t="n">
        <v>1</v>
      </c>
      <c r="C90" s="595" t="n">
        <v>4</v>
      </c>
      <c r="D90" s="600" t="inlineStr">
        <is>
          <t>Kara Kara 3</t>
        </is>
      </c>
      <c r="E90" s="350" t="inlineStr">
        <is>
          <t>Tibiri</t>
        </is>
      </c>
      <c r="F90" s="350" t="inlineStr">
        <is>
          <t>Control</t>
        </is>
      </c>
      <c r="G90" s="55" t="n">
        <v>2021</v>
      </c>
      <c r="H90" s="649" t="n">
        <v>2022</v>
      </c>
      <c r="I90" s="62" t="n">
        <v>4</v>
      </c>
      <c r="J90" s="56" t="inlineStr">
        <is>
          <t>NA</t>
        </is>
      </c>
      <c r="K90" s="350" t="n">
        <v>37</v>
      </c>
      <c r="L90" s="589" t="inlineStr">
        <is>
          <t>NA</t>
        </is>
      </c>
      <c r="M90" s="59" t="n"/>
      <c r="N90" s="562" t="n">
        <v>0</v>
      </c>
      <c r="O90" s="562" t="n">
        <v>0.89</v>
      </c>
      <c r="P90" s="562" t="n">
        <v>1</v>
      </c>
      <c r="Q90" s="242" t="n"/>
      <c r="R90" s="242" t="n"/>
      <c r="S90" s="242" t="n"/>
      <c r="T90" s="242" t="n"/>
      <c r="U90" s="242" t="n">
        <v>2.32</v>
      </c>
      <c r="V90" s="242" t="n">
        <v>0.68</v>
      </c>
      <c r="W90" s="242" t="n">
        <v>1.16</v>
      </c>
      <c r="X90" s="62" t="n">
        <v>0</v>
      </c>
      <c r="Y90" s="62" t="n"/>
      <c r="Z90" s="62" t="n"/>
      <c r="AA90" s="62" t="n"/>
      <c r="AB90" s="62" t="n"/>
      <c r="AC90" s="62" t="n"/>
      <c r="AD90" s="62" t="n"/>
      <c r="AE90" s="62" t="n"/>
      <c r="AF90" s="62" t="n"/>
      <c r="AG90" s="62" t="n"/>
      <c r="AH90" s="62" t="n"/>
      <c r="AI90" s="62" t="n"/>
      <c r="AJ90" s="162" t="n"/>
    </row>
    <row r="91">
      <c r="A91" s="353" t="n"/>
      <c r="B91" s="591" t="n">
        <v>2</v>
      </c>
      <c r="C91" s="601" t="n">
        <v>2</v>
      </c>
      <c r="D91" s="622" t="inlineStr">
        <is>
          <t>Soura 3</t>
        </is>
      </c>
      <c r="E91" s="357" t="inlineStr">
        <is>
          <t>Tibiri</t>
        </is>
      </c>
      <c r="F91" s="357" t="inlineStr">
        <is>
          <t>Intervention</t>
        </is>
      </c>
      <c r="G91" s="546" t="n">
        <v>2021</v>
      </c>
      <c r="H91" s="546" t="n">
        <v>2022</v>
      </c>
      <c r="I91" s="72" t="n">
        <v>4</v>
      </c>
      <c r="J91" s="357" t="n">
        <v>2</v>
      </c>
      <c r="K91" s="357" t="n">
        <v>23</v>
      </c>
      <c r="L91" s="360" t="n">
        <v>1</v>
      </c>
      <c r="M91" s="537" t="n"/>
      <c r="N91" s="561">
        <f>1/K91</f>
        <v/>
      </c>
      <c r="O91" s="561" t="n">
        <v>0.91</v>
      </c>
      <c r="P91" s="561" t="n">
        <v>1</v>
      </c>
      <c r="Q91" s="255" t="n"/>
      <c r="R91" s="255" t="n"/>
      <c r="S91" s="255" t="n"/>
      <c r="T91" s="255" t="n"/>
      <c r="U91" s="255" t="n">
        <v>4.1</v>
      </c>
      <c r="V91" s="255" t="n">
        <v>3.45</v>
      </c>
      <c r="W91" s="255" t="n">
        <v>1.84</v>
      </c>
      <c r="X91" s="72" t="n">
        <v>0</v>
      </c>
      <c r="Y91" s="72" t="n"/>
      <c r="Z91" s="72" t="n"/>
      <c r="AA91" s="72" t="n"/>
      <c r="AB91" s="72" t="n"/>
      <c r="AC91" s="72" t="n"/>
      <c r="AD91" s="72" t="n"/>
      <c r="AE91" s="72" t="n"/>
      <c r="AF91" s="72" t="n"/>
      <c r="AG91" s="72" t="n"/>
      <c r="AH91" s="72" t="n"/>
      <c r="AI91" s="72" t="n"/>
      <c r="AJ91" s="163" t="n"/>
    </row>
    <row r="92">
      <c r="A92" s="659" t="n"/>
      <c r="B92" s="625" t="n">
        <v>2</v>
      </c>
      <c r="C92" s="602" t="n">
        <v>18</v>
      </c>
      <c r="D92" s="623" t="inlineStr">
        <is>
          <t>Yan Zango</t>
        </is>
      </c>
      <c r="E92" s="364" t="inlineStr">
        <is>
          <t>Tibiri</t>
        </is>
      </c>
      <c r="F92" s="364" t="inlineStr">
        <is>
          <t>Control</t>
        </is>
      </c>
      <c r="G92" s="77" t="n">
        <v>2021</v>
      </c>
      <c r="H92" s="549" t="n">
        <v>2022</v>
      </c>
      <c r="I92" s="81" t="n">
        <v>3</v>
      </c>
      <c r="J92" s="78" t="inlineStr">
        <is>
          <t>NA</t>
        </is>
      </c>
      <c r="K92" s="364" t="n">
        <v>28</v>
      </c>
      <c r="L92" s="592" t="inlineStr">
        <is>
          <t>NA</t>
        </is>
      </c>
      <c r="M92" s="59" t="n"/>
      <c r="N92" s="538">
        <f>1/K92</f>
        <v/>
      </c>
      <c r="O92" s="538" t="n">
        <v>0.68</v>
      </c>
      <c r="P92" s="538" t="n">
        <v>1</v>
      </c>
      <c r="Q92" s="243" t="n"/>
      <c r="R92" s="243" t="n"/>
      <c r="S92" s="243" t="n"/>
      <c r="T92" s="243" t="n"/>
      <c r="U92" s="243" t="n">
        <v>4.11</v>
      </c>
      <c r="V92" s="243" t="n">
        <v>4.65</v>
      </c>
      <c r="W92" s="243" t="n">
        <v>4.28</v>
      </c>
      <c r="X92" s="81" t="n">
        <v>0</v>
      </c>
      <c r="Y92" s="81" t="n"/>
      <c r="Z92" s="81" t="n"/>
      <c r="AA92" s="81" t="n"/>
      <c r="AB92" s="81" t="n"/>
      <c r="AC92" s="81" t="n"/>
      <c r="AD92" s="81" t="n"/>
      <c r="AE92" s="81" t="n"/>
      <c r="AF92" s="81" t="n"/>
      <c r="AG92" s="81" t="n"/>
      <c r="AH92" s="81" t="n"/>
      <c r="AI92" s="81" t="n"/>
      <c r="AJ92" s="244" t="n"/>
    </row>
    <row r="93">
      <c r="A93" s="597" t="n"/>
      <c r="B93" s="367" t="n">
        <v>3</v>
      </c>
      <c r="C93" s="593" t="n">
        <v>3</v>
      </c>
      <c r="D93" s="603" t="inlineStr">
        <is>
          <t>Katare Guidan Ousmane 2</t>
        </is>
      </c>
      <c r="E93" s="238" t="inlineStr">
        <is>
          <t>Tibiri</t>
        </is>
      </c>
      <c r="F93" s="343" t="inlineStr">
        <is>
          <t>Intervention</t>
        </is>
      </c>
      <c r="G93" s="641" t="n">
        <v>2021</v>
      </c>
      <c r="H93" s="641" t="n">
        <v>2022</v>
      </c>
      <c r="I93" s="91" t="n">
        <v>4</v>
      </c>
      <c r="J93" s="456" t="n">
        <v>2</v>
      </c>
      <c r="K93" s="343" t="n">
        <v>23</v>
      </c>
      <c r="L93" s="346" t="n">
        <v>1</v>
      </c>
      <c r="M93" s="537" t="n"/>
      <c r="N93" s="559" t="n">
        <v>0</v>
      </c>
      <c r="O93" s="559" t="n">
        <v>0.61</v>
      </c>
      <c r="P93" s="559" t="n">
        <v>1</v>
      </c>
      <c r="Q93" s="246" t="n"/>
      <c r="R93" s="246" t="n"/>
      <c r="S93" s="246" t="n"/>
      <c r="T93" s="246" t="n"/>
      <c r="U93" s="246" t="n">
        <v>5.01</v>
      </c>
      <c r="V93" s="246" t="n">
        <v>4.98</v>
      </c>
      <c r="W93" s="246" t="n">
        <v>2.08</v>
      </c>
      <c r="X93" s="91" t="n">
        <v>0</v>
      </c>
      <c r="Y93" s="91" t="n"/>
      <c r="Z93" s="91" t="n"/>
      <c r="AA93" s="91" t="n"/>
      <c r="AB93" s="91" t="n"/>
      <c r="AC93" s="91" t="n"/>
      <c r="AD93" s="91" t="n"/>
      <c r="AE93" s="91" t="n"/>
      <c r="AF93" s="91" t="n"/>
      <c r="AG93" s="91" t="n"/>
      <c r="AH93" s="91" t="n"/>
      <c r="AI93" s="91" t="n"/>
      <c r="AJ93" s="160" t="n"/>
    </row>
    <row r="94">
      <c r="A94" s="624" t="inlineStr">
        <is>
          <t>Kara Kara 3 (?old control?)</t>
        </is>
      </c>
      <c r="B94" s="367" t="n">
        <v>3</v>
      </c>
      <c r="C94" s="595" t="n">
        <v>28</v>
      </c>
      <c r="D94" s="600" t="inlineStr">
        <is>
          <t>Garin Malan Hamza</t>
        </is>
      </c>
      <c r="E94" s="350" t="inlineStr">
        <is>
          <t>Tibiri</t>
        </is>
      </c>
      <c r="F94" s="350" t="inlineStr">
        <is>
          <t>Control</t>
        </is>
      </c>
      <c r="G94" s="55" t="n">
        <v>2021</v>
      </c>
      <c r="H94" s="649" t="n">
        <v>2022</v>
      </c>
      <c r="I94" s="62" t="n">
        <v>3</v>
      </c>
      <c r="J94" s="56" t="inlineStr">
        <is>
          <t>NA</t>
        </is>
      </c>
      <c r="K94" s="350" t="n">
        <v>18</v>
      </c>
      <c r="L94" s="589" t="inlineStr">
        <is>
          <t>NA</t>
        </is>
      </c>
      <c r="M94" s="59" t="n"/>
      <c r="N94" s="562" t="n">
        <v>0</v>
      </c>
      <c r="O94" s="562" t="n">
        <v>0.17</v>
      </c>
      <c r="P94" s="562" t="n">
        <v>0.66</v>
      </c>
      <c r="Q94" s="242" t="n"/>
      <c r="R94" s="242" t="n"/>
      <c r="S94" s="242" t="n"/>
      <c r="T94" s="242" t="n"/>
      <c r="U94" s="242" t="n">
        <v>2.54</v>
      </c>
      <c r="V94" s="242" t="n">
        <v>2</v>
      </c>
      <c r="W94" s="242" t="n">
        <v>2.27</v>
      </c>
      <c r="X94" s="62" t="n">
        <v>0</v>
      </c>
      <c r="Y94" s="62" t="n"/>
      <c r="Z94" s="62" t="n"/>
      <c r="AA94" s="62" t="n"/>
      <c r="AB94" s="62" t="n"/>
      <c r="AC94" s="62" t="n"/>
      <c r="AD94" s="62" t="n"/>
      <c r="AE94" s="62" t="n"/>
      <c r="AF94" s="62" t="n"/>
      <c r="AG94" s="62" t="n"/>
      <c r="AH94" s="62" t="n"/>
      <c r="AI94" s="62" t="n"/>
      <c r="AJ94" s="162" t="n"/>
    </row>
    <row r="95" ht="19.5" customHeight="1" s="695">
      <c r="A95" s="353" t="n"/>
      <c r="B95" s="625" t="n">
        <v>4</v>
      </c>
      <c r="C95" s="601" t="n">
        <v>5</v>
      </c>
      <c r="D95" s="546" t="inlineStr">
        <is>
          <t>Tibiri Nord 3</t>
        </is>
      </c>
      <c r="E95" s="357" t="inlineStr">
        <is>
          <t>Tibiri</t>
        </is>
      </c>
      <c r="F95" s="357" t="inlineStr">
        <is>
          <t>Intervention</t>
        </is>
      </c>
      <c r="G95" s="546" t="n">
        <v>2021</v>
      </c>
      <c r="H95" s="546" t="n">
        <v>2022</v>
      </c>
      <c r="I95" s="72" t="n">
        <v>4</v>
      </c>
      <c r="J95" s="359" t="n">
        <v>2</v>
      </c>
      <c r="K95" s="357" t="n">
        <v>16</v>
      </c>
      <c r="L95" s="360" t="n">
        <v>1</v>
      </c>
      <c r="M95" s="537" t="n"/>
      <c r="N95" s="561" t="n">
        <v>0</v>
      </c>
      <c r="O95" s="561" t="n">
        <v>0.8100000000000001</v>
      </c>
      <c r="P95" s="561" t="n">
        <v>1</v>
      </c>
      <c r="Q95" s="255" t="n"/>
      <c r="R95" s="255" t="n"/>
      <c r="S95" s="255" t="n"/>
      <c r="T95" s="255" t="n"/>
      <c r="U95" s="255" t="n">
        <v>8</v>
      </c>
      <c r="V95" s="255" t="n">
        <v>3.59</v>
      </c>
      <c r="W95" s="255" t="n">
        <v>5.8</v>
      </c>
      <c r="X95" s="72" t="n">
        <v>0</v>
      </c>
      <c r="Y95" s="72" t="n"/>
      <c r="Z95" s="72" t="n"/>
      <c r="AA95" s="72" t="n"/>
      <c r="AB95" s="72" t="n"/>
      <c r="AC95" s="72" t="n"/>
      <c r="AD95" s="72" t="n"/>
      <c r="AE95" s="72" t="n"/>
      <c r="AF95" s="72" t="n"/>
      <c r="AG95" s="72" t="n"/>
      <c r="AH95" s="72" t="n"/>
      <c r="AI95" s="72" t="n"/>
      <c r="AJ95" s="163" t="n"/>
    </row>
    <row r="96">
      <c r="A96" s="659" t="n"/>
      <c r="B96" s="698" t="n"/>
      <c r="C96" s="602" t="n">
        <v>6</v>
      </c>
      <c r="D96" s="549" t="inlineStr">
        <is>
          <t>Garin Daoure 1</t>
        </is>
      </c>
      <c r="E96" s="357" t="inlineStr">
        <is>
          <t>Tibiri</t>
        </is>
      </c>
      <c r="F96" s="364" t="inlineStr">
        <is>
          <t>Control</t>
        </is>
      </c>
      <c r="G96" s="77" t="n">
        <v>2021</v>
      </c>
      <c r="H96" s="549" t="n">
        <v>2022</v>
      </c>
      <c r="I96" s="81" t="n">
        <v>4</v>
      </c>
      <c r="J96" s="78" t="inlineStr">
        <is>
          <t>NA</t>
        </is>
      </c>
      <c r="K96" s="364" t="n">
        <v>12</v>
      </c>
      <c r="L96" s="592" t="inlineStr">
        <is>
          <t>NA</t>
        </is>
      </c>
      <c r="M96" s="59" t="n"/>
      <c r="N96" s="538" t="n">
        <v>0</v>
      </c>
      <c r="O96" s="538" t="n">
        <v>1</v>
      </c>
      <c r="P96" s="538" t="n">
        <v>1</v>
      </c>
      <c r="Q96" s="243" t="n"/>
      <c r="R96" s="243" t="n"/>
      <c r="S96" s="243" t="n"/>
      <c r="T96" s="243" t="n"/>
      <c r="U96" s="243" t="n">
        <v>0.72</v>
      </c>
      <c r="V96" s="243" t="n">
        <v>1.44</v>
      </c>
      <c r="W96" s="243" t="n">
        <v>1.08</v>
      </c>
      <c r="X96" s="81" t="n">
        <v>0</v>
      </c>
      <c r="Y96" s="81" t="n"/>
      <c r="Z96" s="81" t="n"/>
      <c r="AA96" s="81" t="n"/>
      <c r="AB96" s="81" t="n"/>
      <c r="AC96" s="81" t="n"/>
      <c r="AD96" s="81" t="n"/>
      <c r="AE96" s="81" t="n"/>
      <c r="AF96" s="81" t="n"/>
      <c r="AG96" s="81" t="n"/>
      <c r="AH96" s="81" t="n"/>
      <c r="AI96" s="81" t="n"/>
      <c r="AJ96" s="244" t="n"/>
    </row>
    <row r="97">
      <c r="A97" s="597" t="n"/>
      <c r="B97" s="714" t="n">
        <v>5</v>
      </c>
      <c r="C97" s="593" t="n">
        <v>11</v>
      </c>
      <c r="D97" s="603" t="inlineStr">
        <is>
          <t>Soura Aboubacar 4</t>
        </is>
      </c>
      <c r="E97" s="350" t="inlineStr">
        <is>
          <t>Tibiri</t>
        </is>
      </c>
      <c r="F97" s="343" t="inlineStr">
        <is>
          <t>Intervention</t>
        </is>
      </c>
      <c r="G97" s="641" t="n">
        <v>2021</v>
      </c>
      <c r="H97" s="641" t="n">
        <v>2022</v>
      </c>
      <c r="I97" s="91" t="n">
        <v>4</v>
      </c>
      <c r="J97" s="456" t="n">
        <v>2</v>
      </c>
      <c r="K97" s="343" t="n">
        <v>49</v>
      </c>
      <c r="L97" s="346" t="n">
        <v>1</v>
      </c>
      <c r="M97" s="537" t="n"/>
      <c r="N97" s="559">
        <f>4/K97</f>
        <v/>
      </c>
      <c r="O97" s="559" t="n">
        <v>0.9</v>
      </c>
      <c r="P97" s="559" t="n">
        <v>1</v>
      </c>
      <c r="Q97" s="246" t="n"/>
      <c r="R97" s="246" t="n"/>
      <c r="S97" s="246" t="n"/>
      <c r="T97" s="246" t="n"/>
      <c r="U97" s="246" t="n">
        <v>7.56</v>
      </c>
      <c r="V97" s="246" t="n">
        <v>4.1</v>
      </c>
      <c r="W97" s="246" t="n">
        <v>0.72</v>
      </c>
      <c r="X97" s="91" t="n">
        <v>0</v>
      </c>
      <c r="Y97" s="91" t="n"/>
      <c r="Z97" s="91" t="n"/>
      <c r="AA97" s="91" t="n"/>
      <c r="AB97" s="91" t="n"/>
      <c r="AC97" s="91" t="n"/>
      <c r="AD97" s="91" t="n"/>
      <c r="AE97" s="91" t="n"/>
      <c r="AF97" s="91" t="n"/>
      <c r="AG97" s="91" t="n"/>
      <c r="AH97" s="91" t="n"/>
      <c r="AI97" s="91" t="n"/>
      <c r="AJ97" s="160" t="n"/>
    </row>
    <row r="98">
      <c r="A98" s="618" t="n"/>
      <c r="B98" s="698" t="n"/>
      <c r="C98" s="595" t="n">
        <v>14</v>
      </c>
      <c r="D98" s="600" t="inlineStr">
        <is>
          <t>Kara Kara 2</t>
        </is>
      </c>
      <c r="E98" s="350" t="inlineStr">
        <is>
          <t>Tibiri</t>
        </is>
      </c>
      <c r="F98" s="350" t="inlineStr">
        <is>
          <t>Control</t>
        </is>
      </c>
      <c r="G98" s="55" t="n">
        <v>2021</v>
      </c>
      <c r="H98" s="649" t="n">
        <v>2022</v>
      </c>
      <c r="I98" s="62" t="n">
        <v>2</v>
      </c>
      <c r="J98" s="56" t="inlineStr">
        <is>
          <t>NA</t>
        </is>
      </c>
      <c r="K98" s="350" t="n">
        <v>49</v>
      </c>
      <c r="L98" s="589" t="inlineStr">
        <is>
          <t>NA</t>
        </is>
      </c>
      <c r="M98" s="59" t="n"/>
      <c r="N98" s="562">
        <f>5/K98</f>
        <v/>
      </c>
      <c r="O98" s="562" t="n">
        <v>0.67</v>
      </c>
      <c r="P98" s="562" t="n">
        <v>0.88</v>
      </c>
      <c r="Q98" s="242" t="n"/>
      <c r="R98" s="242" t="n"/>
      <c r="S98" s="242" t="n"/>
      <c r="T98" s="242" t="n"/>
      <c r="U98" s="242" t="n">
        <v>4.31</v>
      </c>
      <c r="V98" s="242" t="n">
        <v>3.77</v>
      </c>
      <c r="W98" s="242" t="n">
        <v>4.04</v>
      </c>
      <c r="X98" s="62" t="n">
        <v>0</v>
      </c>
      <c r="Y98" s="62" t="n"/>
      <c r="Z98" s="62" t="n"/>
      <c r="AA98" s="62" t="n"/>
      <c r="AB98" s="62" t="n"/>
      <c r="AC98" s="62" t="n"/>
      <c r="AD98" s="62" t="n"/>
      <c r="AE98" s="62" t="n"/>
      <c r="AF98" s="62" t="n"/>
      <c r="AG98" s="62" t="n"/>
      <c r="AH98" s="62" t="n"/>
      <c r="AI98" s="62" t="n"/>
      <c r="AJ98" s="162" t="n"/>
    </row>
    <row r="99">
      <c r="A99" s="353" t="n"/>
      <c r="B99" s="625" t="n">
        <v>6</v>
      </c>
      <c r="C99" s="601" t="n">
        <v>12</v>
      </c>
      <c r="D99" s="622" t="inlineStr">
        <is>
          <t>Soura 2</t>
        </is>
      </c>
      <c r="E99" s="357" t="inlineStr">
        <is>
          <t>Tibiri</t>
        </is>
      </c>
      <c r="F99" s="357" t="inlineStr">
        <is>
          <t>Intervention</t>
        </is>
      </c>
      <c r="G99" s="546" t="n">
        <v>2021</v>
      </c>
      <c r="H99" s="546" t="n">
        <v>2022</v>
      </c>
      <c r="I99" s="72" t="n">
        <v>4</v>
      </c>
      <c r="J99" s="359" t="n">
        <v>2</v>
      </c>
      <c r="K99" s="357" t="n">
        <v>15</v>
      </c>
      <c r="L99" s="360" t="n">
        <v>1</v>
      </c>
      <c r="M99" s="537" t="n"/>
      <c r="N99" s="561">
        <f>2/K99</f>
        <v/>
      </c>
      <c r="O99" s="561" t="n">
        <v>0.87</v>
      </c>
      <c r="P99" s="561" t="n">
        <v>1</v>
      </c>
      <c r="Q99" s="255" t="n"/>
      <c r="R99" s="255" t="n"/>
      <c r="S99" s="255" t="n"/>
      <c r="T99" s="255" t="n"/>
      <c r="U99" s="255" t="n">
        <v>3.13</v>
      </c>
      <c r="V99" s="255" t="n">
        <v>5.15</v>
      </c>
      <c r="W99" s="255" t="n">
        <v>4.14</v>
      </c>
      <c r="X99" s="72" t="n">
        <v>0</v>
      </c>
      <c r="Y99" s="72" t="n"/>
      <c r="Z99" s="72" t="n"/>
      <c r="AA99" s="72" t="n"/>
      <c r="AB99" s="72" t="n"/>
      <c r="AC99" s="72" t="n"/>
      <c r="AD99" s="72" t="n"/>
      <c r="AE99" s="72" t="n"/>
      <c r="AF99" s="72" t="n"/>
      <c r="AG99" s="72" t="n"/>
      <c r="AH99" s="72" t="n"/>
      <c r="AI99" s="72" t="n"/>
      <c r="AJ99" s="163" t="n"/>
    </row>
    <row r="100">
      <c r="A100" s="659" t="n"/>
      <c r="B100" s="698" t="n"/>
      <c r="C100" s="602" t="n">
        <v>71</v>
      </c>
      <c r="D100" s="623" t="inlineStr">
        <is>
          <t>Garin Madji</t>
        </is>
      </c>
      <c r="E100" s="357" t="inlineStr">
        <is>
          <t>Tibiri</t>
        </is>
      </c>
      <c r="F100" s="364" t="inlineStr">
        <is>
          <t>Control</t>
        </is>
      </c>
      <c r="G100" s="77" t="n">
        <v>2021</v>
      </c>
      <c r="H100" s="549" t="n">
        <v>2022</v>
      </c>
      <c r="I100" s="81" t="n">
        <v>1</v>
      </c>
      <c r="J100" s="78" t="inlineStr">
        <is>
          <t>NA</t>
        </is>
      </c>
      <c r="K100" s="364" t="n">
        <v>21</v>
      </c>
      <c r="L100" s="592" t="inlineStr">
        <is>
          <t>NA</t>
        </is>
      </c>
      <c r="M100" s="59" t="n"/>
      <c r="N100" s="538" t="n">
        <v>0</v>
      </c>
      <c r="O100" s="538" t="n">
        <v>0.52</v>
      </c>
      <c r="P100" s="538" t="n">
        <v>0.64</v>
      </c>
      <c r="Q100" s="243" t="n"/>
      <c r="R100" s="243" t="n"/>
      <c r="S100" s="243" t="n"/>
      <c r="T100" s="243" t="n"/>
      <c r="U100" s="243" t="n">
        <v>2.2</v>
      </c>
      <c r="V100" s="243" t="n">
        <v>1.99</v>
      </c>
      <c r="W100" s="243" t="n">
        <v>1.7</v>
      </c>
      <c r="X100" s="81" t="n">
        <v>0</v>
      </c>
      <c r="Y100" s="81" t="n"/>
      <c r="Z100" s="81" t="n"/>
      <c r="AA100" s="81" t="n"/>
      <c r="AB100" s="81" t="n"/>
      <c r="AC100" s="81" t="n"/>
      <c r="AD100" s="81" t="n"/>
      <c r="AE100" s="81" t="n"/>
      <c r="AF100" s="81" t="n"/>
      <c r="AG100" s="81" t="n"/>
      <c r="AH100" s="81" t="n"/>
      <c r="AI100" s="81" t="n"/>
      <c r="AJ100" s="244" t="n"/>
    </row>
    <row r="101">
      <c r="A101" s="597" t="n"/>
      <c r="B101" s="714" t="n">
        <v>7</v>
      </c>
      <c r="C101" s="593" t="n">
        <v>13</v>
      </c>
      <c r="D101" s="603" t="inlineStr">
        <is>
          <t>Garin Yari Idi</t>
        </is>
      </c>
      <c r="E101" s="343" t="inlineStr">
        <is>
          <t>Tibiri</t>
        </is>
      </c>
      <c r="F101" s="343" t="inlineStr">
        <is>
          <t>Intervention</t>
        </is>
      </c>
      <c r="G101" s="641" t="n">
        <v>2021</v>
      </c>
      <c r="H101" s="641" t="n">
        <v>2022</v>
      </c>
      <c r="I101" s="91" t="n">
        <v>4</v>
      </c>
      <c r="J101" s="343" t="n">
        <v>2</v>
      </c>
      <c r="K101" s="343" t="n">
        <v>23</v>
      </c>
      <c r="L101" s="346" t="n">
        <v>1</v>
      </c>
      <c r="M101" s="537" t="n"/>
      <c r="N101" s="559" t="n">
        <v>0</v>
      </c>
      <c r="O101" s="559" t="n">
        <v>0.48</v>
      </c>
      <c r="P101" s="559" t="n">
        <v>0.91</v>
      </c>
      <c r="Q101" s="246" t="n"/>
      <c r="R101" s="246" t="n"/>
      <c r="S101" s="246" t="n"/>
      <c r="T101" s="246" t="n"/>
      <c r="U101" s="246" t="n">
        <v>3.33</v>
      </c>
      <c r="V101" s="246" t="n">
        <v>4.07</v>
      </c>
      <c r="W101" s="246" t="n">
        <v>3.7</v>
      </c>
      <c r="X101" s="91" t="n">
        <v>0</v>
      </c>
      <c r="Y101" s="91" t="n"/>
      <c r="Z101" s="91" t="n"/>
      <c r="AA101" s="91" t="n"/>
      <c r="AB101" s="91" t="n"/>
      <c r="AC101" s="91" t="n"/>
      <c r="AD101" s="91" t="n"/>
      <c r="AE101" s="91" t="n"/>
      <c r="AF101" s="91" t="n"/>
      <c r="AG101" s="91" t="n"/>
      <c r="AH101" s="91" t="n"/>
      <c r="AI101" s="91" t="n"/>
      <c r="AJ101" s="160" t="n"/>
    </row>
    <row r="102">
      <c r="A102" s="618" t="n"/>
      <c r="B102" s="698" t="n"/>
      <c r="C102" s="595" t="n">
        <v>72</v>
      </c>
      <c r="D102" s="600" t="inlineStr">
        <is>
          <t>Garin Bormo</t>
        </is>
      </c>
      <c r="E102" s="343" t="inlineStr">
        <is>
          <t>Tibiri</t>
        </is>
      </c>
      <c r="F102" s="350" t="inlineStr">
        <is>
          <t>Control</t>
        </is>
      </c>
      <c r="G102" s="55" t="n">
        <v>2021</v>
      </c>
      <c r="H102" s="649" t="n">
        <v>2022</v>
      </c>
      <c r="I102" s="62" t="n">
        <v>2</v>
      </c>
      <c r="J102" s="56" t="inlineStr">
        <is>
          <t>NA</t>
        </is>
      </c>
      <c r="K102" s="350" t="n">
        <v>20</v>
      </c>
      <c r="L102" s="589" t="inlineStr">
        <is>
          <t>NA</t>
        </is>
      </c>
      <c r="M102" s="59" t="n"/>
      <c r="N102" s="562" t="n">
        <v>0</v>
      </c>
      <c r="O102" s="562" t="n">
        <v>1</v>
      </c>
      <c r="P102" s="562" t="n">
        <v>0.75</v>
      </c>
      <c r="Q102" s="242" t="n"/>
      <c r="R102" s="242" t="n"/>
      <c r="S102" s="242" t="n"/>
      <c r="T102" s="242" t="n"/>
      <c r="U102" s="242" t="n">
        <v>2.54</v>
      </c>
      <c r="V102" s="242" t="n">
        <v>4.85</v>
      </c>
      <c r="W102" s="242" t="n">
        <v>3.69</v>
      </c>
      <c r="X102" s="62" t="n">
        <v>0</v>
      </c>
      <c r="Y102" s="62" t="n"/>
      <c r="Z102" s="62" t="n"/>
      <c r="AA102" s="62" t="n"/>
      <c r="AB102" s="62" t="n"/>
      <c r="AC102" s="62" t="n"/>
      <c r="AD102" s="62" t="n"/>
      <c r="AE102" s="62" t="n"/>
      <c r="AF102" s="62" t="n"/>
      <c r="AG102" s="62" t="n"/>
      <c r="AH102" s="62" t="n"/>
      <c r="AI102" s="62" t="n"/>
      <c r="AJ102" s="162" t="n"/>
    </row>
    <row r="103">
      <c r="A103" s="353" t="n"/>
      <c r="B103" s="625" t="n">
        <v>8</v>
      </c>
      <c r="C103" s="601" t="n">
        <v>31</v>
      </c>
      <c r="D103" s="622" t="inlineStr">
        <is>
          <t>Soura Sarkin Galma 1</t>
        </is>
      </c>
      <c r="E103" s="357" t="inlineStr">
        <is>
          <t>Tibiri</t>
        </is>
      </c>
      <c r="F103" s="357" t="inlineStr">
        <is>
          <t>Intervention</t>
        </is>
      </c>
      <c r="G103" s="546" t="n">
        <v>2021</v>
      </c>
      <c r="H103" s="546" t="n">
        <v>2022</v>
      </c>
      <c r="I103" s="626" t="inlineStr">
        <is>
          <t>1  (1st year as intervention; previously a control school 4)</t>
        </is>
      </c>
      <c r="J103" s="359" t="n">
        <v>3</v>
      </c>
      <c r="K103" s="357" t="n">
        <v>42</v>
      </c>
      <c r="L103" s="360" t="n">
        <v>1</v>
      </c>
      <c r="M103" s="537" t="n"/>
      <c r="N103" s="561">
        <f>1/K103</f>
        <v/>
      </c>
      <c r="O103" s="561" t="n">
        <v>0.88</v>
      </c>
      <c r="P103" s="561" t="n">
        <v>1</v>
      </c>
      <c r="Q103" s="255" t="n"/>
      <c r="R103" s="255" t="n"/>
      <c r="S103" s="255" t="n"/>
      <c r="T103" s="255" t="n"/>
      <c r="U103" s="255" t="n">
        <v>5.76</v>
      </c>
      <c r="V103" s="255" t="n">
        <v>3.96</v>
      </c>
      <c r="W103" s="255" t="n">
        <v>4.23</v>
      </c>
      <c r="X103" s="72" t="n">
        <v>0</v>
      </c>
      <c r="Y103" s="72" t="n"/>
      <c r="Z103" s="72" t="n"/>
      <c r="AA103" s="72" t="n"/>
      <c r="AB103" s="72" t="n"/>
      <c r="AC103" s="72" t="n"/>
      <c r="AD103" s="72" t="n"/>
      <c r="AE103" s="72" t="n"/>
      <c r="AF103" s="72" t="n"/>
      <c r="AG103" s="72" t="n"/>
      <c r="AH103" s="72" t="n"/>
      <c r="AI103" s="72" t="n"/>
      <c r="AJ103" s="163" t="n"/>
    </row>
    <row r="104">
      <c r="A104" s="659" t="n"/>
      <c r="B104" s="698" t="n"/>
      <c r="C104" s="602" t="n">
        <v>10</v>
      </c>
      <c r="D104" s="623" t="inlineStr">
        <is>
          <t xml:space="preserve">Imbelbelou 3 </t>
        </is>
      </c>
      <c r="E104" s="357" t="inlineStr">
        <is>
          <t>Tibiri</t>
        </is>
      </c>
      <c r="F104" s="364" t="inlineStr">
        <is>
          <t>Control</t>
        </is>
      </c>
      <c r="G104" s="77" t="n">
        <v>2021</v>
      </c>
      <c r="H104" s="549" t="n">
        <v>2022</v>
      </c>
      <c r="I104" s="81" t="n">
        <v>4</v>
      </c>
      <c r="J104" s="78" t="inlineStr">
        <is>
          <t>NA</t>
        </is>
      </c>
      <c r="K104" s="364" t="n">
        <v>48</v>
      </c>
      <c r="L104" s="592" t="inlineStr">
        <is>
          <t>NA</t>
        </is>
      </c>
      <c r="M104" s="59" t="n"/>
      <c r="N104" s="538">
        <f>1/K104</f>
        <v/>
      </c>
      <c r="O104" s="538" t="n">
        <v>0.73</v>
      </c>
      <c r="P104" s="538" t="n">
        <v>0.97</v>
      </c>
      <c r="Q104" s="243" t="n"/>
      <c r="R104" s="243" t="n"/>
      <c r="S104" s="243" t="n"/>
      <c r="T104" s="243" t="n"/>
      <c r="U104" s="243" t="n">
        <v>1.66</v>
      </c>
      <c r="V104" s="243" t="n">
        <v>0.04</v>
      </c>
      <c r="W104" s="243" t="n">
        <v>0.85</v>
      </c>
      <c r="X104" s="81" t="n">
        <v>0</v>
      </c>
      <c r="Y104" s="81" t="n"/>
      <c r="Z104" s="81" t="n"/>
      <c r="AA104" s="81" t="n"/>
      <c r="AB104" s="81" t="n"/>
      <c r="AC104" s="81" t="n"/>
      <c r="AD104" s="81" t="n"/>
      <c r="AE104" s="81" t="n"/>
      <c r="AF104" s="81" t="n"/>
      <c r="AG104" s="81" t="n"/>
      <c r="AH104" s="81" t="n"/>
      <c r="AI104" s="81" t="n"/>
      <c r="AJ104" s="244" t="n"/>
    </row>
    <row r="105">
      <c r="A105" s="597" t="n"/>
      <c r="B105" s="714" t="n">
        <v>9</v>
      </c>
      <c r="C105" s="593" t="n">
        <v>15</v>
      </c>
      <c r="D105" s="603" t="inlineStr">
        <is>
          <t>Waraou</t>
        </is>
      </c>
      <c r="E105" s="343" t="inlineStr">
        <is>
          <t>Tibiri</t>
        </is>
      </c>
      <c r="F105" s="343" t="inlineStr">
        <is>
          <t>Intervention</t>
        </is>
      </c>
      <c r="G105" s="641" t="n">
        <v>2021</v>
      </c>
      <c r="H105" s="641" t="n">
        <v>2022</v>
      </c>
      <c r="I105" s="91" t="n">
        <v>5</v>
      </c>
      <c r="J105" s="456" t="n">
        <v>3</v>
      </c>
      <c r="K105" s="343" t="n">
        <v>51</v>
      </c>
      <c r="L105" s="346" t="n">
        <v>1</v>
      </c>
      <c r="M105" s="537" t="n"/>
      <c r="N105" s="559" t="n">
        <v>0</v>
      </c>
      <c r="O105" s="559" t="n">
        <v>0.76</v>
      </c>
      <c r="P105" s="559" t="n">
        <v>1</v>
      </c>
      <c r="Q105" s="246" t="n"/>
      <c r="R105" s="246" t="n"/>
      <c r="S105" s="246" t="n"/>
      <c r="T105" s="246" t="n"/>
      <c r="U105" s="246" t="n">
        <v>10.55</v>
      </c>
      <c r="V105" s="246" t="n">
        <v>9.25</v>
      </c>
      <c r="W105" s="246" t="n">
        <v>9.59</v>
      </c>
      <c r="X105" s="91" t="n">
        <v>0</v>
      </c>
      <c r="Y105" s="91" t="n"/>
      <c r="Z105" s="91" t="n"/>
      <c r="AA105" s="91" t="n"/>
      <c r="AB105" s="91" t="n"/>
      <c r="AC105" s="91" t="n"/>
      <c r="AD105" s="91" t="n"/>
      <c r="AE105" s="91" t="n"/>
      <c r="AF105" s="91" t="n"/>
      <c r="AG105" s="91" t="n"/>
      <c r="AH105" s="91" t="n"/>
      <c r="AI105" s="91" t="n"/>
      <c r="AJ105" s="160" t="n"/>
    </row>
    <row r="106">
      <c r="A106" s="627" t="inlineStr">
        <is>
          <t>Tibiri Magagia Gobir</t>
        </is>
      </c>
      <c r="B106" s="698" t="n"/>
      <c r="C106" s="628" t="n">
        <v>73</v>
      </c>
      <c r="D106" s="629" t="inlineStr">
        <is>
          <t>Sarkin Aski</t>
        </is>
      </c>
      <c r="E106" s="343" t="inlineStr">
        <is>
          <t>Tibiri</t>
        </is>
      </c>
      <c r="F106" s="350" t="inlineStr">
        <is>
          <t>Control</t>
        </is>
      </c>
      <c r="G106" s="55" t="n">
        <v>2021</v>
      </c>
      <c r="H106" s="649" t="n">
        <v>2022</v>
      </c>
      <c r="I106" s="62" t="n">
        <v>1</v>
      </c>
      <c r="J106" s="56" t="inlineStr">
        <is>
          <t>NA</t>
        </is>
      </c>
      <c r="K106" s="350" t="n">
        <v>12</v>
      </c>
      <c r="L106" s="589" t="inlineStr">
        <is>
          <t>NA</t>
        </is>
      </c>
      <c r="M106" s="59" t="n"/>
      <c r="N106" s="562">
        <f>2/K106</f>
        <v/>
      </c>
      <c r="O106" s="562" t="n">
        <v>0.5</v>
      </c>
      <c r="P106" s="562" t="n">
        <v>0.83</v>
      </c>
      <c r="Q106" s="242" t="n"/>
      <c r="R106" s="242" t="n"/>
      <c r="S106" s="242" t="n"/>
      <c r="T106" s="242" t="n"/>
      <c r="U106" s="242" t="n">
        <v>1.01</v>
      </c>
      <c r="V106" s="242" t="n">
        <v>3.57</v>
      </c>
      <c r="W106" s="242" t="n">
        <v>0.09</v>
      </c>
      <c r="X106" s="62" t="n">
        <v>0</v>
      </c>
      <c r="Y106" s="62" t="n"/>
      <c r="Z106" s="62" t="n"/>
      <c r="AA106" s="62" t="n"/>
      <c r="AB106" s="62" t="n"/>
      <c r="AC106" s="62" t="n"/>
      <c r="AD106" s="62" t="n"/>
      <c r="AE106" s="62" t="n"/>
      <c r="AF106" s="62" t="n"/>
      <c r="AG106" s="62" t="n"/>
      <c r="AH106" s="62" t="n"/>
      <c r="AI106" s="62" t="n"/>
      <c r="AJ106" s="162" t="n"/>
    </row>
    <row r="107" ht="19.5" customHeight="1" s="695">
      <c r="A107" s="604" t="n"/>
      <c r="B107" s="734" t="n">
        <v>10</v>
      </c>
      <c r="C107" s="630" t="n">
        <v>16</v>
      </c>
      <c r="D107" s="631" t="inlineStr">
        <is>
          <t>Soura Sarkin Galma  2</t>
        </is>
      </c>
      <c r="E107" s="632" t="inlineStr">
        <is>
          <t>Tibiri</t>
        </is>
      </c>
      <c r="F107" s="609" t="inlineStr">
        <is>
          <t>Intervention</t>
        </is>
      </c>
      <c r="G107" s="633" t="n">
        <v>2021</v>
      </c>
      <c r="H107" s="633" t="n">
        <v>2022</v>
      </c>
      <c r="I107" s="634" t="inlineStr">
        <is>
          <t>1 (previously a control school for 2 years)</t>
        </is>
      </c>
      <c r="J107" s="460" t="n">
        <v>2</v>
      </c>
      <c r="K107" s="609" t="n">
        <v>41</v>
      </c>
      <c r="L107" s="360" t="n">
        <v>1</v>
      </c>
      <c r="M107" s="534" t="n"/>
      <c r="N107" s="299" t="n">
        <v>0</v>
      </c>
      <c r="O107" s="299" t="n">
        <v>0.85</v>
      </c>
      <c r="P107" s="299" t="n">
        <v>0.97</v>
      </c>
      <c r="Q107" s="266" t="n"/>
      <c r="R107" s="266" t="n"/>
      <c r="S107" s="266" t="n"/>
      <c r="T107" s="266" t="n"/>
      <c r="U107" s="266" t="n">
        <v>1.8</v>
      </c>
      <c r="V107" s="266" t="n">
        <v>1.46</v>
      </c>
      <c r="W107" s="266" t="n">
        <v>0.9</v>
      </c>
      <c r="X107" s="300" t="n">
        <v>0</v>
      </c>
      <c r="Y107" s="300" t="n"/>
      <c r="Z107" s="300" t="n"/>
      <c r="AA107" s="300" t="n"/>
      <c r="AB107" s="300" t="n"/>
      <c r="AC107" s="300" t="n"/>
      <c r="AD107" s="300" t="n"/>
      <c r="AE107" s="300" t="n"/>
      <c r="AF107" s="300" t="n"/>
      <c r="AG107" s="300" t="n"/>
      <c r="AH107" s="300" t="n"/>
      <c r="AI107" s="300" t="n"/>
      <c r="AJ107" s="268" t="n"/>
    </row>
    <row r="108">
      <c r="A108" s="659" t="n"/>
      <c r="B108" s="698" t="n"/>
      <c r="C108" s="602" t="n">
        <v>22</v>
      </c>
      <c r="D108" s="623" t="inlineStr">
        <is>
          <t>Guigamaoua Sofoua</t>
        </is>
      </c>
      <c r="E108" s="632" t="inlineStr">
        <is>
          <t>Tibiri</t>
        </is>
      </c>
      <c r="F108" s="364" t="inlineStr">
        <is>
          <t>Control</t>
        </is>
      </c>
      <c r="G108" s="77" t="n">
        <v>2021</v>
      </c>
      <c r="H108" s="549" t="n">
        <v>2022</v>
      </c>
      <c r="I108" s="81" t="n">
        <v>3</v>
      </c>
      <c r="J108" s="78" t="inlineStr">
        <is>
          <t>NA</t>
        </is>
      </c>
      <c r="K108" s="364" t="n">
        <v>19</v>
      </c>
      <c r="L108" s="592" t="inlineStr">
        <is>
          <t>NA</t>
        </is>
      </c>
      <c r="M108" s="59" t="n"/>
      <c r="N108" s="538" t="n">
        <v>0</v>
      </c>
      <c r="O108" s="538" t="n">
        <v>0.42</v>
      </c>
      <c r="P108" s="538" t="n">
        <v>0.5</v>
      </c>
      <c r="Q108" s="243" t="n"/>
      <c r="R108" s="243" t="n"/>
      <c r="S108" s="243" t="n"/>
      <c r="T108" s="243" t="n"/>
      <c r="U108" s="243" t="n">
        <v>1.26</v>
      </c>
      <c r="V108" s="243" t="n">
        <v>1.94</v>
      </c>
      <c r="W108" s="243" t="n">
        <v>1.11</v>
      </c>
      <c r="X108" s="81" t="n">
        <v>0</v>
      </c>
      <c r="Y108" s="81" t="n"/>
      <c r="Z108" s="81" t="n"/>
      <c r="AA108" s="81" t="n"/>
      <c r="AB108" s="81" t="n"/>
      <c r="AC108" s="81" t="n"/>
      <c r="AD108" s="81" t="n"/>
      <c r="AE108" s="81" t="n"/>
      <c r="AF108" s="81" t="n"/>
      <c r="AG108" s="81" t="n"/>
      <c r="AH108" s="81" t="n"/>
      <c r="AI108" s="81" t="n"/>
      <c r="AJ108" s="244" t="n"/>
    </row>
    <row r="109">
      <c r="A109" s="597" t="n"/>
      <c r="B109" s="714" t="n">
        <v>11</v>
      </c>
      <c r="C109" s="593" t="n">
        <v>25</v>
      </c>
      <c r="D109" s="603" t="inlineStr">
        <is>
          <t>Soura Magagi Rogo</t>
        </is>
      </c>
      <c r="E109" s="343" t="inlineStr">
        <is>
          <t>Tibiri</t>
        </is>
      </c>
      <c r="F109" s="343" t="inlineStr">
        <is>
          <t>Intervention</t>
        </is>
      </c>
      <c r="G109" s="641" t="n">
        <v>2021</v>
      </c>
      <c r="H109" s="641" t="n">
        <v>2022</v>
      </c>
      <c r="I109" s="91" t="n">
        <v>2</v>
      </c>
      <c r="J109" s="343" t="n">
        <v>2</v>
      </c>
      <c r="K109" s="343" t="n">
        <v>18</v>
      </c>
      <c r="L109" s="346" t="n">
        <v>1</v>
      </c>
      <c r="M109" s="537" t="n"/>
      <c r="N109" s="559">
        <f>1/K109</f>
        <v/>
      </c>
      <c r="O109" s="559" t="n">
        <v>0.78</v>
      </c>
      <c r="P109" s="559" t="n">
        <v>0.93</v>
      </c>
      <c r="Q109" s="246" t="n"/>
      <c r="R109" s="246" t="n"/>
      <c r="S109" s="246" t="n"/>
      <c r="T109" s="246" t="n"/>
      <c r="U109" s="246" t="n">
        <v>3.5</v>
      </c>
      <c r="V109" s="246" t="n">
        <v>2.99</v>
      </c>
      <c r="W109" s="246" t="n">
        <v>3.24</v>
      </c>
      <c r="X109" s="91" t="n">
        <v>0</v>
      </c>
      <c r="Y109" s="91" t="n"/>
      <c r="Z109" s="91" t="n"/>
      <c r="AA109" s="91" t="n"/>
      <c r="AB109" s="91" t="n"/>
      <c r="AC109" s="91" t="n"/>
      <c r="AD109" s="91" t="n"/>
      <c r="AE109" s="91" t="n"/>
      <c r="AF109" s="91" t="n"/>
      <c r="AG109" s="91" t="n"/>
      <c r="AH109" s="91" t="n"/>
      <c r="AI109" s="91" t="n"/>
      <c r="AJ109" s="160" t="n"/>
    </row>
    <row r="110">
      <c r="A110" s="618" t="n"/>
      <c r="B110" s="698" t="n"/>
      <c r="C110" s="595" t="n">
        <v>26</v>
      </c>
      <c r="D110" s="600" t="inlineStr">
        <is>
          <t>Maisso</t>
        </is>
      </c>
      <c r="E110" s="343" t="inlineStr">
        <is>
          <t>Tibiri</t>
        </is>
      </c>
      <c r="F110" s="350" t="inlineStr">
        <is>
          <t>Control</t>
        </is>
      </c>
      <c r="G110" s="55" t="n">
        <v>2021</v>
      </c>
      <c r="H110" s="649" t="n">
        <v>2022</v>
      </c>
      <c r="I110" s="62" t="n">
        <v>2</v>
      </c>
      <c r="J110" s="56" t="inlineStr">
        <is>
          <t>NA</t>
        </is>
      </c>
      <c r="K110" s="350" t="n">
        <v>20</v>
      </c>
      <c r="L110" s="589" t="inlineStr">
        <is>
          <t>NA</t>
        </is>
      </c>
      <c r="M110" s="59" t="n"/>
      <c r="N110" s="562" t="n">
        <v>0</v>
      </c>
      <c r="O110" s="562" t="n">
        <v>0.15</v>
      </c>
      <c r="P110" s="562" t="n">
        <v>0.66</v>
      </c>
      <c r="Q110" s="242" t="n"/>
      <c r="R110" s="242" t="n"/>
      <c r="S110" s="242" t="n"/>
      <c r="T110" s="242" t="n"/>
      <c r="U110" s="242" t="n">
        <v>0.93</v>
      </c>
      <c r="V110" s="242" t="n">
        <v>0.25</v>
      </c>
      <c r="W110" s="242" t="n">
        <v>-1.01</v>
      </c>
      <c r="X110" s="62" t="n">
        <v>0</v>
      </c>
      <c r="Y110" s="62" t="n"/>
      <c r="Z110" s="62" t="n"/>
      <c r="AA110" s="62" t="n"/>
      <c r="AB110" s="62" t="n"/>
      <c r="AC110" s="62" t="n"/>
      <c r="AD110" s="62" t="n"/>
      <c r="AE110" s="62" t="n"/>
      <c r="AF110" s="62" t="n"/>
      <c r="AG110" s="62" t="n"/>
      <c r="AH110" s="62" t="n"/>
      <c r="AI110" s="62" t="n"/>
      <c r="AJ110" s="162" t="n"/>
    </row>
    <row r="111">
      <c r="A111" s="353" t="n"/>
      <c r="B111" s="625" t="n">
        <v>12</v>
      </c>
      <c r="C111" s="601" t="n">
        <v>27</v>
      </c>
      <c r="D111" s="622" t="inlineStr">
        <is>
          <t>Kalgon Waraou</t>
        </is>
      </c>
      <c r="E111" s="357" t="inlineStr">
        <is>
          <t>Tibiri</t>
        </is>
      </c>
      <c r="F111" s="357" t="inlineStr">
        <is>
          <t>Intervention</t>
        </is>
      </c>
      <c r="G111" s="546" t="n">
        <v>2021</v>
      </c>
      <c r="H111" s="546" t="n">
        <v>2022</v>
      </c>
      <c r="I111" s="72" t="n">
        <v>3</v>
      </c>
      <c r="J111" s="635" t="n">
        <v>1</v>
      </c>
      <c r="K111" s="357" t="n">
        <v>16</v>
      </c>
      <c r="L111" s="360" t="n">
        <v>1</v>
      </c>
      <c r="M111" s="537" t="n"/>
      <c r="N111" s="561" t="n">
        <v>0</v>
      </c>
      <c r="O111" s="561" t="n">
        <v>0.88</v>
      </c>
      <c r="P111" s="561" t="n">
        <v>1</v>
      </c>
      <c r="Q111" s="255" t="n"/>
      <c r="R111" s="255" t="n"/>
      <c r="S111" s="255" t="n"/>
      <c r="T111" s="255" t="n"/>
      <c r="U111" s="255" t="n">
        <v>5.56</v>
      </c>
      <c r="V111" s="255" t="n">
        <v>6.09</v>
      </c>
      <c r="W111" s="255" t="n">
        <v>5.83</v>
      </c>
      <c r="X111" s="72" t="n">
        <v>0</v>
      </c>
      <c r="Y111" s="72" t="n"/>
      <c r="Z111" s="72" t="n"/>
      <c r="AA111" s="72" t="n"/>
      <c r="AB111" s="72" t="n"/>
      <c r="AC111" s="72" t="n"/>
      <c r="AD111" s="72" t="n"/>
      <c r="AE111" s="72" t="n"/>
      <c r="AF111" s="72" t="n"/>
      <c r="AG111" s="72" t="n"/>
      <c r="AH111" s="72" t="n"/>
      <c r="AI111" s="72" t="n"/>
      <c r="AJ111" s="163" t="n"/>
    </row>
    <row r="112">
      <c r="A112" s="659" t="n"/>
      <c r="B112" s="698" t="n"/>
      <c r="C112" s="602" t="n">
        <v>74</v>
      </c>
      <c r="D112" s="623" t="inlineStr">
        <is>
          <t>Garin Daoure 2</t>
        </is>
      </c>
      <c r="E112" s="357" t="inlineStr">
        <is>
          <t>Tibiri</t>
        </is>
      </c>
      <c r="F112" s="364" t="inlineStr">
        <is>
          <t>Control</t>
        </is>
      </c>
      <c r="G112" s="77" t="n">
        <v>2021</v>
      </c>
      <c r="H112" s="549" t="n">
        <v>2022</v>
      </c>
      <c r="I112" s="81" t="n">
        <v>1</v>
      </c>
      <c r="J112" s="78" t="inlineStr">
        <is>
          <t>NA</t>
        </is>
      </c>
      <c r="K112" s="364" t="n">
        <v>11</v>
      </c>
      <c r="L112" s="592" t="inlineStr">
        <is>
          <t>NA</t>
        </is>
      </c>
      <c r="M112" s="59" t="n"/>
      <c r="N112" s="538" t="n">
        <v>0.09</v>
      </c>
      <c r="O112" s="538" t="n">
        <v>0.91</v>
      </c>
      <c r="P112" s="538" t="n">
        <v>0.9</v>
      </c>
      <c r="Q112" s="243" t="n"/>
      <c r="R112" s="243" t="n"/>
      <c r="S112" s="243" t="n"/>
      <c r="T112" s="243" t="n"/>
      <c r="U112" s="243" t="n">
        <v>-0.55</v>
      </c>
      <c r="V112" s="243" t="n">
        <v>0.91</v>
      </c>
      <c r="W112" s="243" t="n">
        <v>-0.44</v>
      </c>
      <c r="X112" s="81" t="n">
        <v>0</v>
      </c>
      <c r="Y112" s="81" t="n"/>
      <c r="Z112" s="81" t="n"/>
      <c r="AA112" s="81" t="n"/>
      <c r="AB112" s="81" t="n"/>
      <c r="AC112" s="81" t="n"/>
      <c r="AD112" s="81" t="n"/>
      <c r="AE112" s="81" t="n"/>
      <c r="AF112" s="81" t="n"/>
      <c r="AG112" s="81" t="n"/>
      <c r="AH112" s="81" t="n"/>
      <c r="AI112" s="81" t="n"/>
      <c r="AJ112" s="244" t="n"/>
    </row>
    <row r="113">
      <c r="A113" s="597" t="n"/>
      <c r="B113" s="714" t="n">
        <v>13</v>
      </c>
      <c r="C113" s="593" t="n">
        <v>8</v>
      </c>
      <c r="D113" s="603" t="inlineStr">
        <is>
          <t>Tibiri Dan Fillo 3</t>
        </is>
      </c>
      <c r="E113" s="343" t="inlineStr">
        <is>
          <t>Tibiri</t>
        </is>
      </c>
      <c r="F113" s="343" t="inlineStr">
        <is>
          <t>Intervention</t>
        </is>
      </c>
      <c r="G113" s="641" t="n">
        <v>2021</v>
      </c>
      <c r="H113" s="641" t="n">
        <v>2022</v>
      </c>
      <c r="I113" s="636" t="inlineStr">
        <is>
          <t>1 (previously a control school 3)</t>
        </is>
      </c>
      <c r="J113" s="456" t="n">
        <v>2</v>
      </c>
      <c r="K113" s="343" t="n">
        <v>50</v>
      </c>
      <c r="L113" s="346" t="n">
        <v>1</v>
      </c>
      <c r="M113" s="537" t="n"/>
      <c r="N113" s="559">
        <f>10/K113</f>
        <v/>
      </c>
      <c r="O113" s="559" t="n">
        <v>0.5600000000000001</v>
      </c>
      <c r="P113" s="559" t="n">
        <v>0.96</v>
      </c>
      <c r="Q113" s="246" t="n"/>
      <c r="R113" s="246" t="n"/>
      <c r="S113" s="246" t="n"/>
      <c r="T113" s="246" t="n"/>
      <c r="U113" s="246" t="n">
        <v>8.24</v>
      </c>
      <c r="V113" s="246" t="n">
        <v>8.56</v>
      </c>
      <c r="W113" s="246" t="n">
        <v>6.14</v>
      </c>
      <c r="X113" s="91" t="n">
        <v>0</v>
      </c>
      <c r="Y113" s="91" t="n"/>
      <c r="Z113" s="91" t="n"/>
      <c r="AA113" s="91" t="n"/>
      <c r="AB113" s="91" t="n"/>
      <c r="AC113" s="91" t="n"/>
      <c r="AD113" s="91" t="n"/>
      <c r="AE113" s="91" t="n"/>
      <c r="AF113" s="91" t="n"/>
      <c r="AG113" s="91" t="n"/>
      <c r="AH113" s="91" t="n"/>
      <c r="AI113" s="91" t="n"/>
      <c r="AJ113" s="160" t="n"/>
    </row>
    <row r="114">
      <c r="A114" s="600" t="inlineStr">
        <is>
          <t>Imbelbellou 3</t>
        </is>
      </c>
      <c r="B114" s="698" t="n"/>
      <c r="C114" s="595" t="n">
        <v>75</v>
      </c>
      <c r="D114" s="600" t="inlineStr">
        <is>
          <t>Maza Tsaye II</t>
        </is>
      </c>
      <c r="E114" s="343" t="inlineStr">
        <is>
          <t>Tibiri</t>
        </is>
      </c>
      <c r="F114" s="350" t="inlineStr">
        <is>
          <t>Control</t>
        </is>
      </c>
      <c r="G114" s="55" t="n">
        <v>2021</v>
      </c>
      <c r="H114" s="649" t="n">
        <v>2022</v>
      </c>
      <c r="I114" s="62" t="n">
        <v>1</v>
      </c>
      <c r="J114" s="56" t="inlineStr">
        <is>
          <t>NA</t>
        </is>
      </c>
      <c r="K114" s="350" t="n">
        <v>39</v>
      </c>
      <c r="L114" s="589" t="inlineStr">
        <is>
          <t>NA</t>
        </is>
      </c>
      <c r="M114" s="59" t="n"/>
      <c r="N114" s="562">
        <f>1/K114</f>
        <v/>
      </c>
      <c r="O114" s="562" t="n">
        <v>0.79</v>
      </c>
      <c r="P114" s="562" t="n">
        <v>0.8100000000000001</v>
      </c>
      <c r="Q114" s="242" t="n"/>
      <c r="R114" s="242" t="n"/>
      <c r="S114" s="242" t="n"/>
      <c r="T114" s="242" t="n"/>
      <c r="U114" s="242" t="n">
        <v>-0.3</v>
      </c>
      <c r="V114" s="242" t="n">
        <v>3.81</v>
      </c>
      <c r="W114" s="242" t="n">
        <v>0.58</v>
      </c>
      <c r="X114" s="62" t="n">
        <v>0</v>
      </c>
      <c r="Y114" s="62" t="n"/>
      <c r="Z114" s="62" t="n"/>
      <c r="AA114" s="62" t="n"/>
      <c r="AB114" s="62" t="n"/>
      <c r="AC114" s="62" t="n"/>
      <c r="AD114" s="62" t="n"/>
      <c r="AE114" s="62" t="n"/>
      <c r="AF114" s="62" t="n"/>
      <c r="AG114" s="62" t="n"/>
      <c r="AH114" s="62" t="n"/>
      <c r="AI114" s="62" t="n"/>
      <c r="AJ114" s="162" t="n"/>
    </row>
    <row r="115">
      <c r="A115" s="353" t="n"/>
      <c r="B115" s="625" t="n">
        <v>14</v>
      </c>
      <c r="C115" s="637" t="n">
        <v>44</v>
      </c>
      <c r="D115" s="546" t="inlineStr">
        <is>
          <t>Sabon Gari Kolta</t>
        </is>
      </c>
      <c r="E115" s="357" t="inlineStr">
        <is>
          <t>Djirataoua</t>
        </is>
      </c>
      <c r="F115" s="357" t="inlineStr">
        <is>
          <t>Intervention</t>
        </is>
      </c>
      <c r="G115" s="68" t="n">
        <v>2021</v>
      </c>
      <c r="H115" s="68" t="n">
        <v>2022</v>
      </c>
      <c r="I115" s="72" t="n">
        <v>2</v>
      </c>
      <c r="J115" s="68" t="n">
        <v>2</v>
      </c>
      <c r="K115" s="357" t="n">
        <v>29</v>
      </c>
      <c r="L115" s="360" t="n">
        <v>1</v>
      </c>
      <c r="M115" s="537" t="n"/>
      <c r="N115" s="561" t="n">
        <v>0</v>
      </c>
      <c r="O115" s="561" t="n">
        <v>0.76</v>
      </c>
      <c r="P115" s="561" t="n">
        <v>0.95</v>
      </c>
      <c r="Q115" s="255" t="n"/>
      <c r="R115" s="255" t="n"/>
      <c r="S115" s="255" t="n"/>
      <c r="T115" s="255" t="n"/>
      <c r="U115" s="255" t="n">
        <v>5.02</v>
      </c>
      <c r="V115" s="255" t="n">
        <v>5.27</v>
      </c>
      <c r="W115" s="255" t="n">
        <v>5.14</v>
      </c>
      <c r="X115" s="72" t="n">
        <v>0</v>
      </c>
      <c r="Y115" s="72" t="n"/>
      <c r="Z115" s="72" t="n"/>
      <c r="AA115" s="72" t="n"/>
      <c r="AB115" s="72" t="n"/>
      <c r="AC115" s="72" t="n"/>
      <c r="AD115" s="72" t="n"/>
      <c r="AE115" s="72" t="n"/>
      <c r="AF115" s="72" t="n"/>
      <c r="AG115" s="72" t="n"/>
      <c r="AH115" s="72" t="n"/>
      <c r="AI115" s="72" t="n"/>
      <c r="AJ115" s="163" t="n"/>
    </row>
    <row r="116">
      <c r="A116" s="659" t="n"/>
      <c r="B116" s="698" t="n"/>
      <c r="C116" s="612" t="n">
        <v>63</v>
      </c>
      <c r="D116" s="613" t="inlineStr">
        <is>
          <t>Dallia</t>
        </is>
      </c>
      <c r="E116" s="357" t="inlineStr">
        <is>
          <t>Djirataoua</t>
        </is>
      </c>
      <c r="F116" s="364" t="inlineStr">
        <is>
          <t>Control</t>
        </is>
      </c>
      <c r="G116" s="77" t="n">
        <v>2021</v>
      </c>
      <c r="H116" s="78" t="n">
        <v>2022</v>
      </c>
      <c r="I116" s="81" t="n">
        <v>2</v>
      </c>
      <c r="J116" s="78" t="inlineStr">
        <is>
          <t>NA</t>
        </is>
      </c>
      <c r="K116" s="364" t="n">
        <v>24</v>
      </c>
      <c r="L116" s="592" t="inlineStr">
        <is>
          <t>NA</t>
        </is>
      </c>
      <c r="M116" s="59" t="n"/>
      <c r="N116" s="538" t="n">
        <v>0</v>
      </c>
      <c r="O116" s="538" t="n">
        <v>0.46</v>
      </c>
      <c r="P116" s="538" t="n">
        <v>0.82</v>
      </c>
      <c r="Q116" s="243" t="n"/>
      <c r="R116" s="243" t="n"/>
      <c r="S116" s="243" t="n"/>
      <c r="T116" s="243" t="n"/>
      <c r="U116" s="243" t="n">
        <v>2.16</v>
      </c>
      <c r="V116" s="243" t="n">
        <v>2</v>
      </c>
      <c r="W116" s="243" t="n">
        <v>2.08</v>
      </c>
      <c r="X116" s="81" t="n">
        <v>0</v>
      </c>
      <c r="Y116" s="81" t="n"/>
      <c r="Z116" s="81" t="n"/>
      <c r="AA116" s="81" t="n"/>
      <c r="AB116" s="81" t="n"/>
      <c r="AC116" s="81" t="n"/>
      <c r="AD116" s="81" t="n"/>
      <c r="AE116" s="81" t="n"/>
      <c r="AF116" s="81" t="n"/>
      <c r="AG116" s="81" t="n"/>
      <c r="AH116" s="81" t="n"/>
      <c r="AI116" s="81" t="n"/>
      <c r="AJ116" s="244" t="n"/>
    </row>
    <row r="117">
      <c r="A117" s="638" t="n"/>
      <c r="B117" s="736" t="n">
        <v>15</v>
      </c>
      <c r="C117" s="640" t="n">
        <v>34</v>
      </c>
      <c r="D117" s="641" t="inlineStr">
        <is>
          <t>Koderaoua</t>
        </is>
      </c>
      <c r="E117" s="643" t="inlineStr">
        <is>
          <t>Djirataoua</t>
        </is>
      </c>
      <c r="F117" s="643" t="inlineStr">
        <is>
          <t>Intervention</t>
        </is>
      </c>
      <c r="G117" s="456" t="n">
        <v>2021</v>
      </c>
      <c r="H117" s="456" t="n">
        <v>2022</v>
      </c>
      <c r="I117" s="316" t="n">
        <v>2</v>
      </c>
      <c r="J117" s="456" t="n">
        <v>2</v>
      </c>
      <c r="K117" s="644" t="n">
        <v>47</v>
      </c>
      <c r="L117" s="645" t="n">
        <v>1</v>
      </c>
      <c r="M117" s="312" t="n"/>
      <c r="N117" s="313">
        <f>1/K117</f>
        <v/>
      </c>
      <c r="O117" s="313" t="n">
        <v>0.45</v>
      </c>
      <c r="P117" s="313" t="n">
        <v>1</v>
      </c>
      <c r="Q117" s="646" t="n"/>
      <c r="R117" s="646" t="n"/>
      <c r="S117" s="646" t="n"/>
      <c r="T117" s="646" t="n"/>
      <c r="U117" s="646" t="n">
        <v>5.56</v>
      </c>
      <c r="V117" s="646" t="n">
        <v>5.62</v>
      </c>
      <c r="W117" s="646" t="n">
        <v>4.28</v>
      </c>
      <c r="X117" s="316" t="n">
        <v>0</v>
      </c>
      <c r="Y117" s="316" t="n"/>
      <c r="Z117" s="316" t="n"/>
      <c r="AA117" s="316" t="n"/>
      <c r="AB117" s="316" t="n"/>
      <c r="AC117" s="316" t="n"/>
      <c r="AD117" s="316" t="n"/>
      <c r="AE117" s="316" t="n"/>
      <c r="AF117" s="316" t="n"/>
      <c r="AG117" s="316" t="n"/>
      <c r="AH117" s="316" t="n"/>
      <c r="AI117" s="316" t="n"/>
      <c r="AJ117" s="317" t="n"/>
    </row>
    <row r="118">
      <c r="A118" s="647" t="n"/>
      <c r="B118" s="698" t="n"/>
      <c r="C118" s="648" t="n">
        <v>64</v>
      </c>
      <c r="D118" s="649" t="inlineStr">
        <is>
          <t>Oumarou Lawali Gago</t>
        </is>
      </c>
      <c r="E118" s="643" t="inlineStr">
        <is>
          <t>Djirataoua</t>
        </is>
      </c>
      <c r="F118" s="650" t="inlineStr">
        <is>
          <t>Control</t>
        </is>
      </c>
      <c r="G118" s="651" t="n">
        <v>2021</v>
      </c>
      <c r="H118" s="652" t="n">
        <v>2022</v>
      </c>
      <c r="I118" s="331" t="n">
        <v>2</v>
      </c>
      <c r="J118" s="653" t="inlineStr">
        <is>
          <t>NA</t>
        </is>
      </c>
      <c r="K118" s="654" t="n">
        <v>36</v>
      </c>
      <c r="L118" s="652" t="inlineStr">
        <is>
          <t>NA</t>
        </is>
      </c>
      <c r="M118" s="327" t="n"/>
      <c r="N118" s="328" t="n">
        <v>0</v>
      </c>
      <c r="O118" s="328" t="n">
        <v>0.53</v>
      </c>
      <c r="P118" s="328" t="n">
        <v>1</v>
      </c>
      <c r="Q118" s="655" t="n"/>
      <c r="R118" s="655" t="n"/>
      <c r="S118" s="655" t="n"/>
      <c r="T118" s="655" t="n"/>
      <c r="U118" s="655" t="n">
        <v>3.98</v>
      </c>
      <c r="V118" s="655" t="n">
        <v>2.49</v>
      </c>
      <c r="W118" s="655" t="n">
        <v>2.13</v>
      </c>
      <c r="X118" s="331" t="n">
        <v>0</v>
      </c>
      <c r="Y118" s="331" t="n"/>
      <c r="Z118" s="331" t="n"/>
      <c r="AA118" s="331" t="n"/>
      <c r="AB118" s="331" t="n"/>
      <c r="AC118" s="331" t="n"/>
      <c r="AD118" s="331" t="n"/>
      <c r="AE118" s="331" t="n"/>
      <c r="AF118" s="331" t="n"/>
      <c r="AG118" s="331" t="n"/>
      <c r="AH118" s="331" t="n"/>
      <c r="AI118" s="331" t="n"/>
      <c r="AJ118" s="332" t="n"/>
    </row>
    <row r="119">
      <c r="A119" s="656" t="inlineStr">
        <is>
          <t>XXXXXX cohorte 6</t>
        </is>
      </c>
      <c r="B119" s="625" t="n">
        <v>16</v>
      </c>
      <c r="C119" s="637" t="n">
        <v>49</v>
      </c>
      <c r="D119" s="657" t="inlineStr">
        <is>
          <t>Takalmaoua 2</t>
        </is>
      </c>
      <c r="E119" s="357" t="inlineStr">
        <is>
          <t>Djirataoua</t>
        </is>
      </c>
      <c r="F119" s="357" t="inlineStr">
        <is>
          <t>Intervention</t>
        </is>
      </c>
      <c r="G119" s="68" t="n">
        <v>2021</v>
      </c>
      <c r="H119" s="68" t="n">
        <v>2022</v>
      </c>
      <c r="I119" s="72" t="inlineStr">
        <is>
          <t>3 (not 2)</t>
        </is>
      </c>
      <c r="J119" s="68" t="n">
        <v>1</v>
      </c>
      <c r="K119" s="357" t="n">
        <v>19</v>
      </c>
      <c r="L119" s="360" t="n">
        <v>1</v>
      </c>
      <c r="M119" s="537" t="n"/>
      <c r="N119" s="561" t="n">
        <v>0</v>
      </c>
      <c r="O119" s="561" t="n">
        <v>0.37</v>
      </c>
      <c r="P119" s="561" t="n">
        <v>1</v>
      </c>
      <c r="Q119" s="255" t="n"/>
      <c r="R119" s="255" t="n"/>
      <c r="S119" s="255" t="n"/>
      <c r="T119" s="255" t="n"/>
      <c r="U119" s="255" t="n">
        <v>2.71</v>
      </c>
      <c r="V119" s="255" t="n">
        <v>8.32</v>
      </c>
      <c r="W119" s="255" t="n">
        <v>3.19</v>
      </c>
      <c r="X119" s="72" t="n">
        <v>0</v>
      </c>
      <c r="Y119" s="72" t="n"/>
      <c r="Z119" s="72" t="n"/>
      <c r="AA119" s="72" t="n"/>
      <c r="AB119" s="72" t="n"/>
      <c r="AC119" s="72" t="n"/>
      <c r="AD119" s="72" t="n"/>
      <c r="AE119" s="72" t="n"/>
      <c r="AF119" s="72" t="n"/>
      <c r="AG119" s="72" t="n"/>
      <c r="AH119" s="72" t="n"/>
      <c r="AI119" s="72" t="n"/>
      <c r="AJ119" s="163" t="n"/>
    </row>
    <row r="120">
      <c r="A120" s="658" t="inlineStr">
        <is>
          <t>XXXXxx cohorte 6</t>
        </is>
      </c>
      <c r="B120" s="698" t="n"/>
      <c r="C120" s="612" t="n">
        <v>65</v>
      </c>
      <c r="D120" s="549" t="inlineStr">
        <is>
          <t>Tajae Djiratawa</t>
        </is>
      </c>
      <c r="E120" s="357" t="inlineStr">
        <is>
          <t>Djirataoua</t>
        </is>
      </c>
      <c r="F120" s="364" t="inlineStr">
        <is>
          <t>Control</t>
        </is>
      </c>
      <c r="G120" s="77" t="n">
        <v>2021</v>
      </c>
      <c r="H120" s="78" t="n">
        <v>2022</v>
      </c>
      <c r="I120" s="81" t="n">
        <v>2</v>
      </c>
      <c r="J120" s="78" t="inlineStr">
        <is>
          <t>NA</t>
        </is>
      </c>
      <c r="K120" s="364" t="n">
        <v>26</v>
      </c>
      <c r="L120" s="592" t="inlineStr">
        <is>
          <t>NA</t>
        </is>
      </c>
      <c r="M120" s="59" t="n"/>
      <c r="N120" s="538" t="n">
        <v>0</v>
      </c>
      <c r="O120" s="538" t="n">
        <v>0.85</v>
      </c>
      <c r="P120" s="538" t="n">
        <v>0.73</v>
      </c>
      <c r="Q120" s="243" t="n"/>
      <c r="R120" s="243" t="n"/>
      <c r="S120" s="243" t="n"/>
      <c r="T120" s="243" t="n"/>
      <c r="U120" s="243" t="n">
        <v>2</v>
      </c>
      <c r="V120" s="243" t="n">
        <v>6.57</v>
      </c>
      <c r="W120" s="243" t="n">
        <v>3.78</v>
      </c>
      <c r="X120" s="81" t="n">
        <v>0</v>
      </c>
      <c r="Y120" s="81" t="n"/>
      <c r="Z120" s="81" t="n"/>
      <c r="AA120" s="81" t="n"/>
      <c r="AB120" s="81" t="n"/>
      <c r="AC120" s="81" t="n"/>
      <c r="AD120" s="81" t="n"/>
      <c r="AE120" s="81" t="n"/>
      <c r="AF120" s="81" t="n"/>
      <c r="AG120" s="81" t="n"/>
      <c r="AH120" s="81" t="n"/>
      <c r="AI120" s="81" t="n"/>
      <c r="AJ120" s="244" t="n"/>
    </row>
    <row r="121">
      <c r="A121" s="597" t="n"/>
      <c r="B121" s="714" t="n">
        <v>17</v>
      </c>
      <c r="C121" s="598" t="n">
        <v>38</v>
      </c>
      <c r="D121" s="599" t="inlineStr">
        <is>
          <t>Danja 2</t>
        </is>
      </c>
      <c r="E121" s="343" t="inlineStr">
        <is>
          <t>Djirataoua</t>
        </is>
      </c>
      <c r="F121" s="343" t="inlineStr">
        <is>
          <t>Intervention</t>
        </is>
      </c>
      <c r="G121" s="87" t="n">
        <v>2021</v>
      </c>
      <c r="H121" s="87" t="n">
        <v>2022</v>
      </c>
      <c r="I121" s="91" t="n">
        <v>2</v>
      </c>
      <c r="J121" s="87" t="n">
        <v>2</v>
      </c>
      <c r="K121" s="343" t="n">
        <v>31</v>
      </c>
      <c r="L121" s="346" t="n">
        <v>1</v>
      </c>
      <c r="M121" s="537" t="n"/>
      <c r="N121" s="559">
        <f>1/K121</f>
        <v/>
      </c>
      <c r="O121" s="559" t="n">
        <v>0.26</v>
      </c>
      <c r="P121" s="559" t="n">
        <v>1</v>
      </c>
      <c r="Q121" s="246" t="n"/>
      <c r="R121" s="246" t="n"/>
      <c r="S121" s="246" t="n"/>
      <c r="T121" s="246" t="n"/>
      <c r="U121" s="246" t="n">
        <v>4.22</v>
      </c>
      <c r="V121" s="246" t="n">
        <v>6.48</v>
      </c>
      <c r="W121" s="246" t="n">
        <v>3.48</v>
      </c>
      <c r="X121" s="91" t="n">
        <v>0</v>
      </c>
      <c r="Y121" s="91" t="n"/>
      <c r="Z121" s="91" t="n"/>
      <c r="AA121" s="91" t="n"/>
      <c r="AB121" s="91" t="n"/>
      <c r="AC121" s="91" t="n"/>
      <c r="AD121" s="91" t="n"/>
      <c r="AE121" s="91" t="n"/>
      <c r="AF121" s="91" t="n"/>
      <c r="AG121" s="91" t="n"/>
      <c r="AH121" s="91" t="n"/>
      <c r="AI121" s="91" t="n"/>
      <c r="AJ121" s="160" t="n"/>
    </row>
    <row r="122">
      <c r="A122" s="618" t="n"/>
      <c r="B122" s="698" t="n"/>
      <c r="C122" s="595" t="n">
        <v>76</v>
      </c>
      <c r="D122" s="600" t="inlineStr">
        <is>
          <t>Basaraoua</t>
        </is>
      </c>
      <c r="E122" s="343" t="inlineStr">
        <is>
          <t>Djirataoua</t>
        </is>
      </c>
      <c r="F122" s="350" t="inlineStr">
        <is>
          <t>Control</t>
        </is>
      </c>
      <c r="G122" s="55" t="n">
        <v>2021</v>
      </c>
      <c r="H122" s="56" t="n">
        <v>2022</v>
      </c>
      <c r="I122" s="62" t="n">
        <v>1</v>
      </c>
      <c r="J122" s="56" t="inlineStr">
        <is>
          <t>NA</t>
        </is>
      </c>
      <c r="K122" s="350" t="n">
        <v>51</v>
      </c>
      <c r="L122" s="589" t="inlineStr">
        <is>
          <t>NA</t>
        </is>
      </c>
      <c r="M122" s="59" t="n"/>
      <c r="N122" s="562">
        <f>4/K122</f>
        <v/>
      </c>
      <c r="O122" s="562" t="n">
        <v>0.51</v>
      </c>
      <c r="P122" s="562" t="n">
        <v>0.85</v>
      </c>
      <c r="Q122" s="242" t="n"/>
      <c r="R122" s="242" t="n"/>
      <c r="S122" s="242" t="n"/>
      <c r="T122" s="242" t="n"/>
      <c r="U122" s="242" t="n">
        <v>4.15</v>
      </c>
      <c r="V122" s="242" t="n">
        <v>7.03</v>
      </c>
      <c r="W122" s="242" t="n">
        <v>3.46</v>
      </c>
      <c r="X122" s="62" t="n">
        <v>0</v>
      </c>
      <c r="Y122" s="62" t="n"/>
      <c r="Z122" s="62" t="n"/>
      <c r="AA122" s="62" t="n"/>
      <c r="AB122" s="62" t="n"/>
      <c r="AC122" s="62" t="n"/>
      <c r="AD122" s="62" t="n"/>
      <c r="AE122" s="62" t="n"/>
      <c r="AF122" s="62" t="n"/>
      <c r="AG122" s="62" t="n"/>
      <c r="AH122" s="62" t="n"/>
      <c r="AI122" s="62" t="n"/>
      <c r="AJ122" s="162" t="n"/>
    </row>
    <row r="123">
      <c r="A123" s="353" t="n"/>
      <c r="B123" s="625" t="n">
        <v>18</v>
      </c>
      <c r="C123" s="637" t="n">
        <v>36</v>
      </c>
      <c r="D123" s="657" t="inlineStr">
        <is>
          <t>Takalmaoua 1</t>
        </is>
      </c>
      <c r="E123" s="357" t="inlineStr">
        <is>
          <t>Djirataoua</t>
        </is>
      </c>
      <c r="F123" s="357" t="inlineStr">
        <is>
          <t>Intervention</t>
        </is>
      </c>
      <c r="G123" s="68" t="n">
        <v>2021</v>
      </c>
      <c r="H123" s="68" t="n">
        <v>2022</v>
      </c>
      <c r="I123" s="72" t="inlineStr">
        <is>
          <t>3 (not 1)</t>
        </is>
      </c>
      <c r="J123" s="68" t="n">
        <v>2</v>
      </c>
      <c r="K123" s="357" t="n">
        <v>25</v>
      </c>
      <c r="L123" s="360" t="n">
        <v>1</v>
      </c>
      <c r="M123" s="537" t="n"/>
      <c r="N123" s="561" t="n">
        <v>0</v>
      </c>
      <c r="O123" s="561" t="n">
        <v>0.36</v>
      </c>
      <c r="P123" s="561" t="n">
        <v>1</v>
      </c>
      <c r="Q123" s="255" t="n"/>
      <c r="R123" s="255" t="n"/>
      <c r="S123" s="255" t="n"/>
      <c r="T123" s="255" t="n"/>
      <c r="U123" s="255" t="n">
        <v>0.92</v>
      </c>
      <c r="V123" s="255" t="n">
        <v>4.28</v>
      </c>
      <c r="W123" s="255" t="n">
        <v>0.72</v>
      </c>
      <c r="X123" s="72" t="n">
        <v>0</v>
      </c>
      <c r="Y123" s="72" t="n"/>
      <c r="Z123" s="72" t="n"/>
      <c r="AA123" s="72" t="n"/>
      <c r="AB123" s="72" t="n"/>
      <c r="AC123" s="72" t="n"/>
      <c r="AD123" s="72" t="n"/>
      <c r="AE123" s="72" t="n"/>
      <c r="AF123" s="72" t="n"/>
      <c r="AG123" s="72" t="n"/>
      <c r="AH123" s="72" t="n"/>
      <c r="AI123" s="72" t="n"/>
      <c r="AJ123" s="163" t="n"/>
    </row>
    <row r="124">
      <c r="A124" s="659" t="n"/>
      <c r="B124" s="698" t="n"/>
      <c r="C124" s="612" t="n">
        <v>66</v>
      </c>
      <c r="D124" s="549" t="inlineStr">
        <is>
          <t>Kontagora Soufoua</t>
        </is>
      </c>
      <c r="E124" s="357" t="inlineStr">
        <is>
          <t>Djirataoua</t>
        </is>
      </c>
      <c r="F124" s="364" t="inlineStr">
        <is>
          <t>Control</t>
        </is>
      </c>
      <c r="G124" s="77" t="n">
        <v>2021</v>
      </c>
      <c r="H124" s="78" t="n">
        <v>2022</v>
      </c>
      <c r="I124" s="81" t="n">
        <v>2</v>
      </c>
      <c r="J124" s="78" t="inlineStr">
        <is>
          <t>NA</t>
        </is>
      </c>
      <c r="K124" s="364" t="n">
        <v>32</v>
      </c>
      <c r="L124" s="592" t="inlineStr">
        <is>
          <t>NA</t>
        </is>
      </c>
      <c r="M124" s="59" t="n"/>
      <c r="N124" s="538">
        <f>2/K124</f>
        <v/>
      </c>
      <c r="O124" s="538" t="n">
        <v>0.44</v>
      </c>
      <c r="P124" s="538" t="n">
        <v>0.71</v>
      </c>
      <c r="Q124" s="243" t="n"/>
      <c r="R124" s="243" t="n"/>
      <c r="S124" s="243" t="n"/>
      <c r="T124" s="243" t="n"/>
      <c r="U124" s="243" t="n">
        <v>0.8100000000000001</v>
      </c>
      <c r="V124" s="243" t="n">
        <v>5.01</v>
      </c>
      <c r="W124" s="243" t="n">
        <v>2.07</v>
      </c>
      <c r="X124" s="81" t="n">
        <v>0</v>
      </c>
      <c r="Y124" s="81" t="n"/>
      <c r="Z124" s="81" t="n"/>
      <c r="AA124" s="81" t="n"/>
      <c r="AB124" s="81" t="n"/>
      <c r="AC124" s="81" t="n"/>
      <c r="AD124" s="81" t="n"/>
      <c r="AE124" s="81" t="n"/>
      <c r="AF124" s="81" t="n"/>
      <c r="AG124" s="81" t="n"/>
      <c r="AH124" s="81" t="n"/>
      <c r="AI124" s="81" t="n"/>
      <c r="AJ124" s="244" t="n"/>
    </row>
    <row r="125">
      <c r="A125" s="597" t="n"/>
      <c r="B125" s="714" t="n">
        <v>19</v>
      </c>
      <c r="C125" s="593" t="n">
        <v>40</v>
      </c>
      <c r="D125" s="603" t="inlineStr">
        <is>
          <t>El Kokia</t>
        </is>
      </c>
      <c r="E125" s="357" t="inlineStr">
        <is>
          <t>Djirataoua</t>
        </is>
      </c>
      <c r="F125" s="343" t="inlineStr">
        <is>
          <t>Intervention</t>
        </is>
      </c>
      <c r="G125" s="641" t="n">
        <v>2021</v>
      </c>
      <c r="H125" s="641" t="n">
        <v>2022</v>
      </c>
      <c r="I125" s="91" t="n">
        <v>2</v>
      </c>
      <c r="J125" s="456" t="n">
        <v>3</v>
      </c>
      <c r="K125" s="343" t="n">
        <v>51</v>
      </c>
      <c r="L125" s="346" t="n">
        <v>1</v>
      </c>
      <c r="M125" s="537" t="n"/>
      <c r="N125" s="559" t="n">
        <v>0</v>
      </c>
      <c r="O125" s="559" t="n">
        <v>0.51</v>
      </c>
      <c r="P125" s="559" t="n">
        <v>0.92</v>
      </c>
      <c r="Q125" s="246" t="n"/>
      <c r="R125" s="246" t="n"/>
      <c r="S125" s="246" t="n"/>
      <c r="T125" s="246" t="n"/>
      <c r="U125" s="246" t="n">
        <v>5.27</v>
      </c>
      <c r="V125" s="246" t="n">
        <v>5.5</v>
      </c>
      <c r="W125" s="246" t="n">
        <v>4.19</v>
      </c>
      <c r="X125" s="91" t="n">
        <v>0</v>
      </c>
      <c r="Y125" s="91" t="n"/>
      <c r="Z125" s="91" t="n"/>
      <c r="AA125" s="91" t="n"/>
      <c r="AB125" s="91" t="n"/>
      <c r="AC125" s="91" t="n"/>
      <c r="AD125" s="91" t="n"/>
      <c r="AE125" s="91" t="n"/>
      <c r="AF125" s="91" t="n"/>
      <c r="AG125" s="91" t="n"/>
      <c r="AH125" s="91" t="n"/>
      <c r="AI125" s="91" t="n"/>
      <c r="AJ125" s="160" t="n"/>
    </row>
    <row r="126">
      <c r="A126" s="618" t="n"/>
      <c r="B126" s="698" t="n"/>
      <c r="C126" s="595" t="n">
        <v>77</v>
      </c>
      <c r="D126" s="600" t="inlineStr">
        <is>
          <t>Galadantchi</t>
        </is>
      </c>
      <c r="E126" s="357" t="inlineStr">
        <is>
          <t>Djirataoua</t>
        </is>
      </c>
      <c r="F126" s="350" t="inlineStr">
        <is>
          <t>Control</t>
        </is>
      </c>
      <c r="G126" s="55" t="n">
        <v>2021</v>
      </c>
      <c r="H126" s="649" t="n">
        <v>2022</v>
      </c>
      <c r="I126" s="62" t="n">
        <v>1</v>
      </c>
      <c r="J126" s="56" t="inlineStr">
        <is>
          <t>NA</t>
        </is>
      </c>
      <c r="K126" s="350" t="n">
        <v>40</v>
      </c>
      <c r="L126" s="589" t="inlineStr">
        <is>
          <t>NA</t>
        </is>
      </c>
      <c r="M126" s="59" t="n"/>
      <c r="N126" s="562">
        <f>20/K126</f>
        <v/>
      </c>
      <c r="O126" s="562" t="n">
        <v>0.43</v>
      </c>
      <c r="P126" s="562" t="n">
        <v>1</v>
      </c>
      <c r="Q126" s="242" t="n"/>
      <c r="R126" s="242" t="n"/>
      <c r="S126" s="242" t="n"/>
      <c r="T126" s="242" t="n"/>
      <c r="U126" s="242" t="n">
        <v>1.66</v>
      </c>
      <c r="V126" s="242" t="n">
        <v>3.69</v>
      </c>
      <c r="W126" s="242" t="n">
        <v>2.58</v>
      </c>
      <c r="X126" s="62" t="n">
        <v>0</v>
      </c>
      <c r="Y126" s="62" t="n"/>
      <c r="Z126" s="62" t="n"/>
      <c r="AA126" s="62" t="n"/>
      <c r="AB126" s="62" t="n"/>
      <c r="AC126" s="62" t="n"/>
      <c r="AD126" s="62" t="n"/>
      <c r="AE126" s="62" t="n"/>
      <c r="AF126" s="62" t="n"/>
      <c r="AG126" s="62" t="n"/>
      <c r="AH126" s="62" t="n"/>
      <c r="AI126" s="62" t="n"/>
      <c r="AJ126" s="162" t="n"/>
    </row>
    <row r="127">
      <c r="A127" s="604" t="n"/>
      <c r="B127" s="734" t="n">
        <v>20</v>
      </c>
      <c r="C127" s="606" t="n">
        <v>48</v>
      </c>
      <c r="D127" s="633" t="inlineStr">
        <is>
          <t>Na Maroua</t>
        </is>
      </c>
      <c r="E127" s="357" t="inlineStr">
        <is>
          <t>Djirataoua</t>
        </is>
      </c>
      <c r="F127" s="609" t="inlineStr">
        <is>
          <t>Intervention</t>
        </is>
      </c>
      <c r="G127" s="610" t="n">
        <v>2021</v>
      </c>
      <c r="H127" s="610" t="n">
        <v>2022</v>
      </c>
      <c r="I127" s="300" t="n">
        <v>1</v>
      </c>
      <c r="J127" s="610" t="n">
        <v>2</v>
      </c>
      <c r="K127" s="609" t="n">
        <v>29</v>
      </c>
      <c r="L127" s="360" t="n">
        <v>1</v>
      </c>
      <c r="M127" s="534" t="n"/>
      <c r="N127" s="299">
        <f>1/K127</f>
        <v/>
      </c>
      <c r="O127" s="299" t="n">
        <v>0.45</v>
      </c>
      <c r="P127" s="299" t="n">
        <v>1</v>
      </c>
      <c r="Q127" s="266" t="n"/>
      <c r="R127" s="266" t="n"/>
      <c r="S127" s="266" t="n"/>
      <c r="T127" s="266" t="n"/>
      <c r="U127" s="266" t="n">
        <v>3.79</v>
      </c>
      <c r="V127" s="266" t="n">
        <v>9.210000000000001</v>
      </c>
      <c r="W127" s="266" t="n">
        <v>6.09</v>
      </c>
      <c r="X127" s="300" t="n">
        <v>0</v>
      </c>
      <c r="Y127" s="300" t="n"/>
      <c r="Z127" s="300" t="n"/>
      <c r="AA127" s="300" t="n"/>
      <c r="AB127" s="300" t="n"/>
      <c r="AC127" s="300" t="n"/>
      <c r="AD127" s="300" t="n"/>
      <c r="AE127" s="300" t="n"/>
      <c r="AF127" s="300" t="n"/>
      <c r="AG127" s="300" t="n"/>
      <c r="AH127" s="300" t="n"/>
      <c r="AI127" s="300" t="n"/>
      <c r="AJ127" s="268" t="n"/>
    </row>
    <row r="128">
      <c r="A128" s="659" t="n"/>
      <c r="B128" s="698" t="n"/>
      <c r="C128" s="612" t="n">
        <v>67</v>
      </c>
      <c r="D128" s="549" t="inlineStr">
        <is>
          <t>Dan Kari Trad</t>
        </is>
      </c>
      <c r="E128" s="357" t="inlineStr">
        <is>
          <t>Djirataoua</t>
        </is>
      </c>
      <c r="F128" s="364" t="inlineStr">
        <is>
          <t>Control</t>
        </is>
      </c>
      <c r="G128" s="77" t="n">
        <v>2021</v>
      </c>
      <c r="H128" s="78" t="n">
        <v>2022</v>
      </c>
      <c r="I128" s="81" t="n">
        <v>2</v>
      </c>
      <c r="J128" s="78" t="inlineStr">
        <is>
          <t>NA</t>
        </is>
      </c>
      <c r="K128" s="364" t="n">
        <v>17</v>
      </c>
      <c r="L128" s="592" t="inlineStr">
        <is>
          <t>NA</t>
        </is>
      </c>
      <c r="M128" s="59" t="n"/>
      <c r="N128" s="538">
        <f>5/K128</f>
        <v/>
      </c>
      <c r="O128" s="538" t="n">
        <v>0.41</v>
      </c>
      <c r="P128" s="538" t="n">
        <v>0.71</v>
      </c>
      <c r="Q128" s="243" t="n"/>
      <c r="R128" s="243" t="n"/>
      <c r="S128" s="243" t="n"/>
      <c r="T128" s="243" t="n"/>
      <c r="U128" s="243" t="n">
        <v>2.86</v>
      </c>
      <c r="V128" s="243" t="n">
        <v>0.49</v>
      </c>
      <c r="W128" s="243" t="n">
        <v>0.58</v>
      </c>
      <c r="X128" s="81" t="n">
        <v>0</v>
      </c>
      <c r="Y128" s="81" t="n"/>
      <c r="Z128" s="81" t="n"/>
      <c r="AA128" s="81" t="n"/>
      <c r="AB128" s="81" t="n"/>
      <c r="AC128" s="81" t="n"/>
      <c r="AD128" s="81" t="n"/>
      <c r="AE128" s="81" t="n"/>
      <c r="AF128" s="81" t="n"/>
      <c r="AG128" s="81" t="n"/>
      <c r="AH128" s="81" t="n"/>
      <c r="AI128" s="81" t="n"/>
      <c r="AJ128" s="244" t="n"/>
    </row>
    <row r="129">
      <c r="A129" s="597" t="n"/>
      <c r="B129" s="714" t="n">
        <v>21</v>
      </c>
      <c r="C129" s="640" t="n">
        <v>50</v>
      </c>
      <c r="D129" s="641" t="inlineStr">
        <is>
          <t>Danja 1</t>
        </is>
      </c>
      <c r="E129" s="343" t="inlineStr">
        <is>
          <t>Djirataoua</t>
        </is>
      </c>
      <c r="F129" s="343" t="inlineStr">
        <is>
          <t>Intervention</t>
        </is>
      </c>
      <c r="G129" s="87" t="n">
        <v>2021</v>
      </c>
      <c r="H129" s="87" t="n">
        <v>2022</v>
      </c>
      <c r="I129" s="91" t="n">
        <v>1</v>
      </c>
      <c r="J129" s="87" t="n">
        <v>2</v>
      </c>
      <c r="K129" s="343" t="n">
        <v>31</v>
      </c>
      <c r="L129" s="346" t="n">
        <v>1</v>
      </c>
      <c r="M129" s="537" t="n"/>
      <c r="N129" s="559" t="n">
        <v>0</v>
      </c>
      <c r="O129" s="559" t="n">
        <v>0.74</v>
      </c>
      <c r="P129" s="559" t="n">
        <v>1</v>
      </c>
      <c r="Q129" s="246" t="n"/>
      <c r="R129" s="246" t="n"/>
      <c r="S129" s="246" t="n"/>
      <c r="T129" s="246" t="n"/>
      <c r="U129" s="246" t="n">
        <v>3.55</v>
      </c>
      <c r="V129" s="246" t="n">
        <v>8.380000000000001</v>
      </c>
      <c r="W129" s="246" t="n">
        <v>5.51</v>
      </c>
      <c r="X129" s="91" t="n">
        <v>0</v>
      </c>
      <c r="Y129" s="91" t="n"/>
      <c r="Z129" s="91" t="n"/>
      <c r="AA129" s="91" t="n"/>
      <c r="AB129" s="91" t="n"/>
      <c r="AC129" s="91" t="n"/>
      <c r="AD129" s="91" t="n"/>
      <c r="AE129" s="91" t="n"/>
      <c r="AF129" s="91" t="n"/>
      <c r="AG129" s="91" t="n"/>
      <c r="AH129" s="91" t="n"/>
      <c r="AI129" s="91" t="n"/>
      <c r="AJ129" s="160" t="n"/>
    </row>
    <row r="130">
      <c r="A130" s="618" t="n"/>
      <c r="B130" s="698" t="n"/>
      <c r="C130" s="619" t="n">
        <v>70</v>
      </c>
      <c r="D130" s="649" t="inlineStr">
        <is>
          <t>Djiratawa Bilingue</t>
        </is>
      </c>
      <c r="E130" s="343" t="inlineStr">
        <is>
          <t>Djirataoua</t>
        </is>
      </c>
      <c r="F130" s="350" t="inlineStr">
        <is>
          <t>Control</t>
        </is>
      </c>
      <c r="G130" s="55" t="n">
        <v>2021</v>
      </c>
      <c r="H130" s="56" t="n">
        <v>2022</v>
      </c>
      <c r="I130" s="62" t="n">
        <v>2</v>
      </c>
      <c r="J130" s="56" t="inlineStr">
        <is>
          <t>NA</t>
        </is>
      </c>
      <c r="K130" s="350" t="n">
        <v>32</v>
      </c>
      <c r="L130" s="589" t="inlineStr">
        <is>
          <t>NA</t>
        </is>
      </c>
      <c r="M130" s="59" t="n"/>
      <c r="N130" s="562">
        <f>1/K130</f>
        <v/>
      </c>
      <c r="O130" s="562" t="n">
        <v>0.47</v>
      </c>
      <c r="P130" s="562" t="n">
        <v>1</v>
      </c>
      <c r="Q130" s="242" t="n"/>
      <c r="R130" s="242" t="n"/>
      <c r="S130" s="242" t="n"/>
      <c r="T130" s="242" t="n"/>
      <c r="U130" s="242" t="n">
        <v>0.2</v>
      </c>
      <c r="V130" s="242" t="n">
        <v>2.28</v>
      </c>
      <c r="W130" s="242" t="n">
        <v>0.83</v>
      </c>
      <c r="X130" s="62" t="n">
        <v>0</v>
      </c>
      <c r="Y130" s="62" t="n"/>
      <c r="Z130" s="62" t="n"/>
      <c r="AA130" s="62" t="n"/>
      <c r="AB130" s="62" t="n"/>
      <c r="AC130" s="62" t="n"/>
      <c r="AD130" s="62" t="n"/>
      <c r="AE130" s="62" t="n"/>
      <c r="AF130" s="62" t="n"/>
      <c r="AG130" s="62" t="n"/>
      <c r="AH130" s="62" t="n"/>
      <c r="AI130" s="62" t="n"/>
      <c r="AJ130" s="162" t="n"/>
    </row>
    <row r="131" ht="16.5" customHeight="1" s="695">
      <c r="A131" s="604" t="n"/>
      <c r="B131" s="734" t="n">
        <v>22</v>
      </c>
      <c r="C131" s="606" t="n">
        <v>47</v>
      </c>
      <c r="D131" s="607" t="inlineStr">
        <is>
          <t>Atchidakofotato Bilingue</t>
        </is>
      </c>
      <c r="E131" s="343" t="inlineStr">
        <is>
          <t>Djirataoua</t>
        </is>
      </c>
      <c r="F131" s="609" t="inlineStr">
        <is>
          <t>Intervention</t>
        </is>
      </c>
      <c r="G131" s="610" t="n">
        <v>2021</v>
      </c>
      <c r="H131" s="610" t="n">
        <v>2022</v>
      </c>
      <c r="I131" s="300" t="n">
        <v>1</v>
      </c>
      <c r="J131" s="610" t="n">
        <v>2</v>
      </c>
      <c r="K131" s="609" t="n">
        <v>27</v>
      </c>
      <c r="L131" s="360" t="n">
        <v>1</v>
      </c>
      <c r="M131" s="534" t="n"/>
      <c r="N131" s="299">
        <f>4/K131</f>
        <v/>
      </c>
      <c r="O131" s="299" t="n">
        <v>0.5600000000000001</v>
      </c>
      <c r="P131" s="299" t="n">
        <v>1</v>
      </c>
      <c r="Q131" s="266" t="n"/>
      <c r="R131" s="266" t="n"/>
      <c r="S131" s="266" t="n"/>
      <c r="T131" s="266" t="n"/>
      <c r="U131" s="266" t="n">
        <v>8.66</v>
      </c>
      <c r="V131" s="266" t="n">
        <v>5.34</v>
      </c>
      <c r="W131" s="266" t="n">
        <v>6.65</v>
      </c>
      <c r="X131" s="300" t="n">
        <v>0</v>
      </c>
      <c r="Y131" s="300" t="n"/>
      <c r="Z131" s="300" t="n"/>
      <c r="AA131" s="300" t="n"/>
      <c r="AB131" s="300" t="n"/>
      <c r="AC131" s="300" t="n"/>
      <c r="AD131" s="300" t="n"/>
      <c r="AE131" s="300" t="n"/>
      <c r="AF131" s="300" t="n"/>
      <c r="AG131" s="300" t="n"/>
      <c r="AH131" s="300" t="n"/>
      <c r="AI131" s="300" t="n"/>
      <c r="AJ131" s="268" t="n"/>
    </row>
    <row r="132">
      <c r="A132" s="659" t="n"/>
      <c r="B132" s="698" t="n"/>
      <c r="C132" s="612" t="n">
        <v>78</v>
      </c>
      <c r="D132" s="549" t="inlineStr">
        <is>
          <t>Kantagora Goussaoua</t>
        </is>
      </c>
      <c r="E132" s="364" t="inlineStr">
        <is>
          <t>Djirataoua</t>
        </is>
      </c>
      <c r="F132" s="364" t="inlineStr">
        <is>
          <t>Control</t>
        </is>
      </c>
      <c r="G132" s="77" t="n">
        <v>2021</v>
      </c>
      <c r="H132" s="78" t="n">
        <v>2022</v>
      </c>
      <c r="I132" s="81" t="n">
        <v>1</v>
      </c>
      <c r="J132" s="78" t="inlineStr">
        <is>
          <t>NA</t>
        </is>
      </c>
      <c r="K132" s="364" t="n">
        <v>24</v>
      </c>
      <c r="L132" s="592" t="inlineStr">
        <is>
          <t>NA</t>
        </is>
      </c>
      <c r="M132" s="59" t="n"/>
      <c r="N132" s="538">
        <f>3/K132</f>
        <v/>
      </c>
      <c r="O132" s="538" t="n">
        <v>0.29</v>
      </c>
      <c r="P132" s="538" t="n">
        <v>0.43</v>
      </c>
      <c r="Q132" s="243" t="n"/>
      <c r="R132" s="243" t="n"/>
      <c r="S132" s="243" t="n"/>
      <c r="T132" s="243" t="n"/>
      <c r="U132" s="243" t="n">
        <v>4.89</v>
      </c>
      <c r="V132" s="243" t="n">
        <v>3.25</v>
      </c>
      <c r="W132" s="243" t="n">
        <v>3.7</v>
      </c>
      <c r="X132" s="81" t="n">
        <v>0</v>
      </c>
      <c r="Y132" s="81" t="n"/>
      <c r="Z132" s="81" t="n"/>
      <c r="AA132" s="81" t="n"/>
      <c r="AB132" s="81" t="n"/>
      <c r="AC132" s="81" t="n"/>
      <c r="AD132" s="81" t="n"/>
      <c r="AE132" s="81" t="n"/>
      <c r="AF132" s="81" t="n"/>
      <c r="AG132" s="81" t="n"/>
      <c r="AH132" s="81" t="n"/>
      <c r="AI132" s="81" t="n"/>
      <c r="AJ132" s="244" t="n"/>
    </row>
    <row r="133">
      <c r="A133" s="597" t="n"/>
      <c r="B133" s="714" t="n">
        <v>23</v>
      </c>
      <c r="C133" s="593" t="n">
        <v>59</v>
      </c>
      <c r="D133" s="603" t="inlineStr">
        <is>
          <t>Tchikadji Quartier</t>
        </is>
      </c>
      <c r="E133" s="343" t="inlineStr">
        <is>
          <t>Safo</t>
        </is>
      </c>
      <c r="F133" s="343" t="inlineStr">
        <is>
          <t>Intervention</t>
        </is>
      </c>
      <c r="G133" s="641" t="n">
        <v>2021</v>
      </c>
      <c r="H133" s="641" t="n">
        <v>2022</v>
      </c>
      <c r="I133" s="91" t="n">
        <v>1</v>
      </c>
      <c r="J133" s="343" t="n">
        <v>1</v>
      </c>
      <c r="K133" s="343" t="n">
        <v>14</v>
      </c>
      <c r="L133" s="346" t="n">
        <v>1</v>
      </c>
      <c r="M133" s="537" t="n"/>
      <c r="N133" s="559" t="n">
        <v>0</v>
      </c>
      <c r="O133" s="559" t="n">
        <v>0.57</v>
      </c>
      <c r="P133" s="559" t="n">
        <v>1</v>
      </c>
      <c r="Q133" s="246" t="n"/>
      <c r="R133" s="246" t="n"/>
      <c r="S133" s="246" t="n"/>
      <c r="T133" s="246" t="n"/>
      <c r="U133" s="246" t="n">
        <v>0.93</v>
      </c>
      <c r="V133" s="246" t="n">
        <v>3.7</v>
      </c>
      <c r="W133" s="246" t="n">
        <v>1.79</v>
      </c>
      <c r="X133" s="91" t="n">
        <v>0</v>
      </c>
      <c r="Y133" s="91" t="n"/>
      <c r="Z133" s="91" t="n"/>
      <c r="AA133" s="91" t="n"/>
      <c r="AB133" s="91" t="n"/>
      <c r="AC133" s="91" t="n"/>
      <c r="AD133" s="91" t="n"/>
      <c r="AE133" s="91" t="n"/>
      <c r="AF133" s="91" t="n"/>
      <c r="AG133" s="91" t="n"/>
      <c r="AH133" s="91" t="n"/>
      <c r="AI133" s="91" t="n"/>
      <c r="AJ133" s="160" t="n"/>
    </row>
    <row r="134">
      <c r="A134" s="618" t="n"/>
      <c r="B134" s="698" t="n"/>
      <c r="C134" s="595" t="n">
        <v>79</v>
      </c>
      <c r="D134" s="600" t="inlineStr">
        <is>
          <t>Soumarana</t>
        </is>
      </c>
      <c r="E134" s="343" t="inlineStr">
        <is>
          <t>Safo</t>
        </is>
      </c>
      <c r="F134" s="350" t="inlineStr">
        <is>
          <t>Control</t>
        </is>
      </c>
      <c r="G134" s="55" t="n">
        <v>2021</v>
      </c>
      <c r="H134" s="649" t="n">
        <v>2022</v>
      </c>
      <c r="I134" s="62" t="n">
        <v>1</v>
      </c>
      <c r="J134" s="56" t="inlineStr">
        <is>
          <t>NA</t>
        </is>
      </c>
      <c r="K134" s="350" t="n">
        <v>23</v>
      </c>
      <c r="L134" s="589" t="inlineStr">
        <is>
          <t>NA</t>
        </is>
      </c>
      <c r="M134" s="59" t="n"/>
      <c r="N134" s="562" t="n">
        <v>0</v>
      </c>
      <c r="O134" s="562" t="n">
        <v>0.57</v>
      </c>
      <c r="P134" s="562" t="n">
        <v>1</v>
      </c>
      <c r="Q134" s="242" t="n"/>
      <c r="R134" s="242" t="n"/>
      <c r="S134" s="242" t="n"/>
      <c r="T134" s="242" t="n"/>
      <c r="U134" s="242" t="n">
        <v>-1.43</v>
      </c>
      <c r="V134" s="242" t="n">
        <v>1.2</v>
      </c>
      <c r="W134" s="242" t="n">
        <v>-0.54</v>
      </c>
      <c r="X134" s="62" t="n">
        <v>1</v>
      </c>
      <c r="Y134" s="62" t="n"/>
      <c r="Z134" s="62" t="n"/>
      <c r="AA134" s="62" t="n"/>
      <c r="AB134" s="62" t="n"/>
      <c r="AC134" s="62" t="n"/>
      <c r="AD134" s="62" t="n"/>
      <c r="AE134" s="62" t="n"/>
      <c r="AF134" s="62" t="n"/>
      <c r="AG134" s="62" t="n"/>
      <c r="AH134" s="62" t="n"/>
      <c r="AI134" s="62" t="n"/>
      <c r="AJ134" s="162" t="n"/>
    </row>
    <row r="135">
      <c r="A135" s="353" t="n"/>
      <c r="B135" s="625" t="n">
        <v>24</v>
      </c>
      <c r="C135" s="616" t="n">
        <v>55</v>
      </c>
      <c r="D135" s="622" t="inlineStr">
        <is>
          <t>Safo Dan Ali</t>
        </is>
      </c>
      <c r="E135" s="357" t="inlineStr">
        <is>
          <t>Safo</t>
        </is>
      </c>
      <c r="F135" s="357" t="inlineStr">
        <is>
          <t>Intervention</t>
        </is>
      </c>
      <c r="G135" s="546" t="n">
        <v>2021</v>
      </c>
      <c r="H135" s="546" t="n">
        <v>2022</v>
      </c>
      <c r="I135" s="72" t="n">
        <v>1</v>
      </c>
      <c r="J135" s="357" t="n">
        <v>1</v>
      </c>
      <c r="K135" s="357" t="n">
        <v>17</v>
      </c>
      <c r="L135" s="360" t="n">
        <v>1</v>
      </c>
      <c r="M135" s="537" t="n"/>
      <c r="N135" s="561" t="n">
        <v>0</v>
      </c>
      <c r="O135" s="561" t="n">
        <v>0.59</v>
      </c>
      <c r="P135" s="561" t="n">
        <v>1</v>
      </c>
      <c r="Q135" s="255" t="n"/>
      <c r="R135" s="255" t="n"/>
      <c r="S135" s="255" t="n"/>
      <c r="T135" s="255" t="n"/>
      <c r="U135" s="255" t="n">
        <v>5.24</v>
      </c>
      <c r="V135" s="255" t="n">
        <v>6.24</v>
      </c>
      <c r="W135" s="255" t="n">
        <v>5.74</v>
      </c>
      <c r="X135" s="72" t="n">
        <v>1</v>
      </c>
      <c r="Y135" s="72" t="n"/>
      <c r="Z135" s="72" t="n"/>
      <c r="AA135" s="72" t="n"/>
      <c r="AB135" s="72" t="n"/>
      <c r="AC135" s="72" t="n"/>
      <c r="AD135" s="72" t="n"/>
      <c r="AE135" s="72" t="n"/>
      <c r="AF135" s="72" t="n"/>
      <c r="AG135" s="72" t="n"/>
      <c r="AH135" s="72" t="n"/>
      <c r="AI135" s="72" t="n"/>
      <c r="AJ135" s="163" t="n"/>
    </row>
    <row r="136">
      <c r="A136" s="659" t="n"/>
      <c r="B136" s="698" t="n"/>
      <c r="C136" s="619" t="n">
        <v>80</v>
      </c>
      <c r="D136" s="623" t="inlineStr">
        <is>
          <t>Safo Chadawa</t>
        </is>
      </c>
      <c r="E136" s="357" t="inlineStr">
        <is>
          <t>Safo</t>
        </is>
      </c>
      <c r="F136" s="364" t="inlineStr">
        <is>
          <t>Control</t>
        </is>
      </c>
      <c r="G136" s="77" t="n">
        <v>2021</v>
      </c>
      <c r="H136" s="549" t="n">
        <v>2022</v>
      </c>
      <c r="I136" s="81" t="n">
        <v>1</v>
      </c>
      <c r="J136" s="78" t="inlineStr">
        <is>
          <t>NA</t>
        </is>
      </c>
      <c r="K136" s="364" t="n">
        <v>10</v>
      </c>
      <c r="L136" s="592" t="inlineStr">
        <is>
          <t>NA</t>
        </is>
      </c>
      <c r="M136" s="59" t="n"/>
      <c r="N136" s="538" t="n">
        <v>0</v>
      </c>
      <c r="O136" s="538" t="n">
        <v>0.7</v>
      </c>
      <c r="P136" s="538" t="n">
        <v>0.86</v>
      </c>
      <c r="Q136" s="243" t="n"/>
      <c r="R136" s="243" t="n"/>
      <c r="S136" s="243" t="n"/>
      <c r="T136" s="243" t="n"/>
      <c r="U136" s="243" t="n">
        <v>4.28</v>
      </c>
      <c r="V136" s="243" t="n">
        <v>2.28</v>
      </c>
      <c r="W136" s="243" t="n">
        <v>3.28</v>
      </c>
      <c r="X136" s="81" t="n">
        <v>0</v>
      </c>
      <c r="Y136" s="81" t="n"/>
      <c r="Z136" s="81" t="n"/>
      <c r="AA136" s="81" t="n"/>
      <c r="AB136" s="81" t="n"/>
      <c r="AC136" s="81" t="n"/>
      <c r="AD136" s="81" t="n"/>
      <c r="AE136" s="81" t="n"/>
      <c r="AF136" s="81" t="n"/>
      <c r="AG136" s="81" t="n"/>
      <c r="AH136" s="81" t="n"/>
      <c r="AI136" s="81" t="n"/>
      <c r="AJ136" s="244" t="n"/>
    </row>
    <row r="137">
      <c r="A137" s="597" t="n"/>
      <c r="B137" s="714" t="n">
        <v>25</v>
      </c>
      <c r="C137" s="593" t="n">
        <v>54</v>
      </c>
      <c r="D137" s="603" t="inlineStr">
        <is>
          <t>El Mougou</t>
        </is>
      </c>
      <c r="E137" s="343" t="inlineStr">
        <is>
          <t>Safo</t>
        </is>
      </c>
      <c r="F137" s="343" t="inlineStr">
        <is>
          <t>Intervention</t>
        </is>
      </c>
      <c r="G137" s="641" t="n">
        <v>2021</v>
      </c>
      <c r="H137" s="641" t="n">
        <v>2022</v>
      </c>
      <c r="I137" s="91" t="n">
        <v>1</v>
      </c>
      <c r="J137" s="343" t="n">
        <v>1</v>
      </c>
      <c r="K137" s="343" t="n">
        <v>19</v>
      </c>
      <c r="L137" s="346" t="n">
        <v>1</v>
      </c>
      <c r="M137" s="537" t="n"/>
      <c r="N137" s="559" t="n">
        <v>0</v>
      </c>
      <c r="O137" s="559" t="n">
        <v>0.63</v>
      </c>
      <c r="P137" s="559" t="n">
        <v>1</v>
      </c>
      <c r="Q137" s="246" t="n"/>
      <c r="R137" s="246" t="n"/>
      <c r="S137" s="246" t="n"/>
      <c r="T137" s="246" t="n"/>
      <c r="U137" s="246" t="n">
        <v>2.19</v>
      </c>
      <c r="V137" s="246" t="n">
        <v>0.95</v>
      </c>
      <c r="W137" s="246" t="n">
        <v>1.22</v>
      </c>
      <c r="X137" s="91" t="n">
        <v>1</v>
      </c>
      <c r="Y137" s="91" t="n"/>
      <c r="Z137" s="91" t="n"/>
      <c r="AA137" s="91" t="n"/>
      <c r="AB137" s="91" t="n"/>
      <c r="AC137" s="91" t="n"/>
      <c r="AD137" s="91" t="n"/>
      <c r="AE137" s="91" t="n"/>
      <c r="AF137" s="91" t="n"/>
      <c r="AG137" s="91" t="n"/>
      <c r="AH137" s="91" t="n"/>
      <c r="AI137" s="91" t="n"/>
      <c r="AJ137" s="160" t="n"/>
    </row>
    <row r="138">
      <c r="A138" s="618" t="n"/>
      <c r="B138" s="698" t="n"/>
      <c r="C138" s="595" t="n">
        <v>81</v>
      </c>
      <c r="D138" s="600" t="inlineStr">
        <is>
          <t>Gade</t>
        </is>
      </c>
      <c r="E138" s="343" t="inlineStr">
        <is>
          <t>Safo</t>
        </is>
      </c>
      <c r="F138" s="350" t="inlineStr">
        <is>
          <t>Control</t>
        </is>
      </c>
      <c r="G138" s="55" t="n">
        <v>2021</v>
      </c>
      <c r="H138" s="649" t="n">
        <v>2022</v>
      </c>
      <c r="I138" s="62" t="n">
        <v>1</v>
      </c>
      <c r="J138" s="56" t="inlineStr">
        <is>
          <t>NA</t>
        </is>
      </c>
      <c r="K138" s="350" t="n">
        <v>23</v>
      </c>
      <c r="L138" s="589" t="inlineStr">
        <is>
          <t>NA</t>
        </is>
      </c>
      <c r="M138" s="59" t="n"/>
      <c r="N138" s="562" t="n">
        <v>0</v>
      </c>
      <c r="O138" s="562" t="n">
        <v>0.7</v>
      </c>
      <c r="P138" s="562" t="n">
        <v>1</v>
      </c>
      <c r="Q138" s="242" t="n"/>
      <c r="R138" s="242" t="n"/>
      <c r="S138" s="242" t="n"/>
      <c r="T138" s="242" t="n"/>
      <c r="U138" s="242" t="n">
        <v>4.31</v>
      </c>
      <c r="V138" s="242" t="n">
        <v>2.44</v>
      </c>
      <c r="W138" s="242" t="n">
        <v>1.81</v>
      </c>
      <c r="X138" s="62" t="n">
        <v>0</v>
      </c>
      <c r="Y138" s="62" t="n"/>
      <c r="Z138" s="62" t="n"/>
      <c r="AA138" s="62" t="n"/>
      <c r="AB138" s="62" t="n"/>
      <c r="AC138" s="62" t="n"/>
      <c r="AD138" s="62" t="n"/>
      <c r="AE138" s="62" t="n"/>
      <c r="AF138" s="62" t="n"/>
      <c r="AG138" s="62" t="n"/>
      <c r="AH138" s="62" t="n"/>
      <c r="AI138" s="62" t="n"/>
      <c r="AJ138" s="162" t="n"/>
    </row>
    <row r="139" ht="19.5" customHeight="1" s="695">
      <c r="A139" s="353" t="n"/>
      <c r="B139" s="625" t="n">
        <v>26</v>
      </c>
      <c r="C139" s="616" t="n">
        <v>58</v>
      </c>
      <c r="D139" s="660" t="inlineStr">
        <is>
          <t>Tarna</t>
        </is>
      </c>
      <c r="E139" s="357" t="inlineStr">
        <is>
          <t>Safo</t>
        </is>
      </c>
      <c r="F139" s="357" t="inlineStr">
        <is>
          <t>Intervention</t>
        </is>
      </c>
      <c r="G139" s="546" t="n">
        <v>2021</v>
      </c>
      <c r="H139" s="546" t="n">
        <v>2022</v>
      </c>
      <c r="I139" s="72" t="n">
        <v>1</v>
      </c>
      <c r="J139" s="359" t="n">
        <v>3</v>
      </c>
      <c r="K139" s="357" t="n">
        <v>65</v>
      </c>
      <c r="L139" s="360" t="n">
        <v>1</v>
      </c>
      <c r="M139" s="537" t="n"/>
      <c r="N139" s="561" t="n">
        <v>0</v>
      </c>
      <c r="O139" s="561" t="n">
        <v>0.8</v>
      </c>
      <c r="P139" s="561" t="n">
        <v>1</v>
      </c>
      <c r="Q139" s="255" t="n"/>
      <c r="R139" s="255" t="n"/>
      <c r="S139" s="255" t="n"/>
      <c r="T139" s="255" t="n"/>
      <c r="U139" s="255" t="n">
        <v>4.66</v>
      </c>
      <c r="V139" s="255" t="n">
        <v>4.75</v>
      </c>
      <c r="W139" s="255" t="n">
        <v>3.17</v>
      </c>
      <c r="X139" s="72" t="n">
        <v>1</v>
      </c>
      <c r="Y139" s="72" t="n"/>
      <c r="Z139" s="72" t="n"/>
      <c r="AA139" s="72" t="n"/>
      <c r="AB139" s="72" t="n"/>
      <c r="AC139" s="72" t="n"/>
      <c r="AD139" s="72" t="n"/>
      <c r="AE139" s="72" t="n"/>
      <c r="AF139" s="72" t="n"/>
      <c r="AG139" s="72" t="n"/>
      <c r="AH139" s="72" t="n"/>
      <c r="AI139" s="72" t="n"/>
      <c r="AJ139" s="163" t="n"/>
    </row>
    <row r="140">
      <c r="A140" s="659" t="n"/>
      <c r="B140" s="698" t="n"/>
      <c r="C140" s="619" t="n">
        <v>82</v>
      </c>
      <c r="D140" s="623" t="inlineStr">
        <is>
          <t>Radi Centre 1</t>
        </is>
      </c>
      <c r="E140" s="357" t="inlineStr">
        <is>
          <t>Safo</t>
        </is>
      </c>
      <c r="F140" s="364" t="inlineStr">
        <is>
          <t>Control</t>
        </is>
      </c>
      <c r="G140" s="77" t="n">
        <v>2021</v>
      </c>
      <c r="H140" s="549" t="n">
        <v>2022</v>
      </c>
      <c r="I140" s="81" t="n">
        <v>1</v>
      </c>
      <c r="J140" s="78" t="inlineStr">
        <is>
          <t>NA</t>
        </is>
      </c>
      <c r="K140" s="364" t="n">
        <v>29</v>
      </c>
      <c r="L140" s="592" t="inlineStr">
        <is>
          <t>NA</t>
        </is>
      </c>
      <c r="M140" s="59" t="n"/>
      <c r="N140" s="538" t="n">
        <v>0</v>
      </c>
      <c r="O140" s="538" t="n">
        <v>0.6899999999999999</v>
      </c>
      <c r="P140" s="538" t="n">
        <v>0.8</v>
      </c>
      <c r="Q140" s="243" t="n"/>
      <c r="R140" s="243" t="n"/>
      <c r="S140" s="243" t="n"/>
      <c r="T140" s="243" t="n"/>
      <c r="U140" s="243" t="n">
        <v>-0.29</v>
      </c>
      <c r="V140" s="243" t="n">
        <v>3.29</v>
      </c>
      <c r="W140" s="243" t="n">
        <v>1.16</v>
      </c>
      <c r="X140" s="81" t="n">
        <v>0</v>
      </c>
      <c r="Y140" s="81" t="n"/>
      <c r="Z140" s="81" t="n"/>
      <c r="AA140" s="81" t="n"/>
      <c r="AB140" s="81" t="n"/>
      <c r="AC140" s="81" t="n"/>
      <c r="AD140" s="81" t="n"/>
      <c r="AE140" s="81" t="n"/>
      <c r="AF140" s="81" t="n"/>
      <c r="AG140" s="81" t="n"/>
      <c r="AH140" s="81" t="n"/>
      <c r="AI140" s="81" t="n"/>
      <c r="AJ140" s="244" t="n"/>
    </row>
    <row r="141">
      <c r="A141" s="597" t="n"/>
      <c r="B141" s="714" t="n">
        <v>27</v>
      </c>
      <c r="C141" s="593" t="n">
        <v>57</v>
      </c>
      <c r="D141" s="603" t="inlineStr">
        <is>
          <t>Maradou Quartier</t>
        </is>
      </c>
      <c r="E141" s="343" t="inlineStr">
        <is>
          <t>Safo</t>
        </is>
      </c>
      <c r="F141" s="343" t="inlineStr">
        <is>
          <t>Intervention</t>
        </is>
      </c>
      <c r="G141" s="641" t="n">
        <v>2021</v>
      </c>
      <c r="H141" s="641" t="n">
        <v>2022</v>
      </c>
      <c r="I141" s="91" t="n">
        <v>1</v>
      </c>
      <c r="J141" s="456" t="n">
        <v>2</v>
      </c>
      <c r="K141" s="343" t="n">
        <v>21</v>
      </c>
      <c r="L141" s="346" t="n">
        <v>1</v>
      </c>
      <c r="M141" s="537" t="n"/>
      <c r="N141" s="559" t="n">
        <v>0</v>
      </c>
      <c r="O141" s="559" t="n">
        <v>0.9</v>
      </c>
      <c r="P141" s="559" t="n">
        <v>0.95</v>
      </c>
      <c r="Q141" s="246" t="n"/>
      <c r="R141" s="246" t="n"/>
      <c r="S141" s="246" t="n"/>
      <c r="T141" s="246" t="n"/>
      <c r="U141" s="246" t="n">
        <v>5.37</v>
      </c>
      <c r="V141" s="246" t="n">
        <v>5.42</v>
      </c>
      <c r="W141" s="246" t="n">
        <v>5.39</v>
      </c>
      <c r="X141" s="91" t="n">
        <v>0</v>
      </c>
      <c r="Y141" s="91" t="n"/>
      <c r="Z141" s="91" t="n"/>
      <c r="AA141" s="91" t="n"/>
      <c r="AB141" s="91" t="n"/>
      <c r="AC141" s="91" t="n"/>
      <c r="AD141" s="91" t="n"/>
      <c r="AE141" s="91" t="n"/>
      <c r="AF141" s="91" t="n"/>
      <c r="AG141" s="91" t="n"/>
      <c r="AH141" s="91" t="n"/>
      <c r="AI141" s="91" t="n"/>
      <c r="AJ141" s="160" t="n"/>
    </row>
    <row r="142">
      <c r="A142" s="618" t="n"/>
      <c r="B142" s="698" t="n"/>
      <c r="C142" s="595" t="n">
        <v>83</v>
      </c>
      <c r="D142" s="600" t="inlineStr">
        <is>
          <t>Kankaren Safo</t>
        </is>
      </c>
      <c r="E142" s="343" t="inlineStr">
        <is>
          <t>Safo</t>
        </is>
      </c>
      <c r="F142" s="350" t="inlineStr">
        <is>
          <t>Control</t>
        </is>
      </c>
      <c r="G142" s="55" t="n">
        <v>2021</v>
      </c>
      <c r="H142" s="649" t="n">
        <v>2022</v>
      </c>
      <c r="I142" s="62" t="n">
        <v>1</v>
      </c>
      <c r="J142" s="57" t="inlineStr">
        <is>
          <t>NA</t>
        </is>
      </c>
      <c r="K142" s="350" t="n">
        <v>26</v>
      </c>
      <c r="L142" s="589" t="inlineStr">
        <is>
          <t>NA</t>
        </is>
      </c>
      <c r="M142" s="59" t="n"/>
      <c r="N142" s="562" t="n">
        <v>0</v>
      </c>
      <c r="O142" s="562" t="n">
        <v>0.65</v>
      </c>
      <c r="P142" s="562" t="n">
        <v>0.53</v>
      </c>
      <c r="Q142" s="242" t="n"/>
      <c r="R142" s="242" t="n"/>
      <c r="S142" s="242" t="n"/>
      <c r="T142" s="242" t="n"/>
      <c r="U142" s="242" t="n">
        <v>2.28</v>
      </c>
      <c r="V142" s="242" t="n">
        <v>1.65</v>
      </c>
      <c r="W142" s="242" t="n">
        <v>1.97</v>
      </c>
      <c r="X142" s="62" t="n">
        <v>0</v>
      </c>
      <c r="Y142" s="62" t="n"/>
      <c r="Z142" s="62" t="n"/>
      <c r="AA142" s="62" t="n"/>
      <c r="AB142" s="62" t="n"/>
      <c r="AC142" s="62" t="n"/>
      <c r="AD142" s="62" t="n"/>
      <c r="AE142" s="62" t="n"/>
      <c r="AF142" s="62" t="n"/>
      <c r="AG142" s="62" t="n"/>
      <c r="AH142" s="62" t="n"/>
      <c r="AI142" s="62" t="n"/>
      <c r="AJ142" s="162" t="n"/>
    </row>
    <row r="143">
      <c r="A143" s="353" t="n"/>
      <c r="B143" s="625" t="n">
        <v>28</v>
      </c>
      <c r="C143" s="616" t="n">
        <v>56</v>
      </c>
      <c r="D143" s="622" t="inlineStr">
        <is>
          <t>Safo Nassaraoua</t>
        </is>
      </c>
      <c r="E143" s="357" t="inlineStr">
        <is>
          <t>Safo</t>
        </is>
      </c>
      <c r="F143" s="357" t="inlineStr">
        <is>
          <t>Intervention</t>
        </is>
      </c>
      <c r="G143" s="546" t="n">
        <v>2021</v>
      </c>
      <c r="H143" s="546" t="n">
        <v>2022</v>
      </c>
      <c r="I143" s="72" t="n">
        <v>1</v>
      </c>
      <c r="J143" s="359" t="n">
        <v>2</v>
      </c>
      <c r="K143" s="357" t="n">
        <v>25</v>
      </c>
      <c r="L143" s="360" t="n">
        <v>1</v>
      </c>
      <c r="M143" s="537" t="n"/>
      <c r="N143" s="561" t="n">
        <v>0</v>
      </c>
      <c r="O143" s="561" t="n">
        <v>0.36</v>
      </c>
      <c r="P143" s="561" t="n">
        <v>1</v>
      </c>
      <c r="Q143" s="255" t="n"/>
      <c r="R143" s="255" t="n"/>
      <c r="S143" s="255" t="n"/>
      <c r="T143" s="255" t="n"/>
      <c r="U143" s="255" t="n">
        <v>3.98</v>
      </c>
      <c r="V143" s="255" t="n">
        <v>3.67</v>
      </c>
      <c r="W143" s="255" t="n">
        <v>3.34</v>
      </c>
      <c r="X143" s="72" t="n">
        <v>0</v>
      </c>
      <c r="Y143" s="72" t="n"/>
      <c r="Z143" s="72" t="n"/>
      <c r="AA143" s="72" t="n"/>
      <c r="AB143" s="72" t="n"/>
      <c r="AC143" s="72" t="n"/>
      <c r="AD143" s="72" t="n"/>
      <c r="AE143" s="72" t="n"/>
      <c r="AF143" s="72" t="n"/>
      <c r="AG143" s="72" t="n"/>
      <c r="AH143" s="72" t="n"/>
      <c r="AI143" s="72" t="n"/>
      <c r="AJ143" s="163" t="n"/>
    </row>
    <row r="144">
      <c r="A144" s="659" t="n"/>
      <c r="B144" s="698" t="n"/>
      <c r="C144" s="619" t="n">
        <v>84</v>
      </c>
      <c r="D144" s="623" t="inlineStr">
        <is>
          <t>Riadi Centre 2</t>
        </is>
      </c>
      <c r="E144" s="357" t="inlineStr">
        <is>
          <t>Safo</t>
        </is>
      </c>
      <c r="F144" s="364" t="inlineStr">
        <is>
          <t>Control</t>
        </is>
      </c>
      <c r="G144" s="77" t="n">
        <v>2021</v>
      </c>
      <c r="H144" s="549" t="n">
        <v>2022</v>
      </c>
      <c r="I144" s="81" t="n">
        <v>1</v>
      </c>
      <c r="J144" s="78" t="inlineStr">
        <is>
          <t>NA</t>
        </is>
      </c>
      <c r="K144" s="364" t="n">
        <v>23</v>
      </c>
      <c r="L144" s="592" t="inlineStr">
        <is>
          <t>NA</t>
        </is>
      </c>
      <c r="M144" s="59" t="n"/>
      <c r="N144" s="538" t="n">
        <v>0</v>
      </c>
      <c r="O144" s="538" t="n">
        <v>0.78</v>
      </c>
      <c r="P144" s="538" t="n">
        <v>0.83</v>
      </c>
      <c r="Q144" s="243" t="n"/>
      <c r="R144" s="243" t="n"/>
      <c r="S144" s="243" t="n"/>
      <c r="T144" s="243" t="n"/>
      <c r="U144" s="243" t="n">
        <v>0.52</v>
      </c>
      <c r="V144" s="243" t="n">
        <v>2.27</v>
      </c>
      <c r="W144" s="243" t="n">
        <v>1.4</v>
      </c>
      <c r="X144" s="81" t="n">
        <v>0</v>
      </c>
      <c r="Y144" s="81" t="n"/>
      <c r="Z144" s="81" t="n"/>
      <c r="AA144" s="81" t="n"/>
      <c r="AB144" s="81" t="n"/>
      <c r="AC144" s="81" t="n"/>
      <c r="AD144" s="81" t="n"/>
      <c r="AE144" s="81" t="n"/>
      <c r="AF144" s="81" t="n"/>
      <c r="AG144" s="81" t="n"/>
      <c r="AH144" s="81" t="n"/>
      <c r="AI144" s="81" t="n"/>
      <c r="AJ144" s="244" t="n"/>
    </row>
    <row r="145">
      <c r="A145" s="597" t="n"/>
      <c r="B145" s="714" t="n">
        <v>29</v>
      </c>
      <c r="C145" s="593" t="n">
        <v>46</v>
      </c>
      <c r="D145" s="603" t="inlineStr">
        <is>
          <t>Soura 1</t>
        </is>
      </c>
      <c r="E145" s="343" t="inlineStr">
        <is>
          <t>Tibiri</t>
        </is>
      </c>
      <c r="F145" s="343" t="inlineStr">
        <is>
          <t>Intervention</t>
        </is>
      </c>
      <c r="G145" s="641" t="n">
        <v>2021</v>
      </c>
      <c r="H145" s="641" t="n">
        <v>2022</v>
      </c>
      <c r="I145" s="91" t="n">
        <v>1</v>
      </c>
      <c r="J145" s="456" t="n">
        <v>3</v>
      </c>
      <c r="K145" s="343" t="n">
        <v>42</v>
      </c>
      <c r="L145" s="346" t="n">
        <v>1</v>
      </c>
      <c r="M145" s="537" t="n"/>
      <c r="N145" s="559">
        <f>8/K145</f>
        <v/>
      </c>
      <c r="O145" s="559" t="n">
        <v>0.57</v>
      </c>
      <c r="P145" s="559" t="n">
        <v>0.92</v>
      </c>
      <c r="Q145" s="246" t="n"/>
      <c r="R145" s="246" t="n"/>
      <c r="S145" s="246" t="n"/>
      <c r="T145" s="246" t="n"/>
      <c r="U145" s="246" t="n">
        <v>8.779999999999999</v>
      </c>
      <c r="V145" s="246" t="n">
        <v>10.15</v>
      </c>
      <c r="W145" s="246" t="n">
        <v>3.99</v>
      </c>
      <c r="X145" s="91" t="n">
        <v>0</v>
      </c>
      <c r="Y145" s="91" t="n"/>
      <c r="Z145" s="91" t="n"/>
      <c r="AA145" s="91" t="n"/>
      <c r="AB145" s="91" t="n"/>
      <c r="AC145" s="91" t="n"/>
      <c r="AD145" s="91" t="n"/>
      <c r="AE145" s="91" t="n"/>
      <c r="AF145" s="91" t="n"/>
      <c r="AG145" s="91" t="n"/>
      <c r="AH145" s="91" t="n"/>
      <c r="AI145" s="91" t="n"/>
      <c r="AJ145" s="160" t="n"/>
    </row>
    <row r="146">
      <c r="A146" s="600" t="inlineStr">
        <is>
          <t>Goumar I</t>
        </is>
      </c>
      <c r="B146" s="698" t="n"/>
      <c r="C146" s="595" t="n">
        <v>85</v>
      </c>
      <c r="D146" s="600" t="inlineStr">
        <is>
          <t>Maza Tsaye I</t>
        </is>
      </c>
      <c r="E146" s="343" t="inlineStr">
        <is>
          <t>Tibiri</t>
        </is>
      </c>
      <c r="F146" s="350" t="inlineStr">
        <is>
          <t>Control</t>
        </is>
      </c>
      <c r="G146" s="55" t="n">
        <v>2021</v>
      </c>
      <c r="H146" s="649" t="n">
        <v>2022</v>
      </c>
      <c r="I146" s="62" t="n">
        <v>1</v>
      </c>
      <c r="J146" s="652" t="n">
        <v>4</v>
      </c>
      <c r="K146" s="350" t="n">
        <v>26</v>
      </c>
      <c r="L146" s="589" t="inlineStr">
        <is>
          <t>NA</t>
        </is>
      </c>
      <c r="M146" s="59" t="n"/>
      <c r="N146" s="562" t="n">
        <v>0</v>
      </c>
      <c r="O146" s="562" t="n">
        <v>0.77</v>
      </c>
      <c r="P146" s="562" t="n">
        <v>0.8</v>
      </c>
      <c r="Q146" s="242" t="n"/>
      <c r="R146" s="242" t="n"/>
      <c r="S146" s="242" t="n"/>
      <c r="T146" s="242" t="n"/>
      <c r="U146" s="242" t="n">
        <v>-0.57</v>
      </c>
      <c r="V146" s="242" t="n">
        <v>2.89</v>
      </c>
      <c r="W146" s="242" t="n">
        <v>0.8100000000000001</v>
      </c>
      <c r="X146" s="62" t="n">
        <v>0</v>
      </c>
      <c r="Y146" s="62" t="n"/>
      <c r="Z146" s="62" t="n"/>
      <c r="AA146" s="62" t="n"/>
      <c r="AB146" s="62" t="n"/>
      <c r="AC146" s="62" t="n"/>
      <c r="AD146" s="62" t="n"/>
      <c r="AE146" s="62" t="n"/>
      <c r="AF146" s="62" t="n"/>
      <c r="AG146" s="62" t="n"/>
      <c r="AH146" s="62" t="n"/>
      <c r="AI146" s="62" t="n"/>
      <c r="AJ146" s="162" t="n"/>
    </row>
    <row r="147">
      <c r="A147" s="353" t="n"/>
      <c r="B147" s="625" t="n">
        <v>30</v>
      </c>
      <c r="C147" s="616" t="n">
        <v>60</v>
      </c>
      <c r="D147" s="622" t="inlineStr">
        <is>
          <t>Tchikadji Centre</t>
        </is>
      </c>
      <c r="E147" s="357" t="inlineStr">
        <is>
          <t>Safo</t>
        </is>
      </c>
      <c r="F147" s="357" t="inlineStr">
        <is>
          <t>Intervention</t>
        </is>
      </c>
      <c r="G147" s="546" t="n">
        <v>2021</v>
      </c>
      <c r="H147" s="546" t="n">
        <v>2022</v>
      </c>
      <c r="I147" s="72" t="n">
        <v>1</v>
      </c>
      <c r="J147" s="359" t="n">
        <v>2</v>
      </c>
      <c r="K147" s="357" t="n">
        <v>37</v>
      </c>
      <c r="L147" s="360" t="n">
        <v>1</v>
      </c>
      <c r="M147" s="537" t="n"/>
      <c r="N147" s="561" t="n">
        <v>0</v>
      </c>
      <c r="O147" s="561" t="n">
        <v>0.68</v>
      </c>
      <c r="P147" s="561" t="n">
        <v>1</v>
      </c>
      <c r="Q147" s="255" t="n"/>
      <c r="R147" s="255" t="n"/>
      <c r="S147" s="255" t="n"/>
      <c r="T147" s="255" t="n"/>
      <c r="U147" s="255" t="n">
        <v>4.92</v>
      </c>
      <c r="V147" s="255" t="n">
        <v>6.59</v>
      </c>
      <c r="W147" s="255" t="n">
        <v>5.75</v>
      </c>
      <c r="X147" s="72" t="n">
        <v>0</v>
      </c>
      <c r="Y147" s="72" t="n"/>
      <c r="Z147" s="72" t="n"/>
      <c r="AA147" s="72" t="n"/>
      <c r="AB147" s="72" t="n"/>
      <c r="AC147" s="72" t="n"/>
      <c r="AD147" s="72" t="n"/>
      <c r="AE147" s="72" t="n"/>
      <c r="AF147" s="72" t="n"/>
      <c r="AG147" s="72" t="n"/>
      <c r="AH147" s="72" t="n"/>
      <c r="AI147" s="72" t="n"/>
      <c r="AJ147" s="163" t="n"/>
    </row>
    <row r="148">
      <c r="A148" s="659" t="n"/>
      <c r="B148" s="698" t="n"/>
      <c r="C148" s="619" t="n">
        <v>86</v>
      </c>
      <c r="D148" s="661" t="inlineStr">
        <is>
          <t>Kagara</t>
        </is>
      </c>
      <c r="E148" s="357" t="inlineStr">
        <is>
          <t>Safo</t>
        </is>
      </c>
      <c r="F148" s="364" t="inlineStr">
        <is>
          <t>Control</t>
        </is>
      </c>
      <c r="G148" s="77" t="n">
        <v>2021</v>
      </c>
      <c r="H148" s="549" t="n">
        <v>2022</v>
      </c>
      <c r="I148" s="81" t="n">
        <v>1</v>
      </c>
      <c r="J148" s="78" t="inlineStr">
        <is>
          <t>NA</t>
        </is>
      </c>
      <c r="K148" s="364" t="n">
        <v>26</v>
      </c>
      <c r="L148" s="592" t="inlineStr">
        <is>
          <t>NA</t>
        </is>
      </c>
      <c r="M148" s="59" t="n"/>
      <c r="N148" s="538" t="n">
        <v>0</v>
      </c>
      <c r="O148" s="538" t="n">
        <v>0.54</v>
      </c>
      <c r="P148" s="538" t="n">
        <v>0.86</v>
      </c>
      <c r="Q148" s="243" t="n"/>
      <c r="R148" s="243" t="n"/>
      <c r="S148" s="243" t="n"/>
      <c r="T148" s="243" t="n"/>
      <c r="U148" s="243" t="n">
        <v>5.58</v>
      </c>
      <c r="V148" s="243" t="n">
        <v>7.45</v>
      </c>
      <c r="W148" s="243" t="n">
        <v>6.51</v>
      </c>
      <c r="X148" s="81" t="n">
        <v>0</v>
      </c>
      <c r="Y148" s="81" t="n"/>
      <c r="Z148" s="81" t="n"/>
      <c r="AA148" s="81" t="n"/>
      <c r="AB148" s="81" t="n"/>
      <c r="AC148" s="81" t="n"/>
      <c r="AD148" s="81" t="n"/>
      <c r="AE148" s="81" t="n"/>
      <c r="AF148" s="81" t="n"/>
      <c r="AG148" s="81" t="n"/>
      <c r="AH148" s="81" t="n"/>
      <c r="AI148" s="81" t="n"/>
      <c r="AJ148" s="244" t="n"/>
    </row>
    <row r="149">
      <c r="A149" s="597" t="n"/>
      <c r="B149" s="714" t="n">
        <v>31</v>
      </c>
      <c r="C149" s="593" t="n">
        <v>61</v>
      </c>
      <c r="D149" s="603" t="inlineStr">
        <is>
          <t>Maradou Centre</t>
        </is>
      </c>
      <c r="E149" s="343" t="inlineStr">
        <is>
          <t>Safo</t>
        </is>
      </c>
      <c r="F149" s="343" t="inlineStr">
        <is>
          <t>Intervention</t>
        </is>
      </c>
      <c r="G149" s="641" t="n">
        <v>2021</v>
      </c>
      <c r="H149" s="641" t="n">
        <v>2022</v>
      </c>
      <c r="I149" s="91" t="n">
        <v>1</v>
      </c>
      <c r="J149" s="456" t="n">
        <v>2</v>
      </c>
      <c r="K149" s="343" t="n">
        <v>55</v>
      </c>
      <c r="L149" s="346" t="n">
        <v>1</v>
      </c>
      <c r="M149" s="537" t="n"/>
      <c r="N149" s="559">
        <f>8/K149</f>
        <v/>
      </c>
      <c r="O149" s="559" t="n">
        <v>0.38</v>
      </c>
      <c r="P149" s="559" t="n">
        <v>0.95</v>
      </c>
      <c r="Q149" s="246" t="n"/>
      <c r="R149" s="246" t="n"/>
      <c r="S149" s="246" t="n"/>
      <c r="T149" s="246" t="n"/>
      <c r="U149" s="246" t="n">
        <v>4.82</v>
      </c>
      <c r="V149" s="246" t="n">
        <v>4.95</v>
      </c>
      <c r="W149" s="246" t="n">
        <v>1.4</v>
      </c>
      <c r="X149" s="91" t="n">
        <v>0</v>
      </c>
      <c r="Y149" s="91" t="n"/>
      <c r="Z149" s="91" t="n"/>
      <c r="AA149" s="91" t="n"/>
      <c r="AB149" s="91" t="n"/>
      <c r="AC149" s="91" t="n"/>
      <c r="AD149" s="91" t="n"/>
      <c r="AE149" s="91" t="n"/>
      <c r="AF149" s="91" t="n"/>
      <c r="AG149" s="91" t="n"/>
      <c r="AH149" s="91" t="n"/>
      <c r="AI149" s="91" t="n"/>
      <c r="AJ149" s="160" t="n"/>
    </row>
    <row r="150">
      <c r="A150" s="618" t="n"/>
      <c r="B150" s="698" t="n"/>
      <c r="C150" s="595" t="n">
        <v>87</v>
      </c>
      <c r="D150" s="600" t="inlineStr">
        <is>
          <t>Radi Quartier</t>
        </is>
      </c>
      <c r="E150" s="343" t="inlineStr">
        <is>
          <t>Safo</t>
        </is>
      </c>
      <c r="F150" s="350" t="inlineStr">
        <is>
          <t>Control</t>
        </is>
      </c>
      <c r="G150" s="55" t="n">
        <v>2021</v>
      </c>
      <c r="H150" s="649" t="n">
        <v>2022</v>
      </c>
      <c r="I150" s="62" t="n">
        <v>1</v>
      </c>
      <c r="J150" s="56" t="inlineStr">
        <is>
          <t>NA</t>
        </is>
      </c>
      <c r="K150" s="350" t="n">
        <v>40</v>
      </c>
      <c r="L150" s="589" t="inlineStr">
        <is>
          <t>NA</t>
        </is>
      </c>
      <c r="M150" s="59" t="n"/>
      <c r="N150" s="562" t="n">
        <v>0</v>
      </c>
      <c r="O150" s="562" t="n">
        <v>0.65</v>
      </c>
      <c r="P150" s="562" t="n">
        <v>0.53</v>
      </c>
      <c r="Q150" s="242" t="n"/>
      <c r="R150" s="242" t="n"/>
      <c r="S150" s="242" t="n"/>
      <c r="T150" s="242" t="n"/>
      <c r="U150" s="242" t="n">
        <v>0.19</v>
      </c>
      <c r="V150" s="242" t="n">
        <v>1.88</v>
      </c>
      <c r="W150" s="242" t="n">
        <v>0.34</v>
      </c>
      <c r="X150" s="62" t="n">
        <v>0</v>
      </c>
      <c r="Y150" s="62" t="n"/>
      <c r="Z150" s="62" t="n"/>
      <c r="AA150" s="62" t="n"/>
      <c r="AB150" s="62" t="n"/>
      <c r="AC150" s="62" t="n"/>
      <c r="AD150" s="62" t="n"/>
      <c r="AE150" s="62" t="n"/>
      <c r="AF150" s="62" t="n"/>
      <c r="AG150" s="62" t="n"/>
      <c r="AH150" s="62" t="n"/>
      <c r="AI150" s="62" t="n"/>
      <c r="AJ150" s="162" t="n"/>
    </row>
    <row r="151">
      <c r="A151" s="95" t="n"/>
      <c r="B151" s="95" t="n"/>
      <c r="C151" s="95" t="n"/>
      <c r="D151" s="95" t="n"/>
      <c r="E151" s="95" t="n"/>
      <c r="F151" s="95" t="n"/>
      <c r="G151" s="95" t="n"/>
      <c r="H151" s="95" t="n"/>
      <c r="I151" s="95" t="n"/>
      <c r="J151" s="95" t="n"/>
      <c r="K151" s="95" t="n"/>
      <c r="L151" s="99" t="n"/>
      <c r="M151" s="100" t="n"/>
      <c r="N151" s="100" t="n"/>
      <c r="O151" s="100" t="n"/>
      <c r="P151" s="100" t="n"/>
      <c r="Q151" s="100" t="n"/>
      <c r="R151" s="100" t="n"/>
      <c r="S151" s="100" t="n"/>
      <c r="T151" s="100" t="n"/>
      <c r="U151" s="100" t="n"/>
      <c r="V151" s="100" t="n"/>
      <c r="W151" s="100" t="n"/>
      <c r="X151" s="100" t="n"/>
      <c r="Y151" s="100" t="n"/>
      <c r="Z151" s="100" t="n"/>
      <c r="AA151" s="100" t="n"/>
      <c r="AB151" s="100" t="n"/>
      <c r="AC151" s="100" t="n"/>
      <c r="AD151" s="100" t="n"/>
      <c r="AE151" s="100" t="n"/>
      <c r="AF151" s="100" t="n"/>
      <c r="AG151" s="100" t="n"/>
      <c r="AH151" s="100" t="n"/>
      <c r="AI151" s="100" t="n"/>
      <c r="AJ151" s="100" t="n"/>
    </row>
    <row r="152">
      <c r="A152" s="204" t="inlineStr">
        <is>
          <t>COHORT 5 CM2 2022-2023</t>
        </is>
      </c>
      <c r="B152" s="95" t="n"/>
      <c r="C152" s="95" t="n"/>
      <c r="D152" s="95" t="n"/>
      <c r="E152" s="95" t="n"/>
      <c r="F152" s="95" t="n"/>
      <c r="G152" s="95" t="n"/>
      <c r="H152" s="95" t="n"/>
      <c r="I152" s="95" t="n"/>
      <c r="J152" s="95" t="n"/>
      <c r="K152" s="95" t="n"/>
      <c r="L152" s="99" t="n"/>
      <c r="M152" s="100" t="n"/>
      <c r="N152" s="100" t="n"/>
      <c r="O152" s="100" t="n"/>
      <c r="P152" s="100" t="n"/>
      <c r="Q152" s="100" t="n"/>
      <c r="R152" s="100" t="n"/>
      <c r="S152" s="100" t="n"/>
      <c r="T152" s="100" t="n"/>
      <c r="U152" s="100" t="n"/>
      <c r="V152" s="100" t="n"/>
      <c r="W152" s="100" t="n"/>
      <c r="X152" s="207" t="inlineStr">
        <is>
          <t>Hasken Mata cohorte 2</t>
        </is>
      </c>
      <c r="Y152" s="100" t="n"/>
      <c r="Z152" s="100" t="n"/>
      <c r="AA152" s="100" t="n"/>
      <c r="AB152" s="100" t="n"/>
      <c r="AC152" s="100" t="n"/>
      <c r="AD152" s="100" t="n"/>
      <c r="AE152" s="100" t="n"/>
      <c r="AF152" s="100" t="n"/>
      <c r="AG152" s="100" t="n"/>
      <c r="AH152" s="100" t="n"/>
      <c r="AI152" s="100" t="n"/>
      <c r="AJ152" s="100" t="n"/>
    </row>
    <row r="153">
      <c r="A153" s="597" t="n"/>
      <c r="B153" s="714" t="n">
        <v>1</v>
      </c>
      <c r="C153" s="336" t="n">
        <v>88</v>
      </c>
      <c r="D153" s="336" t="inlineStr">
        <is>
          <t>Louloubi</t>
        </is>
      </c>
      <c r="E153" s="338" t="inlineStr">
        <is>
          <t>Sae Saboua</t>
        </is>
      </c>
      <c r="F153" s="343" t="inlineStr">
        <is>
          <t>Intervention</t>
        </is>
      </c>
      <c r="G153" s="641" t="n">
        <v>2022</v>
      </c>
      <c r="H153" s="641" t="n">
        <v>2023</v>
      </c>
      <c r="I153" s="456" t="n">
        <v>1</v>
      </c>
      <c r="J153" s="456" t="n">
        <v>1</v>
      </c>
      <c r="K153" s="343" t="n">
        <v>25</v>
      </c>
      <c r="L153" s="346" t="n">
        <v>2</v>
      </c>
      <c r="M153" s="537" t="n"/>
      <c r="N153" s="89" t="n"/>
      <c r="O153" s="89" t="n"/>
      <c r="P153" s="89" t="n"/>
      <c r="Q153" s="246" t="n"/>
      <c r="R153" s="246" t="n"/>
      <c r="S153" s="246" t="n"/>
      <c r="T153" s="246" t="n"/>
      <c r="U153" s="246" t="n">
        <v>4.71</v>
      </c>
      <c r="V153" s="246" t="n">
        <v>7.42</v>
      </c>
      <c r="W153" s="246" t="n">
        <v>6.06</v>
      </c>
      <c r="X153" s="520" t="n">
        <v>1</v>
      </c>
    </row>
    <row r="154">
      <c r="A154" s="600" t="n"/>
      <c r="B154" s="698" t="n"/>
      <c r="C154" s="348" t="n">
        <v>89</v>
      </c>
      <c r="D154" s="349" t="inlineStr">
        <is>
          <t xml:space="preserve">Karambi Sofoua </t>
        </is>
      </c>
      <c r="E154" s="338" t="inlineStr">
        <is>
          <t>Sae Saboua</t>
        </is>
      </c>
      <c r="F154" s="350" t="inlineStr">
        <is>
          <t>Control</t>
        </is>
      </c>
      <c r="G154" s="55" t="n">
        <v>2022</v>
      </c>
      <c r="H154" s="649" t="n">
        <v>2023</v>
      </c>
      <c r="I154" s="652" t="n">
        <v>1</v>
      </c>
      <c r="J154" s="652" t="inlineStr">
        <is>
          <t>NA</t>
        </is>
      </c>
      <c r="K154" s="350" t="n">
        <v>18</v>
      </c>
      <c r="L154" s="589" t="inlineStr">
        <is>
          <t>NA</t>
        </is>
      </c>
      <c r="M154" s="59" t="n"/>
      <c r="N154" s="80" t="n"/>
      <c r="O154" s="80" t="n"/>
      <c r="P154" s="80" t="n"/>
      <c r="Q154" s="242" t="n"/>
      <c r="R154" s="242" t="n"/>
      <c r="S154" s="242" t="n"/>
      <c r="T154" s="242" t="n"/>
      <c r="U154" s="242" t="n">
        <v>7.58</v>
      </c>
      <c r="V154" s="242" t="n">
        <v>3.89</v>
      </c>
      <c r="W154" s="242" t="n">
        <v>5.74</v>
      </c>
      <c r="X154" s="520" t="n">
        <v>0</v>
      </c>
    </row>
    <row r="155">
      <c r="A155" s="353" t="n"/>
      <c r="B155" s="625" t="n">
        <v>2</v>
      </c>
      <c r="C155" s="355" t="n">
        <v>90</v>
      </c>
      <c r="D155" s="622" t="inlineStr">
        <is>
          <t xml:space="preserve">Kadata </t>
        </is>
      </c>
      <c r="E155" s="357" t="inlineStr">
        <is>
          <t>Sae Saboua</t>
        </is>
      </c>
      <c r="F155" s="357" t="inlineStr">
        <is>
          <t>Intervention</t>
        </is>
      </c>
      <c r="G155" s="546" t="n">
        <v>2022</v>
      </c>
      <c r="H155" s="546" t="n">
        <v>2023</v>
      </c>
      <c r="I155" s="359" t="n">
        <v>1</v>
      </c>
      <c r="J155" s="359" t="n">
        <v>1</v>
      </c>
      <c r="K155" s="357" t="n">
        <v>17</v>
      </c>
      <c r="L155" s="360" t="n">
        <v>2</v>
      </c>
      <c r="M155" s="537" t="n"/>
      <c r="N155" s="89" t="n"/>
      <c r="O155" s="89" t="n"/>
      <c r="P155" s="89" t="n"/>
      <c r="Q155" s="255" t="n"/>
      <c r="R155" s="255" t="n"/>
      <c r="S155" s="255" t="n"/>
      <c r="T155" s="255" t="n"/>
      <c r="U155" s="255" t="n">
        <v>8</v>
      </c>
      <c r="V155" s="255" t="n">
        <v>5.12</v>
      </c>
      <c r="W155" s="255" t="n">
        <v>6.56</v>
      </c>
      <c r="X155" s="520" t="n">
        <v>1</v>
      </c>
    </row>
    <row r="156">
      <c r="A156" s="659" t="n"/>
      <c r="B156" s="698" t="n"/>
      <c r="C156" s="362" t="n">
        <v>91</v>
      </c>
      <c r="D156" s="623" t="inlineStr">
        <is>
          <t>Mountarou 1</t>
        </is>
      </c>
      <c r="E156" s="364" t="inlineStr">
        <is>
          <t>Sae Saboua</t>
        </is>
      </c>
      <c r="F156" s="364" t="inlineStr">
        <is>
          <t>Control</t>
        </is>
      </c>
      <c r="G156" s="77" t="n">
        <v>2022</v>
      </c>
      <c r="H156" s="549" t="n">
        <v>2023</v>
      </c>
      <c r="I156" s="78" t="n">
        <v>1</v>
      </c>
      <c r="J156" s="78" t="inlineStr">
        <is>
          <t>NA</t>
        </is>
      </c>
      <c r="K156" s="364" t="n">
        <v>17</v>
      </c>
      <c r="L156" s="592" t="inlineStr">
        <is>
          <t>NA</t>
        </is>
      </c>
      <c r="M156" s="59" t="n"/>
      <c r="N156" s="80" t="n"/>
      <c r="O156" s="80" t="n"/>
      <c r="P156" s="80" t="n"/>
      <c r="Q156" s="243" t="n"/>
      <c r="R156" s="243" t="n"/>
      <c r="S156" s="243" t="n"/>
      <c r="T156" s="243" t="n"/>
      <c r="U156" s="243" t="n">
        <v>8.06</v>
      </c>
      <c r="V156" s="243" t="n">
        <v>5.29</v>
      </c>
      <c r="W156" s="243" t="n">
        <v>6.68</v>
      </c>
      <c r="X156" s="520" t="n">
        <v>1</v>
      </c>
    </row>
    <row r="157">
      <c r="A157" s="597" t="n"/>
      <c r="B157" s="714" t="n">
        <v>3</v>
      </c>
      <c r="C157" s="368" t="n">
        <v>92</v>
      </c>
      <c r="D157" s="603" t="inlineStr">
        <is>
          <t xml:space="preserve">Barouana </t>
        </is>
      </c>
      <c r="E157" s="343" t="inlineStr">
        <is>
          <t>Sae Saboua</t>
        </is>
      </c>
      <c r="F157" s="343" t="inlineStr">
        <is>
          <t>Intervention</t>
        </is>
      </c>
      <c r="G157" s="641" t="n">
        <v>2022</v>
      </c>
      <c r="H157" s="641" t="n">
        <v>2023</v>
      </c>
      <c r="I157" s="456" t="n">
        <v>1</v>
      </c>
      <c r="J157" s="456" t="n">
        <v>1</v>
      </c>
      <c r="K157" s="343" t="n">
        <v>35</v>
      </c>
      <c r="L157" s="346" t="n">
        <v>2</v>
      </c>
      <c r="M157" s="537" t="n"/>
      <c r="N157" s="89" t="n"/>
      <c r="O157" s="89" t="n"/>
      <c r="P157" s="89" t="n"/>
      <c r="Q157" s="246" t="n"/>
      <c r="R157" s="246" t="n"/>
      <c r="S157" s="246" t="n"/>
      <c r="T157" s="246" t="n"/>
      <c r="U157" s="246" t="n">
        <v>3.25</v>
      </c>
      <c r="V157" s="246" t="n">
        <v>5.81</v>
      </c>
      <c r="W157" s="246" t="n">
        <v>4.53</v>
      </c>
      <c r="X157" s="520" t="n">
        <v>0</v>
      </c>
    </row>
    <row r="158">
      <c r="A158" s="618" t="n"/>
      <c r="B158" s="698" t="n"/>
      <c r="C158" s="371" t="n">
        <v>93</v>
      </c>
      <c r="D158" s="600" t="inlineStr">
        <is>
          <t>Mata Milki</t>
        </is>
      </c>
      <c r="E158" s="343" t="inlineStr">
        <is>
          <t>Sae Saboua</t>
        </is>
      </c>
      <c r="F158" s="350" t="inlineStr">
        <is>
          <t>Control</t>
        </is>
      </c>
      <c r="G158" s="55" t="n">
        <v>2022</v>
      </c>
      <c r="H158" s="649" t="n">
        <v>2023</v>
      </c>
      <c r="I158" s="56" t="n">
        <v>1</v>
      </c>
      <c r="J158" s="56" t="inlineStr">
        <is>
          <t>NA</t>
        </is>
      </c>
      <c r="K158" s="350" t="n">
        <v>21</v>
      </c>
      <c r="L158" s="589" t="inlineStr">
        <is>
          <t>NA</t>
        </is>
      </c>
      <c r="M158" s="59" t="n"/>
      <c r="N158" s="80" t="n"/>
      <c r="O158" s="80" t="n"/>
      <c r="P158" s="80" t="n"/>
      <c r="Q158" s="242" t="n"/>
      <c r="R158" s="242" t="n"/>
      <c r="S158" s="242" t="n"/>
      <c r="T158" s="242" t="n"/>
      <c r="U158" s="242" t="n">
        <v>9.550000000000001</v>
      </c>
      <c r="V158" s="242" t="n">
        <v>5.01</v>
      </c>
      <c r="W158" s="242" t="n">
        <v>7.28</v>
      </c>
      <c r="X158" s="520" t="n">
        <v>0</v>
      </c>
    </row>
    <row r="159">
      <c r="A159" s="372" t="inlineStr">
        <is>
          <t>synthetic' controls:  control schools from Hilin Mu Cohort 5 schools which had girls in CM1.</t>
        </is>
      </c>
      <c r="B159" s="95" t="n"/>
      <c r="C159" s="95" t="n"/>
      <c r="D159" s="95" t="n"/>
      <c r="E159" s="95" t="n"/>
      <c r="F159" s="95" t="n"/>
      <c r="G159" s="95" t="n"/>
      <c r="H159" s="95" t="n"/>
      <c r="I159" s="95" t="n"/>
      <c r="J159" s="95" t="n"/>
      <c r="K159" s="95" t="n"/>
      <c r="L159" s="99" t="n"/>
      <c r="M159" s="100" t="n"/>
      <c r="N159" s="100" t="n"/>
      <c r="O159" s="100" t="n"/>
      <c r="P159" s="100" t="n"/>
      <c r="Q159" s="100" t="n"/>
      <c r="R159" s="100" t="n"/>
      <c r="S159" s="100" t="n"/>
      <c r="T159" s="100" t="n"/>
      <c r="U159" s="100" t="n"/>
      <c r="V159" s="100" t="n"/>
      <c r="W159" s="100" t="n"/>
      <c r="X159" s="100" t="n"/>
      <c r="Y159" s="100" t="n"/>
      <c r="Z159" s="100" t="n"/>
      <c r="AA159" s="100" t="n"/>
      <c r="AB159" s="100" t="n"/>
      <c r="AC159" s="100" t="n"/>
      <c r="AD159" s="100" t="n"/>
      <c r="AE159" s="100" t="n"/>
      <c r="AF159" s="100" t="n"/>
    </row>
    <row r="160" ht="28.5" customHeight="1" s="695">
      <c r="A160" s="204" t="inlineStr">
        <is>
          <t>COHORT 6 CM2 2023-2024</t>
        </is>
      </c>
      <c r="B160" s="95" t="n"/>
      <c r="C160" s="95" t="n"/>
      <c r="D160" s="95" t="n"/>
      <c r="E160" s="95" t="n"/>
      <c r="F160" s="95" t="n"/>
      <c r="G160" s="95" t="n"/>
      <c r="H160" s="95" t="n"/>
      <c r="I160" s="95" t="n"/>
      <c r="J160" s="95" t="n"/>
      <c r="K160" s="95" t="n"/>
      <c r="L160" s="99" t="n"/>
      <c r="M160" s="100" t="n"/>
      <c r="N160" s="100" t="n"/>
      <c r="O160" s="100" t="n"/>
      <c r="P160" s="100" t="n"/>
      <c r="Q160" s="100" t="n"/>
      <c r="R160" s="100" t="n"/>
      <c r="S160" s="100" t="n"/>
      <c r="T160" s="100" t="n"/>
      <c r="U160" s="100" t="n"/>
      <c r="V160" s="100" t="n"/>
      <c r="W160" s="100" t="n"/>
      <c r="X160" s="207" t="inlineStr">
        <is>
          <t xml:space="preserve">Hasken Mata cohorte 3 </t>
        </is>
      </c>
      <c r="Y160" s="100" t="n"/>
      <c r="Z160" s="100" t="n"/>
      <c r="AA160" s="100" t="n"/>
      <c r="AB160" s="100" t="n"/>
      <c r="AC160" s="100" t="n"/>
      <c r="AD160" s="100" t="n"/>
      <c r="AE160" s="100" t="n"/>
      <c r="AF160" s="100" t="n"/>
    </row>
    <row r="161">
      <c r="A161" s="434" t="n"/>
      <c r="B161" s="717" t="n">
        <v>1</v>
      </c>
      <c r="C161" s="41" t="n">
        <v>1</v>
      </c>
      <c r="D161" s="41" t="inlineStr">
        <is>
          <t>Katare Guidan Ousmane 1</t>
        </is>
      </c>
      <c r="E161" s="662" t="inlineStr">
        <is>
          <t>Tibiri</t>
        </is>
      </c>
      <c r="F161" s="343" t="inlineStr">
        <is>
          <t>Intervention</t>
        </is>
      </c>
      <c r="G161" s="87" t="n">
        <v>2023</v>
      </c>
      <c r="H161" s="87" t="n">
        <v>2024</v>
      </c>
      <c r="I161" s="439" t="n">
        <v>6</v>
      </c>
      <c r="J161" s="439" t="n">
        <v>2</v>
      </c>
      <c r="K161" s="87" t="n">
        <v>34</v>
      </c>
      <c r="L161" s="439" t="n">
        <v>2</v>
      </c>
      <c r="M161" s="408" t="n"/>
      <c r="N161" s="436" t="n">
        <v>0</v>
      </c>
      <c r="O161" s="436" t="n">
        <v>1</v>
      </c>
      <c r="P161" s="233" t="n"/>
      <c r="Q161" s="439" t="n"/>
      <c r="R161" s="439" t="n"/>
      <c r="S161" s="439" t="n"/>
      <c r="T161" s="439" t="n"/>
      <c r="U161" s="439" t="n">
        <v>10.07</v>
      </c>
      <c r="V161" s="439" t="n">
        <v>12.93</v>
      </c>
      <c r="W161" s="452" t="n">
        <v>11.5</v>
      </c>
      <c r="X161" s="439" t="n">
        <v>0</v>
      </c>
      <c r="Y161" s="439" t="n"/>
      <c r="Z161" s="439" t="n"/>
      <c r="AA161" s="439" t="n"/>
      <c r="AB161" s="439" t="n"/>
      <c r="AC161" s="439" t="n"/>
      <c r="AD161" s="439" t="n"/>
      <c r="AE161" s="439" t="n"/>
      <c r="AF161" s="439" t="n"/>
      <c r="AG161" s="439" t="n"/>
      <c r="AH161" s="439" t="n"/>
      <c r="AI161" s="439" t="n"/>
      <c r="AJ161" s="440" t="n"/>
    </row>
    <row r="162">
      <c r="A162" s="441" t="n"/>
      <c r="B162" s="698" t="n"/>
      <c r="C162" s="56" t="n"/>
      <c r="D162" s="56" t="inlineStr">
        <is>
          <t>Kara Kara 3</t>
        </is>
      </c>
      <c r="E162" s="662" t="inlineStr">
        <is>
          <t>Tibiri</t>
        </is>
      </c>
      <c r="F162" s="56" t="inlineStr">
        <is>
          <t>Control</t>
        </is>
      </c>
      <c r="G162" s="56" t="n">
        <v>2023</v>
      </c>
      <c r="H162" s="56" t="n">
        <v>2024</v>
      </c>
      <c r="I162" s="56" t="inlineStr">
        <is>
          <t>NA</t>
        </is>
      </c>
      <c r="J162" s="56" t="inlineStr">
        <is>
          <t>NA</t>
        </is>
      </c>
      <c r="K162" s="56" t="n">
        <v>46</v>
      </c>
      <c r="L162" s="56" t="inlineStr">
        <is>
          <t>NA</t>
        </is>
      </c>
      <c r="M162" s="428" t="n"/>
      <c r="N162" s="451" t="n">
        <v>0.0435</v>
      </c>
      <c r="O162" s="451" t="n">
        <v>0.2045</v>
      </c>
      <c r="P162" s="444" t="n"/>
      <c r="Q162" s="56" t="n"/>
      <c r="R162" s="56" t="n"/>
      <c r="S162" s="56" t="n"/>
      <c r="T162" s="56" t="n"/>
      <c r="U162" s="56" t="inlineStr">
        <is>
          <t>NA</t>
        </is>
      </c>
      <c r="V162" s="56" t="inlineStr">
        <is>
          <t>NA</t>
        </is>
      </c>
      <c r="W162" s="56" t="inlineStr">
        <is>
          <t>NA</t>
        </is>
      </c>
      <c r="X162" s="445" t="n">
        <v>0</v>
      </c>
      <c r="Y162" s="445" t="n"/>
      <c r="Z162" s="445" t="n"/>
      <c r="AA162" s="445" t="n"/>
      <c r="AB162" s="445" t="n"/>
      <c r="AC162" s="445" t="n"/>
      <c r="AD162" s="445" t="n"/>
      <c r="AE162" s="445" t="n"/>
      <c r="AF162" s="445" t="n"/>
      <c r="AG162" s="445" t="n"/>
      <c r="AH162" s="445" t="n"/>
      <c r="AI162" s="445" t="n"/>
      <c r="AJ162" s="446" t="n"/>
    </row>
    <row r="163">
      <c r="A163" s="406" t="n"/>
      <c r="B163" s="718" t="n">
        <v>2</v>
      </c>
      <c r="C163" s="411" t="n">
        <v>2</v>
      </c>
      <c r="D163" s="411" t="inlineStr">
        <is>
          <t xml:space="preserve">Soura 3 </t>
        </is>
      </c>
      <c r="E163" s="357" t="inlineStr">
        <is>
          <t>Tibiri</t>
        </is>
      </c>
      <c r="F163" s="357" t="inlineStr">
        <is>
          <t>Intervention</t>
        </is>
      </c>
      <c r="G163" s="68" t="n">
        <v>2023</v>
      </c>
      <c r="H163" s="68" t="n">
        <v>2024</v>
      </c>
      <c r="I163" s="411" t="n">
        <v>5</v>
      </c>
      <c r="J163" s="411" t="n">
        <v>1</v>
      </c>
      <c r="K163" s="68" t="n">
        <v>16</v>
      </c>
      <c r="L163" s="411" t="n">
        <v>2</v>
      </c>
      <c r="M163" s="408" t="n"/>
      <c r="N163" s="409">
        <f>1/16</f>
        <v/>
      </c>
      <c r="O163" s="409">
        <f>15/16</f>
        <v/>
      </c>
      <c r="P163" s="233" t="n"/>
      <c r="Q163" s="411" t="n"/>
      <c r="R163" s="411" t="n"/>
      <c r="S163" s="411" t="n"/>
      <c r="T163" s="411" t="n"/>
      <c r="U163" s="411" t="n">
        <v>5.92</v>
      </c>
      <c r="V163" s="411" t="n">
        <v>10.75</v>
      </c>
      <c r="W163" s="411" t="n">
        <v>8.33</v>
      </c>
      <c r="X163" s="411" t="n">
        <v>0</v>
      </c>
      <c r="Y163" s="411" t="n"/>
      <c r="Z163" s="411" t="n"/>
      <c r="AA163" s="411" t="n"/>
      <c r="AB163" s="411" t="n"/>
      <c r="AC163" s="411" t="n"/>
      <c r="AD163" s="411" t="n"/>
      <c r="AE163" s="411" t="n"/>
      <c r="AF163" s="411" t="n"/>
      <c r="AG163" s="411" t="n"/>
      <c r="AH163" s="411" t="n"/>
      <c r="AI163" s="411" t="n"/>
      <c r="AJ163" s="412" t="n"/>
    </row>
    <row r="164">
      <c r="A164" s="426" t="n"/>
      <c r="B164" s="698" t="n"/>
      <c r="C164" s="78" t="n"/>
      <c r="D164" s="78" t="inlineStr">
        <is>
          <t>Yan Zango</t>
        </is>
      </c>
      <c r="E164" s="663" t="inlineStr">
        <is>
          <t>Tibiri</t>
        </is>
      </c>
      <c r="F164" s="78" t="inlineStr">
        <is>
          <t>Control</t>
        </is>
      </c>
      <c r="G164" s="78" t="n">
        <v>2023</v>
      </c>
      <c r="H164" s="78" t="n">
        <v>2024</v>
      </c>
      <c r="I164" s="78" t="inlineStr">
        <is>
          <t>NA</t>
        </is>
      </c>
      <c r="J164" s="78" t="inlineStr">
        <is>
          <t>NA</t>
        </is>
      </c>
      <c r="K164" s="78" t="n">
        <v>14</v>
      </c>
      <c r="L164" s="78" t="inlineStr">
        <is>
          <t>NA</t>
        </is>
      </c>
      <c r="M164" s="428" t="n"/>
      <c r="N164" s="429" t="n">
        <v>0</v>
      </c>
      <c r="O164" s="430" t="n">
        <v>0.2143</v>
      </c>
      <c r="P164" s="444" t="n"/>
      <c r="Q164" s="78" t="n"/>
      <c r="R164" s="78" t="n"/>
      <c r="S164" s="78" t="n"/>
      <c r="T164" s="78" t="n"/>
      <c r="U164" s="78" t="inlineStr">
        <is>
          <t>NA</t>
        </is>
      </c>
      <c r="V164" s="78" t="inlineStr">
        <is>
          <t>NA</t>
        </is>
      </c>
      <c r="W164" s="78" t="inlineStr">
        <is>
          <t>NA</t>
        </is>
      </c>
      <c r="X164" s="432" t="n">
        <v>0</v>
      </c>
      <c r="Y164" s="432" t="n"/>
      <c r="Z164" s="432" t="n"/>
      <c r="AA164" s="432" t="n"/>
      <c r="AB164" s="432" t="n"/>
      <c r="AC164" s="432" t="n"/>
      <c r="AD164" s="432" t="n"/>
      <c r="AE164" s="432" t="n"/>
      <c r="AF164" s="432" t="n"/>
      <c r="AG164" s="432" t="n"/>
      <c r="AH164" s="432" t="n"/>
      <c r="AI164" s="432" t="n"/>
      <c r="AJ164" s="433" t="n"/>
    </row>
    <row r="165">
      <c r="A165" s="664" t="n"/>
      <c r="B165" s="737" t="n">
        <v>3</v>
      </c>
      <c r="C165" s="671" t="n">
        <v>3</v>
      </c>
      <c r="D165" s="671" t="inlineStr">
        <is>
          <t xml:space="preserve">Katare Guidan Ousmane 2 </t>
        </is>
      </c>
      <c r="E165" s="663" t="inlineStr">
        <is>
          <t>Tibiri</t>
        </is>
      </c>
      <c r="F165" s="343" t="inlineStr">
        <is>
          <t>Intervention</t>
        </is>
      </c>
      <c r="G165" s="87" t="n">
        <v>2023</v>
      </c>
      <c r="H165" s="87" t="n">
        <v>2024</v>
      </c>
      <c r="I165" s="671" t="n">
        <v>6</v>
      </c>
      <c r="J165" s="671" t="n">
        <v>2</v>
      </c>
      <c r="K165" s="667" t="n">
        <v>27</v>
      </c>
      <c r="L165" s="671" t="n">
        <v>2</v>
      </c>
      <c r="M165" s="668" t="n"/>
      <c r="N165" s="669" t="n">
        <v>0</v>
      </c>
      <c r="O165" s="669" t="n">
        <v>1</v>
      </c>
      <c r="P165" s="670" t="n"/>
      <c r="Q165" s="671" t="n"/>
      <c r="R165" s="671" t="n"/>
      <c r="S165" s="671" t="n"/>
      <c r="T165" s="671" t="n"/>
      <c r="U165" s="671" t="n">
        <v>10.52</v>
      </c>
      <c r="V165" s="671" t="n">
        <v>11.92</v>
      </c>
      <c r="W165" s="671" t="n">
        <v>11.22</v>
      </c>
      <c r="X165" s="671" t="n">
        <v>0</v>
      </c>
      <c r="Y165" s="671" t="n"/>
      <c r="Z165" s="671" t="n"/>
      <c r="AA165" s="671" t="n"/>
      <c r="AB165" s="671" t="n"/>
      <c r="AC165" s="671" t="n"/>
      <c r="AD165" s="671" t="n"/>
      <c r="AE165" s="671" t="n"/>
      <c r="AF165" s="671" t="n"/>
      <c r="AG165" s="671" t="n"/>
      <c r="AH165" s="671" t="n"/>
      <c r="AI165" s="671" t="n"/>
      <c r="AJ165" s="672" t="n"/>
    </row>
    <row r="166">
      <c r="A166" s="673" t="n"/>
      <c r="B166" s="738" t="n"/>
      <c r="C166" s="448" t="n"/>
      <c r="D166" s="448" t="inlineStr">
        <is>
          <t>Garin Malan Hamza</t>
        </is>
      </c>
      <c r="E166" s="448" t="inlineStr">
        <is>
          <t>Tibiri</t>
        </is>
      </c>
      <c r="F166" s="448" t="inlineStr">
        <is>
          <t>Control</t>
        </is>
      </c>
      <c r="G166" s="448" t="n">
        <v>2023</v>
      </c>
      <c r="H166" s="448" t="n">
        <v>2024</v>
      </c>
      <c r="I166" s="442" t="inlineStr">
        <is>
          <t>NA</t>
        </is>
      </c>
      <c r="J166" s="442" t="inlineStr">
        <is>
          <t>NA</t>
        </is>
      </c>
      <c r="K166" s="442" t="inlineStr">
        <is>
          <t>NA</t>
        </is>
      </c>
      <c r="L166" s="675" t="inlineStr">
        <is>
          <t>NA</t>
        </is>
      </c>
      <c r="M166" s="675" t="n"/>
      <c r="N166" s="675" t="inlineStr">
        <is>
          <t>NA</t>
        </is>
      </c>
      <c r="O166" s="675" t="inlineStr">
        <is>
          <t>NA</t>
        </is>
      </c>
      <c r="P166" s="675" t="n"/>
      <c r="Q166" s="448" t="n"/>
      <c r="R166" s="448" t="n"/>
      <c r="S166" s="448" t="n"/>
      <c r="T166" s="448" t="n"/>
      <c r="U166" s="448" t="inlineStr">
        <is>
          <t>NA</t>
        </is>
      </c>
      <c r="V166" s="448" t="inlineStr">
        <is>
          <t>NA</t>
        </is>
      </c>
      <c r="W166" s="448" t="inlineStr">
        <is>
          <t>NA</t>
        </is>
      </c>
      <c r="X166" s="677" t="n">
        <v>0</v>
      </c>
      <c r="Y166" s="677" t="n"/>
      <c r="Z166" s="677" t="n"/>
      <c r="AA166" s="677" t="n"/>
      <c r="AB166" s="677" t="n"/>
      <c r="AC166" s="677" t="n"/>
      <c r="AD166" s="677" t="n"/>
      <c r="AE166" s="677" t="n"/>
      <c r="AF166" s="677" t="n"/>
      <c r="AG166" s="677" t="n"/>
      <c r="AH166" s="677" t="n"/>
      <c r="AI166" s="677" t="n"/>
      <c r="AJ166" s="678" t="n"/>
    </row>
    <row r="167">
      <c r="A167" s="406" t="n"/>
      <c r="B167" s="718" t="n">
        <v>4</v>
      </c>
      <c r="C167" s="411" t="n">
        <v>5</v>
      </c>
      <c r="D167" s="411" t="inlineStr">
        <is>
          <t xml:space="preserve">Tibiri Nord 3 </t>
        </is>
      </c>
      <c r="E167" s="357" t="inlineStr">
        <is>
          <t>Tibiri</t>
        </is>
      </c>
      <c r="F167" s="357" t="inlineStr">
        <is>
          <t>Intervention</t>
        </is>
      </c>
      <c r="G167" s="68" t="n">
        <v>2023</v>
      </c>
      <c r="H167" s="68" t="n">
        <v>2024</v>
      </c>
      <c r="I167" s="411" t="n">
        <v>6</v>
      </c>
      <c r="J167" s="411" t="n">
        <v>2</v>
      </c>
      <c r="K167" s="68" t="n">
        <v>24</v>
      </c>
      <c r="L167" s="411" t="n">
        <v>2</v>
      </c>
      <c r="M167" s="408" t="n"/>
      <c r="N167" s="410" t="n">
        <v>0</v>
      </c>
      <c r="O167" s="410" t="n">
        <v>1</v>
      </c>
      <c r="P167" s="233" t="n"/>
      <c r="Q167" s="411" t="n"/>
      <c r="R167" s="411" t="n"/>
      <c r="S167" s="411" t="n"/>
      <c r="T167" s="411" t="n"/>
      <c r="U167" s="411" t="n">
        <v>7.94</v>
      </c>
      <c r="V167" s="411" t="n">
        <v>9.68</v>
      </c>
      <c r="W167" s="411" t="n">
        <v>8.81</v>
      </c>
      <c r="X167" s="411" t="n">
        <v>0</v>
      </c>
      <c r="Y167" s="411" t="n"/>
      <c r="Z167" s="411" t="n"/>
      <c r="AA167" s="411" t="n"/>
      <c r="AB167" s="411" t="n"/>
      <c r="AC167" s="411" t="n"/>
      <c r="AD167" s="411" t="n"/>
      <c r="AE167" s="411" t="n"/>
      <c r="AF167" s="411" t="n"/>
      <c r="AG167" s="411" t="n"/>
      <c r="AH167" s="411" t="n"/>
      <c r="AI167" s="411" t="n"/>
      <c r="AJ167" s="412" t="n"/>
    </row>
    <row r="168">
      <c r="A168" s="426" t="n"/>
      <c r="B168" s="698" t="n"/>
      <c r="C168" s="78" t="n"/>
      <c r="D168" s="78" t="inlineStr">
        <is>
          <t>Garin Daoure 1</t>
        </is>
      </c>
      <c r="E168" s="357" t="inlineStr">
        <is>
          <t>Tibiri</t>
        </is>
      </c>
      <c r="F168" s="78" t="inlineStr">
        <is>
          <t>Control</t>
        </is>
      </c>
      <c r="G168" s="78" t="n">
        <v>2023</v>
      </c>
      <c r="H168" s="78" t="n">
        <v>2024</v>
      </c>
      <c r="I168" s="78" t="inlineStr">
        <is>
          <t>NA</t>
        </is>
      </c>
      <c r="J168" s="78" t="inlineStr">
        <is>
          <t>NA</t>
        </is>
      </c>
      <c r="K168" s="78" t="n">
        <v>14</v>
      </c>
      <c r="L168" s="78" t="inlineStr">
        <is>
          <t>NA</t>
        </is>
      </c>
      <c r="M168" s="428" t="n"/>
      <c r="N168" s="429" t="n">
        <v>0</v>
      </c>
      <c r="O168" s="430" t="n">
        <v>0.2143</v>
      </c>
      <c r="P168" s="444" t="n"/>
      <c r="Q168" s="78" t="n"/>
      <c r="R168" s="78" t="n"/>
      <c r="S168" s="78" t="n"/>
      <c r="T168" s="78" t="n"/>
      <c r="U168" s="78" t="inlineStr">
        <is>
          <t>NA</t>
        </is>
      </c>
      <c r="V168" s="78" t="inlineStr">
        <is>
          <t>NA</t>
        </is>
      </c>
      <c r="W168" s="78" t="inlineStr">
        <is>
          <t>NA</t>
        </is>
      </c>
      <c r="X168" s="432" t="n">
        <v>1</v>
      </c>
      <c r="Y168" s="432" t="n"/>
      <c r="Z168" s="432" t="n"/>
      <c r="AA168" s="432" t="n"/>
      <c r="AB168" s="432" t="n"/>
      <c r="AC168" s="432" t="n"/>
      <c r="AD168" s="432" t="n"/>
      <c r="AE168" s="432" t="n"/>
      <c r="AF168" s="432" t="n"/>
      <c r="AG168" s="432" t="n"/>
      <c r="AH168" s="432" t="n"/>
      <c r="AI168" s="432" t="n"/>
      <c r="AJ168" s="433" t="n"/>
    </row>
    <row r="169">
      <c r="A169" s="434" t="n"/>
      <c r="B169" s="717" t="n">
        <v>5</v>
      </c>
      <c r="C169" s="463" t="n">
        <v>12</v>
      </c>
      <c r="D169" s="463" t="inlineStr">
        <is>
          <t>Soura 2</t>
        </is>
      </c>
      <c r="E169" s="343" t="inlineStr">
        <is>
          <t>Tibiri</t>
        </is>
      </c>
      <c r="F169" s="343" t="inlineStr">
        <is>
          <t>Intervention</t>
        </is>
      </c>
      <c r="G169" s="87" t="n">
        <v>2023</v>
      </c>
      <c r="H169" s="87" t="n">
        <v>2024</v>
      </c>
      <c r="I169" s="439" t="n">
        <v>5</v>
      </c>
      <c r="J169" s="439" t="n">
        <v>2</v>
      </c>
      <c r="K169" s="87" t="n">
        <v>28</v>
      </c>
      <c r="L169" s="439" t="n">
        <v>2</v>
      </c>
      <c r="M169" s="408" t="n"/>
      <c r="N169" s="436" t="n">
        <v>0</v>
      </c>
      <c r="O169" s="680">
        <f>27/28</f>
        <v/>
      </c>
      <c r="P169" s="233" t="n"/>
      <c r="Q169" s="439" t="n"/>
      <c r="R169" s="439" t="n"/>
      <c r="S169" s="439" t="n"/>
      <c r="T169" s="439" t="n"/>
      <c r="U169" s="439" t="n">
        <v>8.73</v>
      </c>
      <c r="V169" s="439" t="n">
        <v>10.12</v>
      </c>
      <c r="W169" s="439" t="n">
        <v>9.43</v>
      </c>
      <c r="X169" s="439" t="n">
        <v>0</v>
      </c>
      <c r="Y169" s="439" t="n"/>
      <c r="Z169" s="439" t="n"/>
      <c r="AA169" s="439" t="n"/>
      <c r="AB169" s="439" t="n"/>
      <c r="AC169" s="439" t="n"/>
      <c r="AD169" s="439" t="n"/>
      <c r="AE169" s="439" t="n"/>
      <c r="AF169" s="439" t="n"/>
      <c r="AG169" s="439" t="n"/>
      <c r="AH169" s="439" t="n"/>
      <c r="AI169" s="439" t="n"/>
      <c r="AJ169" s="440" t="n"/>
    </row>
    <row r="170">
      <c r="A170" s="441" t="n"/>
      <c r="B170" s="698" t="n"/>
      <c r="C170" s="56" t="n"/>
      <c r="D170" s="56" t="inlineStr">
        <is>
          <t>Garin Madji</t>
        </is>
      </c>
      <c r="E170" s="343" t="inlineStr">
        <is>
          <t>Tibiri</t>
        </is>
      </c>
      <c r="F170" s="56" t="inlineStr">
        <is>
          <t>Control</t>
        </is>
      </c>
      <c r="G170" s="56" t="n">
        <v>2023</v>
      </c>
      <c r="H170" s="444" t="n">
        <v>2024</v>
      </c>
      <c r="I170" s="442" t="inlineStr">
        <is>
          <t>NA</t>
        </is>
      </c>
      <c r="J170" s="442" t="inlineStr">
        <is>
          <t>NA</t>
        </is>
      </c>
      <c r="K170" s="444" t="inlineStr">
        <is>
          <t>NA</t>
        </is>
      </c>
      <c r="L170" s="444" t="inlineStr">
        <is>
          <t>NA</t>
        </is>
      </c>
      <c r="M170" s="444" t="n"/>
      <c r="N170" s="444" t="inlineStr">
        <is>
          <t>NA</t>
        </is>
      </c>
      <c r="O170" s="444" t="inlineStr">
        <is>
          <t>NA</t>
        </is>
      </c>
      <c r="P170" s="444" t="n"/>
      <c r="Q170" s="56" t="n"/>
      <c r="R170" s="56" t="n"/>
      <c r="S170" s="56" t="n"/>
      <c r="T170" s="56" t="n"/>
      <c r="U170" s="56" t="inlineStr">
        <is>
          <t>NA</t>
        </is>
      </c>
      <c r="V170" s="56" t="inlineStr">
        <is>
          <t>NA</t>
        </is>
      </c>
      <c r="W170" s="56" t="inlineStr">
        <is>
          <t>NA</t>
        </is>
      </c>
      <c r="X170" s="445" t="n">
        <v>0</v>
      </c>
      <c r="Y170" s="445" t="n"/>
      <c r="Z170" s="445" t="n"/>
      <c r="AA170" s="445" t="n"/>
      <c r="AB170" s="445" t="n"/>
      <c r="AC170" s="445" t="n"/>
      <c r="AD170" s="445" t="n"/>
      <c r="AE170" s="445" t="n"/>
      <c r="AF170" s="445" t="n"/>
      <c r="AG170" s="445" t="n"/>
      <c r="AH170" s="445" t="n"/>
      <c r="AI170" s="445" t="n"/>
      <c r="AJ170" s="446" t="n"/>
    </row>
    <row r="171">
      <c r="A171" s="406" t="n"/>
      <c r="B171" s="718" t="n">
        <v>6</v>
      </c>
      <c r="C171" s="464" t="n">
        <v>13</v>
      </c>
      <c r="D171" s="463" t="inlineStr">
        <is>
          <t xml:space="preserve">Katare Guidan Ousmane 2 </t>
        </is>
      </c>
      <c r="E171" s="343" t="inlineStr">
        <is>
          <t>Tibiri</t>
        </is>
      </c>
      <c r="F171" s="357" t="inlineStr">
        <is>
          <t>Intervention</t>
        </is>
      </c>
      <c r="G171" s="68" t="n">
        <v>2023</v>
      </c>
      <c r="H171" s="68" t="n">
        <v>2024</v>
      </c>
      <c r="I171" s="411" t="n">
        <v>6</v>
      </c>
      <c r="J171" s="411" t="n">
        <v>2</v>
      </c>
      <c r="K171" s="68" t="n">
        <v>32</v>
      </c>
      <c r="L171" s="411" t="n">
        <v>2</v>
      </c>
      <c r="M171" s="408" t="n"/>
      <c r="N171" s="410" t="n">
        <v>0</v>
      </c>
      <c r="O171" s="410" t="n">
        <v>1</v>
      </c>
      <c r="P171" s="233" t="n"/>
      <c r="Q171" s="411" t="n"/>
      <c r="R171" s="411" t="n"/>
      <c r="S171" s="411" t="n"/>
      <c r="T171" s="411" t="n"/>
      <c r="U171" s="411" t="n">
        <v>8.77</v>
      </c>
      <c r="V171" s="411" t="n">
        <v>7.74</v>
      </c>
      <c r="W171" s="411" t="n">
        <v>8.25</v>
      </c>
      <c r="X171" s="411" t="n">
        <v>0</v>
      </c>
      <c r="Y171" s="411" t="n"/>
      <c r="Z171" s="411" t="n"/>
      <c r="AA171" s="411" t="n"/>
      <c r="AB171" s="411" t="n"/>
      <c r="AC171" s="411" t="n"/>
      <c r="AD171" s="411" t="n"/>
      <c r="AE171" s="411" t="n"/>
      <c r="AF171" s="411" t="n"/>
      <c r="AG171" s="411" t="n"/>
      <c r="AH171" s="411" t="n"/>
      <c r="AI171" s="411" t="n"/>
      <c r="AJ171" s="412" t="n"/>
    </row>
    <row r="172">
      <c r="A172" s="426" t="n"/>
      <c r="B172" s="698" t="n"/>
      <c r="C172" s="78" t="n"/>
      <c r="D172" s="448" t="inlineStr">
        <is>
          <t>Garin Malan Hamza</t>
        </is>
      </c>
      <c r="E172" s="343" t="inlineStr">
        <is>
          <t>Tibiri</t>
        </is>
      </c>
      <c r="F172" s="78" t="inlineStr">
        <is>
          <t>Control</t>
        </is>
      </c>
      <c r="G172" s="78" t="n">
        <v>2023</v>
      </c>
      <c r="H172" s="444" t="n">
        <v>2024</v>
      </c>
      <c r="I172" s="78" t="inlineStr">
        <is>
          <t>NA</t>
        </is>
      </c>
      <c r="J172" s="78" t="inlineStr">
        <is>
          <t>NA</t>
        </is>
      </c>
      <c r="K172" s="444" t="inlineStr">
        <is>
          <t>NA</t>
        </is>
      </c>
      <c r="L172" s="444" t="inlineStr">
        <is>
          <t>NA</t>
        </is>
      </c>
      <c r="M172" s="444" t="n"/>
      <c r="N172" s="444" t="inlineStr">
        <is>
          <t>NA</t>
        </is>
      </c>
      <c r="O172" s="444" t="inlineStr">
        <is>
          <t>NA</t>
        </is>
      </c>
      <c r="P172" s="444" t="n"/>
      <c r="Q172" s="78" t="n"/>
      <c r="R172" s="78" t="n"/>
      <c r="S172" s="78" t="n"/>
      <c r="T172" s="78" t="n"/>
      <c r="U172" s="78" t="inlineStr">
        <is>
          <t>NA</t>
        </is>
      </c>
      <c r="V172" s="78" t="inlineStr">
        <is>
          <t>NA</t>
        </is>
      </c>
      <c r="W172" s="78" t="inlineStr">
        <is>
          <t>NA</t>
        </is>
      </c>
      <c r="X172" s="432" t="n">
        <v>0</v>
      </c>
      <c r="Y172" s="432" t="n"/>
      <c r="Z172" s="432" t="n"/>
      <c r="AA172" s="432" t="n"/>
      <c r="AB172" s="432" t="n"/>
      <c r="AC172" s="432" t="n"/>
      <c r="AD172" s="432" t="n"/>
      <c r="AE172" s="432" t="n"/>
      <c r="AF172" s="432" t="n"/>
      <c r="AG172" s="432" t="n"/>
      <c r="AH172" s="432" t="n"/>
      <c r="AI172" s="432" t="n"/>
      <c r="AJ172" s="433" t="n"/>
    </row>
    <row r="173">
      <c r="A173" s="434" t="n"/>
      <c r="B173" s="717" t="n">
        <v>7</v>
      </c>
      <c r="C173" s="463" t="n">
        <v>31</v>
      </c>
      <c r="D173" s="450" t="inlineStr">
        <is>
          <t>Soura Sarkin Galma 1</t>
        </is>
      </c>
      <c r="E173" s="343" t="inlineStr">
        <is>
          <t>Tibiri</t>
        </is>
      </c>
      <c r="F173" s="343" t="inlineStr">
        <is>
          <t>Intervention</t>
        </is>
      </c>
      <c r="G173" s="87" t="n">
        <v>2023</v>
      </c>
      <c r="H173" s="87" t="n">
        <v>2024</v>
      </c>
      <c r="I173" s="439" t="n">
        <v>4</v>
      </c>
      <c r="J173" s="439" t="n">
        <v>2</v>
      </c>
      <c r="K173" s="87" t="n">
        <v>24</v>
      </c>
      <c r="L173" s="439" t="n">
        <v>2</v>
      </c>
      <c r="M173" s="408" t="n"/>
      <c r="N173" s="436" t="n">
        <v>0</v>
      </c>
      <c r="O173" s="436" t="n">
        <v>1</v>
      </c>
      <c r="P173" s="233" t="n"/>
      <c r="Q173" s="439" t="n"/>
      <c r="R173" s="439" t="n"/>
      <c r="S173" s="439" t="n"/>
      <c r="T173" s="439" t="n"/>
      <c r="U173" s="439" t="n">
        <v>10.53</v>
      </c>
      <c r="V173" s="439" t="n">
        <v>10.95</v>
      </c>
      <c r="W173" s="439" t="n">
        <v>10.74</v>
      </c>
      <c r="X173" s="439" t="n">
        <v>2</v>
      </c>
      <c r="Y173" s="439" t="n"/>
      <c r="Z173" s="439" t="n"/>
      <c r="AA173" s="439" t="n"/>
      <c r="AB173" s="439" t="n"/>
      <c r="AC173" s="439" t="n"/>
      <c r="AD173" s="439" t="n"/>
      <c r="AE173" s="439" t="n"/>
      <c r="AF173" s="439" t="n"/>
      <c r="AG173" s="439" t="n"/>
      <c r="AH173" s="439" t="n"/>
      <c r="AI173" s="439" t="n"/>
      <c r="AJ173" s="440" t="n"/>
    </row>
    <row r="174">
      <c r="A174" s="441" t="n"/>
      <c r="B174" s="698" t="n"/>
      <c r="C174" s="56" t="n"/>
      <c r="D174" s="56" t="inlineStr">
        <is>
          <t>Imbelbelou 3</t>
        </is>
      </c>
      <c r="E174" s="343" t="inlineStr">
        <is>
          <t>Tibiri</t>
        </is>
      </c>
      <c r="F174" s="56" t="inlineStr">
        <is>
          <t>Control</t>
        </is>
      </c>
      <c r="G174" s="56" t="n">
        <v>2023</v>
      </c>
      <c r="H174" s="56" t="n">
        <v>2024</v>
      </c>
      <c r="I174" s="56" t="inlineStr">
        <is>
          <t>NA</t>
        </is>
      </c>
      <c r="J174" s="56" t="inlineStr">
        <is>
          <t>NA</t>
        </is>
      </c>
      <c r="K174" s="56" t="n">
        <v>57</v>
      </c>
      <c r="L174" s="56" t="inlineStr">
        <is>
          <t>NA</t>
        </is>
      </c>
      <c r="M174" s="428" t="n"/>
      <c r="N174" s="451" t="n">
        <v>0.0526</v>
      </c>
      <c r="O174" s="451" t="n">
        <v>0.0926</v>
      </c>
      <c r="P174" s="444" t="n"/>
      <c r="Q174" s="56" t="n"/>
      <c r="R174" s="56" t="n"/>
      <c r="S174" s="56" t="n"/>
      <c r="T174" s="56" t="n"/>
      <c r="U174" s="56" t="inlineStr">
        <is>
          <t>NA</t>
        </is>
      </c>
      <c r="V174" s="56" t="inlineStr">
        <is>
          <t>NA</t>
        </is>
      </c>
      <c r="W174" s="56" t="inlineStr">
        <is>
          <t>NA</t>
        </is>
      </c>
      <c r="X174" s="445" t="n">
        <v>0</v>
      </c>
      <c r="Y174" s="445" t="n"/>
      <c r="Z174" s="445" t="n"/>
      <c r="AA174" s="445" t="n"/>
      <c r="AB174" s="445" t="n"/>
      <c r="AC174" s="445" t="n"/>
      <c r="AD174" s="445" t="n"/>
      <c r="AE174" s="445" t="n"/>
      <c r="AF174" s="445" t="n"/>
      <c r="AG174" s="445" t="n"/>
      <c r="AH174" s="445" t="n"/>
      <c r="AI174" s="445" t="n"/>
      <c r="AJ174" s="446" t="n"/>
    </row>
    <row r="175">
      <c r="A175" s="406" t="n"/>
      <c r="B175" s="718" t="n">
        <v>8</v>
      </c>
      <c r="C175" s="359" t="n">
        <v>15</v>
      </c>
      <c r="D175" s="359" t="inlineStr">
        <is>
          <t>Waraou</t>
        </is>
      </c>
      <c r="E175" s="357" t="inlineStr">
        <is>
          <t>Tibiri</t>
        </is>
      </c>
      <c r="F175" s="357" t="inlineStr">
        <is>
          <t>Intervention</t>
        </is>
      </c>
      <c r="G175" s="68" t="n">
        <v>2023</v>
      </c>
      <c r="H175" s="68" t="n">
        <v>2024</v>
      </c>
      <c r="I175" s="411" t="n">
        <v>4</v>
      </c>
      <c r="J175" s="411" t="n">
        <v>2</v>
      </c>
      <c r="K175" s="68" t="n">
        <v>28</v>
      </c>
      <c r="L175" s="411" t="n">
        <v>2</v>
      </c>
      <c r="M175" s="408" t="n"/>
      <c r="N175" s="410" t="n">
        <v>0</v>
      </c>
      <c r="O175" s="410" t="n">
        <v>1</v>
      </c>
      <c r="P175" s="233" t="n"/>
      <c r="Q175" s="411" t="n"/>
      <c r="R175" s="411" t="n"/>
      <c r="S175" s="411" t="n"/>
      <c r="T175" s="411" t="n"/>
      <c r="U175" s="411" t="n">
        <v>10.24</v>
      </c>
      <c r="V175" s="411" t="n">
        <v>11.93</v>
      </c>
      <c r="W175" s="411" t="n">
        <v>11.08</v>
      </c>
      <c r="X175" s="411" t="n">
        <v>0</v>
      </c>
      <c r="Y175" s="411" t="n"/>
      <c r="Z175" s="411" t="n"/>
      <c r="AA175" s="411" t="n"/>
      <c r="AB175" s="411" t="n"/>
      <c r="AC175" s="411" t="n"/>
      <c r="AD175" s="411" t="n"/>
      <c r="AE175" s="411" t="n"/>
      <c r="AF175" s="411" t="n"/>
      <c r="AG175" s="411" t="n"/>
      <c r="AH175" s="411" t="n"/>
      <c r="AI175" s="411" t="n"/>
      <c r="AJ175" s="412" t="n"/>
    </row>
    <row r="176">
      <c r="A176" s="426" t="n"/>
      <c r="B176" s="698" t="n"/>
      <c r="C176" s="78" t="n"/>
      <c r="D176" s="78" t="inlineStr">
        <is>
          <t>Sarkin Aski</t>
        </is>
      </c>
      <c r="E176" s="357" t="inlineStr">
        <is>
          <t>Tibiri</t>
        </is>
      </c>
      <c r="F176" s="78" t="inlineStr">
        <is>
          <t>Control</t>
        </is>
      </c>
      <c r="G176" s="78" t="n">
        <v>2023</v>
      </c>
      <c r="H176" s="78" t="n">
        <v>2024</v>
      </c>
      <c r="I176" s="78" t="inlineStr">
        <is>
          <t>NA</t>
        </is>
      </c>
      <c r="J176" s="78" t="inlineStr">
        <is>
          <t>NA</t>
        </is>
      </c>
      <c r="K176" s="78" t="n">
        <v>10</v>
      </c>
      <c r="L176" s="78" t="inlineStr">
        <is>
          <t>NA</t>
        </is>
      </c>
      <c r="M176" s="428" t="n"/>
      <c r="N176" s="429" t="n">
        <v>0.1</v>
      </c>
      <c r="O176" s="430" t="n">
        <v>0.2222</v>
      </c>
      <c r="P176" s="444" t="n"/>
      <c r="Q176" s="78" t="n"/>
      <c r="R176" s="78" t="n"/>
      <c r="S176" s="78" t="n"/>
      <c r="T176" s="78" t="n"/>
      <c r="U176" s="78" t="inlineStr">
        <is>
          <t>NA</t>
        </is>
      </c>
      <c r="V176" s="78" t="inlineStr">
        <is>
          <t>NA</t>
        </is>
      </c>
      <c r="W176" s="78" t="inlineStr">
        <is>
          <t>NA</t>
        </is>
      </c>
      <c r="X176" s="432" t="n">
        <v>1</v>
      </c>
      <c r="Y176" s="432" t="n"/>
      <c r="Z176" s="432" t="n"/>
      <c r="AA176" s="432" t="n"/>
      <c r="AB176" s="432" t="n"/>
      <c r="AC176" s="432" t="n"/>
      <c r="AD176" s="432" t="n"/>
      <c r="AE176" s="432" t="n"/>
      <c r="AF176" s="432" t="n"/>
      <c r="AG176" s="432" t="n"/>
      <c r="AH176" s="432" t="n"/>
      <c r="AI176" s="432" t="n"/>
      <c r="AJ176" s="433" t="n"/>
    </row>
    <row r="177">
      <c r="A177" s="434" t="n"/>
      <c r="B177" s="717" t="n">
        <v>9</v>
      </c>
      <c r="C177" s="463" t="n">
        <v>16</v>
      </c>
      <c r="D177" s="149" t="inlineStr">
        <is>
          <t>Soura Sarkin Galma  2</t>
        </is>
      </c>
      <c r="E177" s="343" t="inlineStr">
        <is>
          <t>Tibiri</t>
        </is>
      </c>
      <c r="F177" s="343" t="inlineStr">
        <is>
          <t>Intervention</t>
        </is>
      </c>
      <c r="G177" s="87" t="n">
        <v>2023</v>
      </c>
      <c r="H177" s="87" t="n">
        <v>2024</v>
      </c>
      <c r="I177" s="439" t="n">
        <v>4</v>
      </c>
      <c r="J177" s="439" t="n">
        <v>1</v>
      </c>
      <c r="K177" s="87" t="n">
        <v>15</v>
      </c>
      <c r="L177" s="439" t="n">
        <v>2</v>
      </c>
      <c r="M177" s="408" t="n"/>
      <c r="N177" s="436" t="n">
        <v>0</v>
      </c>
      <c r="O177" s="436" t="n">
        <v>1</v>
      </c>
      <c r="P177" s="233" t="n"/>
      <c r="Q177" s="452" t="n"/>
      <c r="R177" s="452" t="n"/>
      <c r="S177" s="452" t="n"/>
      <c r="T177" s="452" t="n"/>
      <c r="U177" s="452" t="n">
        <v>12.6</v>
      </c>
      <c r="V177" s="439" t="n">
        <v>11.57</v>
      </c>
      <c r="W177" s="439" t="n">
        <v>12.08</v>
      </c>
      <c r="X177" s="159" t="n">
        <v>1</v>
      </c>
      <c r="Y177" s="439" t="n"/>
      <c r="Z177" s="439" t="n"/>
      <c r="AA177" s="439" t="n"/>
      <c r="AB177" s="439" t="n"/>
      <c r="AC177" s="439" t="n"/>
      <c r="AD177" s="439" t="n"/>
      <c r="AE177" s="439" t="n"/>
      <c r="AF177" s="439" t="n"/>
      <c r="AG177" s="439" t="n"/>
      <c r="AH177" s="439" t="n"/>
      <c r="AI177" s="439" t="n"/>
      <c r="AJ177" s="440" t="n"/>
    </row>
    <row r="178">
      <c r="A178" s="441" t="n"/>
      <c r="B178" s="698" t="n"/>
      <c r="C178" s="56" t="n"/>
      <c r="D178" s="56" t="inlineStr">
        <is>
          <t>Guigamaoua Sofoua</t>
        </is>
      </c>
      <c r="E178" s="343" t="inlineStr">
        <is>
          <t>Tibiri</t>
        </is>
      </c>
      <c r="F178" s="56" t="inlineStr">
        <is>
          <t>Control</t>
        </is>
      </c>
      <c r="G178" s="56" t="n">
        <v>2023</v>
      </c>
      <c r="H178" s="444" t="n">
        <v>2024</v>
      </c>
      <c r="I178" s="442" t="inlineStr">
        <is>
          <t>NA</t>
        </is>
      </c>
      <c r="J178" s="442" t="inlineStr">
        <is>
          <t>NA</t>
        </is>
      </c>
      <c r="K178" s="444" t="inlineStr">
        <is>
          <t>NA</t>
        </is>
      </c>
      <c r="L178" s="444" t="inlineStr">
        <is>
          <t>NA</t>
        </is>
      </c>
      <c r="M178" s="444" t="n"/>
      <c r="N178" s="444" t="inlineStr">
        <is>
          <t>NA</t>
        </is>
      </c>
      <c r="O178" s="444" t="inlineStr">
        <is>
          <t>NA</t>
        </is>
      </c>
      <c r="P178" s="444" t="n"/>
      <c r="Q178" s="56" t="n"/>
      <c r="R178" s="56" t="n"/>
      <c r="S178" s="56" t="n"/>
      <c r="T178" s="56" t="n"/>
      <c r="U178" s="56" t="inlineStr">
        <is>
          <t>NA</t>
        </is>
      </c>
      <c r="V178" s="56" t="inlineStr">
        <is>
          <t>NA</t>
        </is>
      </c>
      <c r="W178" s="56" t="inlineStr">
        <is>
          <t>NA</t>
        </is>
      </c>
      <c r="X178" s="445" t="n">
        <v>0</v>
      </c>
      <c r="Y178" s="445" t="n"/>
      <c r="Z178" s="445" t="n"/>
      <c r="AA178" s="445" t="n"/>
      <c r="AB178" s="445" t="n"/>
      <c r="AC178" s="445" t="n"/>
      <c r="AD178" s="445" t="n"/>
      <c r="AE178" s="445" t="n"/>
      <c r="AF178" s="445" t="n"/>
      <c r="AG178" s="445" t="n"/>
      <c r="AH178" s="445" t="n"/>
      <c r="AI178" s="445" t="n"/>
      <c r="AJ178" s="446" t="n"/>
    </row>
    <row r="179">
      <c r="A179" s="406" t="n"/>
      <c r="B179" s="718" t="n">
        <v>10</v>
      </c>
      <c r="C179" s="359" t="n">
        <v>25</v>
      </c>
      <c r="D179" s="359" t="inlineStr">
        <is>
          <t>Soura Magagi Rogo</t>
        </is>
      </c>
      <c r="E179" s="357" t="inlineStr">
        <is>
          <t>Tibiri</t>
        </is>
      </c>
      <c r="F179" s="357" t="inlineStr">
        <is>
          <t>Intervention</t>
        </is>
      </c>
      <c r="G179" s="68" t="n">
        <v>2023</v>
      </c>
      <c r="H179" s="68" t="n">
        <v>2024</v>
      </c>
      <c r="I179" s="411" t="n">
        <v>3</v>
      </c>
      <c r="J179" s="411" t="n">
        <v>1</v>
      </c>
      <c r="K179" s="68" t="n">
        <v>14</v>
      </c>
      <c r="L179" s="411" t="n">
        <v>2</v>
      </c>
      <c r="M179" s="408" t="n"/>
      <c r="N179" s="409">
        <f>1/14</f>
        <v/>
      </c>
      <c r="O179" s="409">
        <f>12/14</f>
        <v/>
      </c>
      <c r="P179" s="233" t="n"/>
      <c r="Q179" s="411" t="n"/>
      <c r="R179" s="411" t="n"/>
      <c r="S179" s="411" t="n"/>
      <c r="T179" s="411" t="n"/>
      <c r="U179" s="411" t="n">
        <v>7.81</v>
      </c>
      <c r="V179" s="462" t="n">
        <v>5.9</v>
      </c>
      <c r="W179" s="411" t="n">
        <v>6.85</v>
      </c>
      <c r="X179" s="411" t="n">
        <v>1</v>
      </c>
      <c r="Y179" s="411" t="n"/>
      <c r="Z179" s="411" t="n"/>
      <c r="AA179" s="411" t="n"/>
      <c r="AB179" s="411" t="n"/>
      <c r="AC179" s="411" t="n"/>
      <c r="AD179" s="411" t="n"/>
      <c r="AE179" s="411" t="n"/>
      <c r="AF179" s="411" t="n"/>
      <c r="AG179" s="411" t="n"/>
      <c r="AH179" s="411" t="n"/>
      <c r="AI179" s="411" t="n"/>
      <c r="AJ179" s="412" t="n"/>
    </row>
    <row r="180">
      <c r="A180" s="426" t="n"/>
      <c r="B180" s="698" t="n"/>
      <c r="C180" s="78" t="n"/>
      <c r="D180" s="78" t="inlineStr">
        <is>
          <t>Maisso</t>
        </is>
      </c>
      <c r="E180" s="357" t="inlineStr">
        <is>
          <t>Tibiri</t>
        </is>
      </c>
      <c r="F180" s="78" t="inlineStr">
        <is>
          <t>Control</t>
        </is>
      </c>
      <c r="G180" s="78" t="n">
        <v>2023</v>
      </c>
      <c r="H180" s="444" t="n">
        <v>2024</v>
      </c>
      <c r="I180" s="78" t="inlineStr">
        <is>
          <t>NA</t>
        </is>
      </c>
      <c r="J180" s="78" t="inlineStr">
        <is>
          <t>NA</t>
        </is>
      </c>
      <c r="K180" s="444" t="inlineStr">
        <is>
          <t>NA</t>
        </is>
      </c>
      <c r="L180" s="444" t="inlineStr">
        <is>
          <t>NA</t>
        </is>
      </c>
      <c r="M180" s="444" t="n"/>
      <c r="N180" s="444" t="inlineStr">
        <is>
          <t>NA</t>
        </is>
      </c>
      <c r="O180" s="444" t="inlineStr">
        <is>
          <t>NA</t>
        </is>
      </c>
      <c r="P180" s="444" t="n"/>
      <c r="Q180" s="78" t="n"/>
      <c r="R180" s="78" t="n"/>
      <c r="S180" s="78" t="n"/>
      <c r="T180" s="78" t="n"/>
      <c r="U180" s="78" t="inlineStr">
        <is>
          <t>NA</t>
        </is>
      </c>
      <c r="V180" s="78" t="inlineStr">
        <is>
          <t>NA</t>
        </is>
      </c>
      <c r="W180" s="78" t="inlineStr">
        <is>
          <t>NA</t>
        </is>
      </c>
      <c r="X180" s="432" t="n">
        <v>1</v>
      </c>
      <c r="Y180" s="432" t="n"/>
      <c r="Z180" s="432" t="n"/>
      <c r="AA180" s="432" t="n"/>
      <c r="AB180" s="432" t="n"/>
      <c r="AC180" s="432" t="n"/>
      <c r="AD180" s="432" t="n"/>
      <c r="AE180" s="432" t="n"/>
      <c r="AF180" s="432" t="n"/>
      <c r="AG180" s="432" t="n"/>
      <c r="AH180" s="432" t="n"/>
      <c r="AI180" s="432" t="n"/>
      <c r="AJ180" s="433" t="n"/>
    </row>
    <row r="181">
      <c r="A181" s="434" t="n"/>
      <c r="B181" s="717" t="n">
        <v>11</v>
      </c>
      <c r="C181" s="456" t="n">
        <v>27</v>
      </c>
      <c r="D181" s="456" t="inlineStr">
        <is>
          <t>Kalgon Waraou</t>
        </is>
      </c>
      <c r="E181" s="343" t="inlineStr">
        <is>
          <t>Tibiri</t>
        </is>
      </c>
      <c r="F181" s="343" t="inlineStr">
        <is>
          <t>Intervention</t>
        </is>
      </c>
      <c r="G181" s="87" t="n">
        <v>2023</v>
      </c>
      <c r="H181" s="87" t="n">
        <v>2024</v>
      </c>
      <c r="I181" s="439" t="n">
        <v>5</v>
      </c>
      <c r="J181" s="439" t="n">
        <v>1</v>
      </c>
      <c r="K181" s="87" t="n">
        <v>15</v>
      </c>
      <c r="L181" s="439" t="n">
        <v>2</v>
      </c>
      <c r="M181" s="408" t="n"/>
      <c r="N181" s="436" t="n">
        <v>0</v>
      </c>
      <c r="O181" s="436" t="n">
        <v>1</v>
      </c>
      <c r="P181" s="233" t="n"/>
      <c r="Q181" s="439" t="n"/>
      <c r="R181" s="439" t="n"/>
      <c r="S181" s="439" t="n"/>
      <c r="T181" s="439" t="n"/>
      <c r="U181" s="439" t="n">
        <v>8.630000000000001</v>
      </c>
      <c r="V181" s="439" t="n">
        <v>10.85</v>
      </c>
      <c r="W181" s="439" t="n">
        <v>9.74</v>
      </c>
      <c r="X181" s="439" t="n">
        <v>0</v>
      </c>
      <c r="Y181" s="439" t="n"/>
      <c r="Z181" s="439" t="n"/>
      <c r="AA181" s="439" t="n"/>
      <c r="AB181" s="439" t="n"/>
      <c r="AC181" s="439" t="n"/>
      <c r="AD181" s="439" t="n"/>
      <c r="AE181" s="439" t="n"/>
      <c r="AF181" s="439" t="n"/>
      <c r="AG181" s="439" t="n"/>
      <c r="AH181" s="439" t="n"/>
      <c r="AI181" s="439" t="n"/>
      <c r="AJ181" s="440" t="n"/>
    </row>
    <row r="182">
      <c r="A182" s="441" t="n"/>
      <c r="B182" s="698" t="n"/>
      <c r="C182" s="56" t="n"/>
      <c r="D182" s="57" t="inlineStr">
        <is>
          <t>Garin Daoure 2</t>
        </is>
      </c>
      <c r="E182" s="343" t="inlineStr">
        <is>
          <t>Tibiri</t>
        </is>
      </c>
      <c r="F182" s="56" t="inlineStr">
        <is>
          <t>Control</t>
        </is>
      </c>
      <c r="G182" s="56" t="n">
        <v>2023</v>
      </c>
      <c r="H182" s="56" t="n">
        <v>2024</v>
      </c>
      <c r="I182" s="56" t="inlineStr">
        <is>
          <t>NA</t>
        </is>
      </c>
      <c r="J182" s="56" t="inlineStr">
        <is>
          <t>NA</t>
        </is>
      </c>
      <c r="K182" s="56" t="inlineStr">
        <is>
          <t>NA</t>
        </is>
      </c>
      <c r="L182" s="56" t="inlineStr">
        <is>
          <t>NA</t>
        </is>
      </c>
      <c r="M182" s="428" t="n"/>
      <c r="N182" s="56" t="inlineStr">
        <is>
          <t>NA</t>
        </is>
      </c>
      <c r="O182" s="56" t="inlineStr">
        <is>
          <t>NA</t>
        </is>
      </c>
      <c r="P182" s="444" t="n"/>
      <c r="Q182" s="56" t="n"/>
      <c r="R182" s="56" t="n"/>
      <c r="S182" s="56" t="n"/>
      <c r="T182" s="56" t="n"/>
      <c r="U182" s="56" t="inlineStr">
        <is>
          <t>NA</t>
        </is>
      </c>
      <c r="V182" s="56" t="inlineStr">
        <is>
          <t>NA</t>
        </is>
      </c>
      <c r="W182" s="56" t="inlineStr">
        <is>
          <t>NA</t>
        </is>
      </c>
      <c r="X182" s="453" t="n">
        <v>1</v>
      </c>
      <c r="Y182" s="445" t="n"/>
      <c r="Z182" s="445" t="n"/>
      <c r="AA182" s="445" t="n"/>
      <c r="AB182" s="445" t="n"/>
      <c r="AC182" s="445" t="n"/>
      <c r="AD182" s="445" t="n"/>
      <c r="AE182" s="445" t="n"/>
      <c r="AF182" s="445" t="n"/>
      <c r="AG182" s="445" t="n"/>
      <c r="AH182" s="445" t="n"/>
      <c r="AI182" s="445" t="n"/>
      <c r="AJ182" s="446" t="n"/>
    </row>
    <row r="183">
      <c r="A183" s="454" t="n"/>
      <c r="B183" s="531" t="n">
        <v>12</v>
      </c>
      <c r="C183" s="455" t="n">
        <v>8</v>
      </c>
      <c r="D183" s="455" t="inlineStr">
        <is>
          <t>Tibiri Dan Fillo 3</t>
        </is>
      </c>
      <c r="E183" s="357" t="inlineStr">
        <is>
          <t>Tibiri</t>
        </is>
      </c>
      <c r="F183" s="357" t="inlineStr">
        <is>
          <t>Intervention</t>
        </is>
      </c>
      <c r="G183" s="68" t="n">
        <v>2023</v>
      </c>
      <c r="H183" s="68" t="n">
        <v>2024</v>
      </c>
      <c r="I183" s="411" t="n">
        <v>5</v>
      </c>
      <c r="J183" s="411" t="n">
        <v>2</v>
      </c>
      <c r="K183" s="68" t="n">
        <v>32</v>
      </c>
      <c r="L183" s="411" t="n">
        <v>2</v>
      </c>
      <c r="M183" s="408" t="n"/>
      <c r="N183" s="410" t="n">
        <v>0</v>
      </c>
      <c r="O183" s="410" t="n">
        <v>1</v>
      </c>
      <c r="P183" s="233" t="n"/>
      <c r="Q183" s="411" t="n"/>
      <c r="R183" s="411" t="n"/>
      <c r="S183" s="411" t="n"/>
      <c r="T183" s="411" t="n"/>
      <c r="U183" s="411" t="n">
        <v>7.77</v>
      </c>
      <c r="V183" s="411" t="n">
        <v>11.45</v>
      </c>
      <c r="W183" s="411" t="n">
        <v>9.609999999999999</v>
      </c>
      <c r="X183" s="411" t="n">
        <v>0</v>
      </c>
      <c r="Y183" s="411" t="n"/>
      <c r="Z183" s="411" t="n"/>
      <c r="AA183" s="411" t="n"/>
      <c r="AB183" s="411" t="n"/>
      <c r="AC183" s="411" t="n"/>
      <c r="AD183" s="411" t="n"/>
      <c r="AE183" s="411" t="n"/>
      <c r="AF183" s="411" t="n"/>
      <c r="AG183" s="411" t="n"/>
      <c r="AH183" s="411" t="n"/>
      <c r="AI183" s="411" t="n"/>
      <c r="AJ183" s="412" t="n"/>
    </row>
    <row r="184">
      <c r="A184" s="426" t="n"/>
      <c r="B184" s="698" t="n"/>
      <c r="C184" s="78" t="n"/>
      <c r="D184" s="78" t="inlineStr">
        <is>
          <t>Maza Tsaye II</t>
        </is>
      </c>
      <c r="E184" s="357" t="inlineStr">
        <is>
          <t>Tibiri</t>
        </is>
      </c>
      <c r="F184" s="78" t="inlineStr">
        <is>
          <t>Control</t>
        </is>
      </c>
      <c r="G184" s="78" t="n">
        <v>2023</v>
      </c>
      <c r="H184" s="78" t="n">
        <v>2024</v>
      </c>
      <c r="I184" s="78" t="inlineStr">
        <is>
          <t>NA</t>
        </is>
      </c>
      <c r="J184" s="78" t="inlineStr">
        <is>
          <t>NA</t>
        </is>
      </c>
      <c r="K184" s="78" t="inlineStr">
        <is>
          <t>NA</t>
        </is>
      </c>
      <c r="L184" s="78" t="inlineStr">
        <is>
          <t>NA</t>
        </is>
      </c>
      <c r="M184" s="428" t="n"/>
      <c r="N184" s="78" t="inlineStr">
        <is>
          <t>NA</t>
        </is>
      </c>
      <c r="O184" s="78" t="inlineStr">
        <is>
          <t>NA</t>
        </is>
      </c>
      <c r="P184" s="444" t="n"/>
      <c r="Q184" s="78" t="n"/>
      <c r="R184" s="78" t="n"/>
      <c r="S184" s="78" t="n"/>
      <c r="T184" s="78" t="n"/>
      <c r="U184" s="78" t="inlineStr">
        <is>
          <t>NA</t>
        </is>
      </c>
      <c r="V184" s="78" t="inlineStr">
        <is>
          <t>NA</t>
        </is>
      </c>
      <c r="W184" s="78" t="inlineStr">
        <is>
          <t>NA</t>
        </is>
      </c>
      <c r="X184" s="432" t="n">
        <v>0</v>
      </c>
      <c r="Y184" s="432" t="n"/>
      <c r="Z184" s="432" t="n"/>
      <c r="AA184" s="432" t="n"/>
      <c r="AB184" s="432" t="n"/>
      <c r="AC184" s="432" t="n"/>
      <c r="AD184" s="432" t="n"/>
      <c r="AE184" s="432" t="n"/>
      <c r="AF184" s="432" t="n"/>
      <c r="AG184" s="432" t="n"/>
      <c r="AH184" s="432" t="n"/>
      <c r="AI184" s="432" t="n"/>
      <c r="AJ184" s="433" t="n"/>
    </row>
    <row r="185">
      <c r="A185" s="434" t="n"/>
      <c r="B185" s="717" t="n">
        <v>13</v>
      </c>
      <c r="C185" s="456" t="n">
        <v>34</v>
      </c>
      <c r="D185" s="456" t="inlineStr">
        <is>
          <t>Koderaoua</t>
        </is>
      </c>
      <c r="E185" s="343" t="inlineStr">
        <is>
          <t>Djiarataoua</t>
        </is>
      </c>
      <c r="F185" s="343" t="inlineStr">
        <is>
          <t>Intervention</t>
        </is>
      </c>
      <c r="G185" s="87" t="n">
        <v>2023</v>
      </c>
      <c r="H185" s="87" t="n">
        <v>2024</v>
      </c>
      <c r="I185" s="439" t="n">
        <v>4</v>
      </c>
      <c r="J185" s="439" t="n">
        <v>1</v>
      </c>
      <c r="K185" s="87" t="n">
        <v>19</v>
      </c>
      <c r="L185" s="439" t="n">
        <v>2</v>
      </c>
      <c r="M185" s="408" t="n"/>
      <c r="N185" s="436" t="n">
        <v>0</v>
      </c>
      <c r="O185" s="436" t="n">
        <v>1</v>
      </c>
      <c r="P185" s="233" t="n"/>
      <c r="Q185" s="439" t="n"/>
      <c r="R185" s="439" t="n"/>
      <c r="S185" s="439" t="n"/>
      <c r="T185" s="439" t="n"/>
      <c r="U185" s="439" t="n">
        <v>8.710000000000001</v>
      </c>
      <c r="V185" s="439" t="n">
        <v>11.51</v>
      </c>
      <c r="W185" s="439" t="n">
        <v>10.11</v>
      </c>
      <c r="X185" s="439" t="n">
        <v>0</v>
      </c>
      <c r="Y185" s="439" t="n"/>
      <c r="Z185" s="439" t="n"/>
      <c r="AA185" s="439" t="n"/>
      <c r="AB185" s="439" t="n"/>
      <c r="AC185" s="439" t="n"/>
      <c r="AD185" s="439" t="n"/>
      <c r="AE185" s="439" t="n"/>
      <c r="AF185" s="439" t="n"/>
      <c r="AG185" s="439" t="n"/>
      <c r="AH185" s="439" t="n"/>
      <c r="AI185" s="439" t="n"/>
      <c r="AJ185" s="440" t="n"/>
    </row>
    <row r="186">
      <c r="A186" s="441" t="n"/>
      <c r="B186" s="698" t="n"/>
      <c r="C186" s="56" t="n"/>
      <c r="D186" s="56" t="inlineStr">
        <is>
          <t>Oumarou Lawali Gago</t>
        </is>
      </c>
      <c r="E186" s="343" t="inlineStr">
        <is>
          <t>Djiarataoua</t>
        </is>
      </c>
      <c r="F186" s="56" t="inlineStr">
        <is>
          <t>Control</t>
        </is>
      </c>
      <c r="G186" s="56" t="n">
        <v>2023</v>
      </c>
      <c r="H186" s="56" t="n">
        <v>2024</v>
      </c>
      <c r="I186" s="56" t="inlineStr">
        <is>
          <t>NA</t>
        </is>
      </c>
      <c r="J186" s="56" t="inlineStr">
        <is>
          <t>NA</t>
        </is>
      </c>
      <c r="K186" s="56" t="n">
        <v>30</v>
      </c>
      <c r="L186" s="56" t="inlineStr">
        <is>
          <t>NA</t>
        </is>
      </c>
      <c r="M186" s="428" t="n"/>
      <c r="N186" s="457" t="n">
        <v>0</v>
      </c>
      <c r="O186" s="451" t="n">
        <v>0.2667</v>
      </c>
      <c r="P186" s="444" t="n"/>
      <c r="Q186" s="56" t="n"/>
      <c r="R186" s="56" t="n"/>
      <c r="S186" s="56" t="n"/>
      <c r="T186" s="56" t="n"/>
      <c r="U186" s="56" t="inlineStr">
        <is>
          <t>NA</t>
        </is>
      </c>
      <c r="V186" s="56" t="inlineStr">
        <is>
          <t>NA</t>
        </is>
      </c>
      <c r="W186" s="56" t="inlineStr">
        <is>
          <t>NA</t>
        </is>
      </c>
      <c r="X186" s="445" t="n">
        <v>0</v>
      </c>
      <c r="Y186" s="445" t="n"/>
      <c r="Z186" s="445" t="n"/>
      <c r="AA186" s="445" t="n"/>
      <c r="AB186" s="445" t="n"/>
      <c r="AC186" s="445" t="n"/>
      <c r="AD186" s="445" t="n"/>
      <c r="AE186" s="445" t="n"/>
      <c r="AF186" s="445" t="n"/>
      <c r="AG186" s="445" t="n"/>
      <c r="AH186" s="445" t="n"/>
      <c r="AI186" s="445" t="n"/>
      <c r="AJ186" s="446" t="n"/>
    </row>
    <row r="187">
      <c r="A187" s="406" t="n"/>
      <c r="B187" s="718" t="n">
        <v>14</v>
      </c>
      <c r="C187" s="359" t="n">
        <v>38</v>
      </c>
      <c r="D187" s="359" t="inlineStr">
        <is>
          <t>Danja 2</t>
        </is>
      </c>
      <c r="E187" s="357" t="inlineStr">
        <is>
          <t>Djirataoua</t>
        </is>
      </c>
      <c r="F187" s="357" t="inlineStr">
        <is>
          <t>Intervention</t>
        </is>
      </c>
      <c r="G187" s="68" t="n">
        <v>2023</v>
      </c>
      <c r="H187" s="68" t="n">
        <v>2024</v>
      </c>
      <c r="I187" s="411" t="n">
        <v>3</v>
      </c>
      <c r="J187" s="411" t="n">
        <v>1</v>
      </c>
      <c r="K187" s="68" t="n">
        <v>16</v>
      </c>
      <c r="L187" s="411" t="n">
        <v>2</v>
      </c>
      <c r="M187" s="408" t="n"/>
      <c r="N187" s="410" t="n">
        <v>0</v>
      </c>
      <c r="O187" s="410" t="n">
        <v>1</v>
      </c>
      <c r="P187" s="233" t="n"/>
      <c r="Q187" s="411" t="n"/>
      <c r="R187" s="411" t="n"/>
      <c r="S187" s="411" t="n"/>
      <c r="T187" s="411" t="n"/>
      <c r="U187" s="411" t="n">
        <v>6.28</v>
      </c>
      <c r="V187" s="411" t="n">
        <v>9.550000000000001</v>
      </c>
      <c r="W187" s="411" t="n">
        <v>8.890000000000001</v>
      </c>
      <c r="X187" s="411" t="n">
        <v>1</v>
      </c>
      <c r="Y187" s="411" t="n"/>
      <c r="Z187" s="411" t="n"/>
      <c r="AA187" s="411" t="n"/>
      <c r="AB187" s="411" t="n"/>
      <c r="AC187" s="411" t="n"/>
      <c r="AD187" s="411" t="n"/>
      <c r="AE187" s="411" t="n"/>
      <c r="AF187" s="411" t="n"/>
      <c r="AG187" s="411" t="n"/>
      <c r="AH187" s="411" t="n"/>
      <c r="AI187" s="411" t="n"/>
      <c r="AJ187" s="412" t="n"/>
    </row>
    <row r="188">
      <c r="A188" s="426" t="n"/>
      <c r="B188" s="698" t="n"/>
      <c r="C188" s="78" t="n"/>
      <c r="D188" s="78" t="inlineStr">
        <is>
          <t>Basaraoua</t>
        </is>
      </c>
      <c r="E188" s="357" t="inlineStr">
        <is>
          <t>Djirataoua</t>
        </is>
      </c>
      <c r="F188" s="78" t="inlineStr">
        <is>
          <t>Control</t>
        </is>
      </c>
      <c r="G188" s="78" t="n">
        <v>2023</v>
      </c>
      <c r="H188" s="78" t="n">
        <v>2024</v>
      </c>
      <c r="I188" s="78" t="inlineStr">
        <is>
          <t>NA</t>
        </is>
      </c>
      <c r="J188" s="78" t="inlineStr">
        <is>
          <t>NA</t>
        </is>
      </c>
      <c r="K188" s="78" t="n">
        <v>17</v>
      </c>
      <c r="L188" s="78" t="inlineStr">
        <is>
          <t>NA</t>
        </is>
      </c>
      <c r="M188" s="428" t="n"/>
      <c r="N188" s="429" t="n">
        <v>0</v>
      </c>
      <c r="O188" s="430" t="n">
        <v>0.1613</v>
      </c>
      <c r="P188" s="444" t="n"/>
      <c r="Q188" s="78" t="n"/>
      <c r="R188" s="78" t="n"/>
      <c r="S188" s="78" t="n"/>
      <c r="T188" s="78" t="n"/>
      <c r="U188" s="78" t="inlineStr">
        <is>
          <t>NA</t>
        </is>
      </c>
      <c r="V188" s="78" t="inlineStr">
        <is>
          <t>NA</t>
        </is>
      </c>
      <c r="W188" s="78" t="inlineStr">
        <is>
          <t>NA</t>
        </is>
      </c>
      <c r="X188" s="432" t="n">
        <v>0</v>
      </c>
      <c r="Y188" s="432" t="n"/>
      <c r="Z188" s="432" t="n"/>
      <c r="AA188" s="432" t="n"/>
      <c r="AB188" s="432" t="n"/>
      <c r="AC188" s="432" t="n"/>
      <c r="AD188" s="432" t="n"/>
      <c r="AE188" s="432" t="n"/>
      <c r="AF188" s="432" t="n"/>
      <c r="AG188" s="432" t="n"/>
      <c r="AH188" s="432" t="n"/>
      <c r="AI188" s="432" t="n"/>
      <c r="AJ188" s="433" t="n"/>
    </row>
    <row r="189">
      <c r="A189" s="434" t="n"/>
      <c r="B189" s="717" t="n">
        <v>15</v>
      </c>
      <c r="C189" s="463" t="n">
        <v>40</v>
      </c>
      <c r="D189" s="463" t="inlineStr">
        <is>
          <t xml:space="preserve">El kokia </t>
        </is>
      </c>
      <c r="E189" s="357" t="inlineStr">
        <is>
          <t>Djirataoua</t>
        </is>
      </c>
      <c r="F189" s="343" t="inlineStr">
        <is>
          <t>Intervention</t>
        </is>
      </c>
      <c r="G189" s="87" t="n">
        <v>2023</v>
      </c>
      <c r="H189" s="87" t="n">
        <v>2024</v>
      </c>
      <c r="I189" s="439" t="n">
        <v>5</v>
      </c>
      <c r="J189" s="439" t="n">
        <v>2</v>
      </c>
      <c r="K189" s="87" t="n">
        <v>25</v>
      </c>
      <c r="L189" s="439" t="n">
        <v>2</v>
      </c>
      <c r="M189" s="408" t="n"/>
      <c r="N189" s="436" t="n">
        <v>0</v>
      </c>
      <c r="O189" s="436" t="n">
        <v>1</v>
      </c>
      <c r="P189" s="233" t="n"/>
      <c r="Q189" s="439" t="n"/>
      <c r="R189" s="439" t="n"/>
      <c r="S189" s="439" t="n"/>
      <c r="T189" s="439" t="n"/>
      <c r="U189" s="439" t="n">
        <v>9.9</v>
      </c>
      <c r="V189" s="439" t="n">
        <v>13.47</v>
      </c>
      <c r="W189" s="439" t="n">
        <v>11.69</v>
      </c>
      <c r="X189" s="439" t="n">
        <v>0</v>
      </c>
      <c r="Y189" s="439" t="n"/>
      <c r="Z189" s="439" t="n"/>
      <c r="AA189" s="439" t="n"/>
      <c r="AB189" s="439" t="n"/>
      <c r="AC189" s="439" t="n"/>
      <c r="AD189" s="439" t="n"/>
      <c r="AE189" s="439" t="n"/>
      <c r="AF189" s="439" t="n"/>
      <c r="AG189" s="439" t="n"/>
      <c r="AH189" s="439" t="n"/>
      <c r="AI189" s="439" t="n"/>
      <c r="AJ189" s="440" t="n"/>
    </row>
    <row r="190">
      <c r="A190" s="441" t="n"/>
      <c r="B190" s="698" t="n"/>
      <c r="C190" s="56" t="n"/>
      <c r="D190" s="428" t="inlineStr">
        <is>
          <t>NA</t>
        </is>
      </c>
      <c r="E190" s="357" t="inlineStr">
        <is>
          <t>Djirataoua</t>
        </is>
      </c>
      <c r="F190" s="679" t="inlineStr">
        <is>
          <t>NA</t>
        </is>
      </c>
      <c r="G190" s="679" t="n">
        <v>2023</v>
      </c>
      <c r="H190" s="679" t="n">
        <v>2024</v>
      </c>
      <c r="I190" s="679" t="inlineStr">
        <is>
          <t>NA</t>
        </is>
      </c>
      <c r="J190" s="679" t="inlineStr">
        <is>
          <t>NA</t>
        </is>
      </c>
      <c r="K190" s="679" t="inlineStr">
        <is>
          <t>NA</t>
        </is>
      </c>
      <c r="L190" s="679" t="inlineStr">
        <is>
          <t>NA</t>
        </is>
      </c>
      <c r="M190" s="444" t="n"/>
      <c r="N190" s="444" t="inlineStr">
        <is>
          <t>NA</t>
        </is>
      </c>
      <c r="O190" s="444" t="inlineStr">
        <is>
          <t>NA</t>
        </is>
      </c>
      <c r="P190" s="444" t="n"/>
      <c r="Q190" s="56" t="n"/>
      <c r="R190" s="56" t="n"/>
      <c r="S190" s="56" t="n"/>
      <c r="T190" s="56" t="n"/>
      <c r="U190" s="56" t="inlineStr">
        <is>
          <t>NA</t>
        </is>
      </c>
      <c r="V190" s="56" t="inlineStr">
        <is>
          <t>NA</t>
        </is>
      </c>
      <c r="W190" s="56" t="inlineStr">
        <is>
          <t>NA</t>
        </is>
      </c>
      <c r="X190" s="445" t="n">
        <v>0</v>
      </c>
      <c r="Y190" s="445" t="n"/>
      <c r="Z190" s="445" t="n"/>
      <c r="AA190" s="445" t="n"/>
      <c r="AB190" s="445" t="n"/>
      <c r="AC190" s="445" t="n"/>
      <c r="AD190" s="445" t="n"/>
      <c r="AE190" s="445" t="n"/>
      <c r="AF190" s="445" t="n"/>
      <c r="AG190" s="445" t="n"/>
      <c r="AH190" s="445" t="n"/>
      <c r="AI190" s="445" t="n"/>
      <c r="AJ190" s="446" t="n"/>
    </row>
    <row r="191">
      <c r="A191" s="406" t="n"/>
      <c r="B191" s="718" t="n">
        <v>16</v>
      </c>
      <c r="C191" s="68" t="n">
        <v>44</v>
      </c>
      <c r="D191" s="68" t="inlineStr">
        <is>
          <t>Sabon Gari Kolta</t>
        </is>
      </c>
      <c r="E191" s="357" t="inlineStr">
        <is>
          <t>Djirataoua</t>
        </is>
      </c>
      <c r="F191" s="357" t="inlineStr">
        <is>
          <t>Intervention</t>
        </is>
      </c>
      <c r="G191" s="68" t="n">
        <v>2023</v>
      </c>
      <c r="H191" s="68" t="n">
        <v>2024</v>
      </c>
      <c r="I191" s="411" t="n">
        <v>5</v>
      </c>
      <c r="J191" s="411" t="n">
        <v>2</v>
      </c>
      <c r="K191" s="68" t="n">
        <v>28</v>
      </c>
      <c r="L191" s="411" t="n">
        <v>2</v>
      </c>
      <c r="M191" s="408" t="n"/>
      <c r="N191" s="410" t="n">
        <v>0</v>
      </c>
      <c r="O191" s="409">
        <f>26/28</f>
        <v/>
      </c>
      <c r="P191" s="233" t="n"/>
      <c r="Q191" s="411" t="n"/>
      <c r="R191" s="411" t="n"/>
      <c r="S191" s="411" t="n"/>
      <c r="T191" s="411" t="n"/>
      <c r="U191" s="411" t="n">
        <v>11.03</v>
      </c>
      <c r="V191" s="411" t="n">
        <v>14.7</v>
      </c>
      <c r="W191" s="411" t="n">
        <v>12.87</v>
      </c>
      <c r="X191" s="411" t="n">
        <v>0</v>
      </c>
      <c r="Y191" s="411" t="n"/>
      <c r="Z191" s="411" t="n"/>
      <c r="AA191" s="411" t="n"/>
      <c r="AB191" s="411" t="n"/>
      <c r="AC191" s="411" t="n"/>
      <c r="AD191" s="411" t="n"/>
      <c r="AE191" s="411" t="n"/>
      <c r="AF191" s="411" t="n"/>
      <c r="AG191" s="411" t="n"/>
      <c r="AH191" s="411" t="n"/>
      <c r="AI191" s="411" t="n"/>
      <c r="AJ191" s="412" t="n"/>
    </row>
    <row r="192">
      <c r="A192" s="426" t="n"/>
      <c r="B192" s="698" t="n"/>
      <c r="C192" s="78" t="n"/>
      <c r="D192" s="78" t="inlineStr">
        <is>
          <t>Dallia</t>
        </is>
      </c>
      <c r="E192" s="357" t="inlineStr">
        <is>
          <t>Djirataoua</t>
        </is>
      </c>
      <c r="F192" s="78" t="inlineStr">
        <is>
          <t>Control</t>
        </is>
      </c>
      <c r="G192" s="78" t="n">
        <v>2023</v>
      </c>
      <c r="H192" s="78" t="n">
        <v>2024</v>
      </c>
      <c r="I192" s="78" t="inlineStr">
        <is>
          <t>NA</t>
        </is>
      </c>
      <c r="J192" s="78" t="inlineStr">
        <is>
          <t>NA</t>
        </is>
      </c>
      <c r="K192" s="78" t="n">
        <v>26</v>
      </c>
      <c r="L192" s="78" t="inlineStr">
        <is>
          <t>NA</t>
        </is>
      </c>
      <c r="M192" s="428" t="n"/>
      <c r="N192" s="429" t="n">
        <v>0.0769</v>
      </c>
      <c r="O192" s="429" t="n">
        <v>0.25</v>
      </c>
      <c r="P192" s="444" t="n"/>
      <c r="Q192" s="78" t="n"/>
      <c r="R192" s="78" t="n"/>
      <c r="S192" s="78" t="n"/>
      <c r="T192" s="78" t="n"/>
      <c r="U192" s="78" t="inlineStr">
        <is>
          <t>NA</t>
        </is>
      </c>
      <c r="V192" s="78" t="inlineStr">
        <is>
          <t>NA</t>
        </is>
      </c>
      <c r="W192" s="78" t="inlineStr">
        <is>
          <t>NA</t>
        </is>
      </c>
      <c r="X192" s="432" t="n">
        <v>0</v>
      </c>
      <c r="Y192" s="432" t="n"/>
      <c r="Z192" s="432" t="n"/>
      <c r="AA192" s="432" t="n"/>
      <c r="AB192" s="432" t="n"/>
      <c r="AC192" s="432" t="n"/>
      <c r="AD192" s="432" t="n"/>
      <c r="AE192" s="432" t="n"/>
      <c r="AF192" s="432" t="n"/>
      <c r="AG192" s="432" t="n"/>
      <c r="AH192" s="432" t="n"/>
      <c r="AI192" s="432" t="n"/>
      <c r="AJ192" s="433" t="n"/>
    </row>
    <row r="193">
      <c r="A193" s="434" t="n"/>
      <c r="B193" s="717" t="n">
        <v>17</v>
      </c>
      <c r="C193" s="456" t="n">
        <v>36</v>
      </c>
      <c r="D193" s="149" t="inlineStr">
        <is>
          <t>Takalmaoua 1</t>
        </is>
      </c>
      <c r="E193" s="343" t="inlineStr">
        <is>
          <t>Djirataoua</t>
        </is>
      </c>
      <c r="F193" s="343" t="inlineStr">
        <is>
          <t>Intervention</t>
        </is>
      </c>
      <c r="G193" s="87" t="n">
        <v>2023</v>
      </c>
      <c r="H193" s="87" t="n">
        <v>2024</v>
      </c>
      <c r="I193" s="439" t="n">
        <v>4</v>
      </c>
      <c r="J193" s="439" t="n">
        <v>1</v>
      </c>
      <c r="K193" s="87" t="n">
        <v>16</v>
      </c>
      <c r="L193" s="439" t="n">
        <v>2</v>
      </c>
      <c r="M193" s="408" t="n"/>
      <c r="N193" s="436" t="n">
        <v>0</v>
      </c>
      <c r="O193" s="436" t="n">
        <v>1</v>
      </c>
      <c r="P193" s="233" t="n"/>
      <c r="Q193" s="439" t="n"/>
      <c r="R193" s="439" t="n"/>
      <c r="S193" s="439" t="n"/>
      <c r="T193" s="439" t="n"/>
      <c r="U193" s="439" t="n">
        <v>13.44</v>
      </c>
      <c r="V193" s="439" t="n">
        <v>8.08</v>
      </c>
      <c r="W193" s="439" t="n">
        <v>10.76</v>
      </c>
      <c r="X193" s="159" t="n">
        <v>1</v>
      </c>
      <c r="Y193" s="439" t="n"/>
      <c r="Z193" s="439" t="n"/>
      <c r="AA193" s="439" t="n"/>
      <c r="AB193" s="439" t="n"/>
      <c r="AC193" s="439" t="n"/>
      <c r="AD193" s="439" t="n"/>
      <c r="AE193" s="439" t="n"/>
      <c r="AF193" s="439" t="n"/>
      <c r="AG193" s="439" t="n"/>
      <c r="AH193" s="439" t="n"/>
      <c r="AI193" s="439" t="n"/>
      <c r="AJ193" s="440" t="n"/>
    </row>
    <row r="194">
      <c r="A194" s="441" t="n"/>
      <c r="B194" s="698" t="n"/>
      <c r="C194" s="56" t="n"/>
      <c r="D194" s="56" t="inlineStr">
        <is>
          <t>Kontagora Soufoua</t>
        </is>
      </c>
      <c r="E194" s="343" t="inlineStr">
        <is>
          <t>Djirataoua</t>
        </is>
      </c>
      <c r="F194" s="56" t="inlineStr">
        <is>
          <t>Control</t>
        </is>
      </c>
      <c r="G194" s="56" t="n">
        <v>2023</v>
      </c>
      <c r="H194" s="56" t="n">
        <v>2024</v>
      </c>
      <c r="I194" s="56" t="inlineStr">
        <is>
          <t>NA</t>
        </is>
      </c>
      <c r="J194" s="56" t="inlineStr">
        <is>
          <t>NA</t>
        </is>
      </c>
      <c r="K194" s="56" t="n">
        <v>27</v>
      </c>
      <c r="L194" s="56" t="inlineStr">
        <is>
          <t>NA</t>
        </is>
      </c>
      <c r="M194" s="428" t="n"/>
      <c r="N194" s="457" t="n">
        <v>0</v>
      </c>
      <c r="O194" s="451" t="n">
        <v>0.1852</v>
      </c>
      <c r="P194" s="444" t="n"/>
      <c r="Q194" s="56" t="n"/>
      <c r="R194" s="56" t="n"/>
      <c r="S194" s="56" t="n"/>
      <c r="T194" s="56" t="n"/>
      <c r="U194" s="56" t="inlineStr">
        <is>
          <t>NA</t>
        </is>
      </c>
      <c r="V194" s="56" t="inlineStr">
        <is>
          <t>NA</t>
        </is>
      </c>
      <c r="W194" s="56" t="inlineStr">
        <is>
          <t>NA</t>
        </is>
      </c>
      <c r="X194" s="445" t="n">
        <v>0</v>
      </c>
      <c r="Y194" s="445" t="n"/>
      <c r="Z194" s="445" t="n"/>
      <c r="AA194" s="445" t="n"/>
      <c r="AB194" s="445" t="n"/>
      <c r="AC194" s="445" t="n"/>
      <c r="AD194" s="445" t="n"/>
      <c r="AE194" s="445" t="n"/>
      <c r="AF194" s="445" t="n"/>
      <c r="AG194" s="445" t="n"/>
      <c r="AH194" s="445" t="n"/>
      <c r="AI194" s="445" t="n"/>
      <c r="AJ194" s="446" t="n"/>
    </row>
    <row r="195">
      <c r="A195" s="406" t="n"/>
      <c r="B195" s="718" t="n">
        <v>18</v>
      </c>
      <c r="C195" s="359" t="n">
        <v>50</v>
      </c>
      <c r="D195" s="359" t="inlineStr">
        <is>
          <t>Danja 1</t>
        </is>
      </c>
      <c r="E195" s="357" t="inlineStr">
        <is>
          <t>Djirataoua</t>
        </is>
      </c>
      <c r="F195" s="357" t="inlineStr">
        <is>
          <t>Intervention</t>
        </is>
      </c>
      <c r="G195" s="68" t="n">
        <v>2023</v>
      </c>
      <c r="H195" s="68" t="n">
        <v>2024</v>
      </c>
      <c r="I195" s="411" t="n">
        <v>4</v>
      </c>
      <c r="J195" s="411" t="n">
        <v>2</v>
      </c>
      <c r="K195" s="68" t="n">
        <v>29</v>
      </c>
      <c r="L195" s="411" t="n">
        <v>2</v>
      </c>
      <c r="M195" s="408" t="n"/>
      <c r="N195" s="410" t="n">
        <v>0</v>
      </c>
      <c r="O195" s="410" t="n">
        <v>1</v>
      </c>
      <c r="P195" s="233" t="n"/>
      <c r="Q195" s="411" t="n"/>
      <c r="R195" s="411" t="n"/>
      <c r="S195" s="411" t="n"/>
      <c r="T195" s="411" t="n"/>
      <c r="U195" s="411" t="n">
        <v>6.66</v>
      </c>
      <c r="V195" s="411" t="n">
        <v>11.65</v>
      </c>
      <c r="W195" s="411" t="n">
        <v>9.15</v>
      </c>
      <c r="X195" s="411" t="n">
        <v>1</v>
      </c>
      <c r="Y195" s="411" t="n"/>
      <c r="Z195" s="411" t="n"/>
      <c r="AA195" s="411" t="n"/>
      <c r="AB195" s="411" t="n"/>
      <c r="AC195" s="411" t="n"/>
      <c r="AD195" s="411" t="n"/>
      <c r="AE195" s="411" t="n"/>
      <c r="AF195" s="411" t="n"/>
      <c r="AG195" s="411" t="n"/>
      <c r="AH195" s="411" t="n"/>
      <c r="AI195" s="411" t="n"/>
      <c r="AJ195" s="412" t="n"/>
    </row>
    <row r="196">
      <c r="A196" s="426" t="n"/>
      <c r="B196" s="698" t="n"/>
      <c r="C196" s="78" t="n"/>
      <c r="D196" s="78" t="inlineStr">
        <is>
          <t>Djiratawa Bilingue</t>
        </is>
      </c>
      <c r="E196" s="357" t="inlineStr">
        <is>
          <t>Djirataoua</t>
        </is>
      </c>
      <c r="F196" s="78" t="inlineStr">
        <is>
          <t>Control</t>
        </is>
      </c>
      <c r="G196" s="78" t="n">
        <v>2023</v>
      </c>
      <c r="H196" s="78" t="n">
        <v>2024</v>
      </c>
      <c r="I196" s="78" t="inlineStr">
        <is>
          <t>NA</t>
        </is>
      </c>
      <c r="J196" s="78" t="inlineStr">
        <is>
          <t>NA</t>
        </is>
      </c>
      <c r="K196" s="78" t="n">
        <v>28</v>
      </c>
      <c r="L196" s="78" t="inlineStr">
        <is>
          <t>NA</t>
        </is>
      </c>
      <c r="M196" s="428" t="n"/>
      <c r="N196" s="429" t="n">
        <v>0</v>
      </c>
      <c r="O196" s="430" t="n">
        <v>0.4643</v>
      </c>
      <c r="P196" s="444" t="n"/>
      <c r="Q196" s="78" t="n"/>
      <c r="R196" s="78" t="n"/>
      <c r="S196" s="78" t="n"/>
      <c r="T196" s="78" t="n"/>
      <c r="U196" s="78" t="inlineStr">
        <is>
          <t>NA</t>
        </is>
      </c>
      <c r="V196" s="78" t="inlineStr">
        <is>
          <t>NA</t>
        </is>
      </c>
      <c r="W196" s="78" t="inlineStr">
        <is>
          <t>NA</t>
        </is>
      </c>
      <c r="X196" s="432" t="n">
        <v>0</v>
      </c>
      <c r="Y196" s="432" t="n"/>
      <c r="Z196" s="432" t="n"/>
      <c r="AA196" s="432" t="n"/>
      <c r="AB196" s="432" t="n"/>
      <c r="AC196" s="432" t="n"/>
      <c r="AD196" s="432" t="n"/>
      <c r="AE196" s="432" t="n"/>
      <c r="AF196" s="432" t="n"/>
      <c r="AG196" s="432" t="n"/>
      <c r="AH196" s="432" t="n"/>
      <c r="AI196" s="432" t="n"/>
      <c r="AJ196" s="433" t="n"/>
    </row>
    <row r="197">
      <c r="A197" s="434" t="n"/>
      <c r="B197" s="717" t="n">
        <v>19</v>
      </c>
      <c r="C197" s="645" t="n">
        <v>55</v>
      </c>
      <c r="D197" s="463" t="inlineStr">
        <is>
          <t>Safo Dan Ali</t>
        </is>
      </c>
      <c r="E197" s="343" t="inlineStr">
        <is>
          <t>Safo</t>
        </is>
      </c>
      <c r="F197" s="343" t="inlineStr">
        <is>
          <t>Intervention</t>
        </is>
      </c>
      <c r="G197" s="87" t="n">
        <v>2023</v>
      </c>
      <c r="H197" s="87" t="n">
        <v>2024</v>
      </c>
      <c r="I197" s="439" t="n">
        <v>2</v>
      </c>
      <c r="J197" s="439" t="n">
        <v>1</v>
      </c>
      <c r="K197" s="87" t="n">
        <v>12</v>
      </c>
      <c r="L197" s="439" t="n">
        <v>2</v>
      </c>
      <c r="M197" s="408" t="n"/>
      <c r="N197" s="436" t="n">
        <v>0</v>
      </c>
      <c r="O197" s="436" t="n">
        <v>1</v>
      </c>
      <c r="P197" s="233" t="n"/>
      <c r="Q197" s="439" t="n"/>
      <c r="R197" s="439" t="n"/>
      <c r="S197" s="439" t="n"/>
      <c r="T197" s="439" t="n"/>
      <c r="U197" s="439" t="n">
        <v>7.04</v>
      </c>
      <c r="V197" s="439" t="n">
        <v>8.1</v>
      </c>
      <c r="W197" s="439" t="n">
        <v>7.57</v>
      </c>
      <c r="X197" s="439" t="n">
        <v>3</v>
      </c>
      <c r="Y197" s="439" t="n"/>
      <c r="Z197" s="439" t="n"/>
      <c r="AA197" s="439" t="n"/>
      <c r="AB197" s="439" t="n"/>
      <c r="AC197" s="439" t="n"/>
      <c r="AD197" s="439" t="n"/>
      <c r="AE197" s="439" t="n"/>
      <c r="AF197" s="439" t="n"/>
      <c r="AG197" s="439" t="n"/>
      <c r="AH197" s="439" t="n"/>
      <c r="AI197" s="439" t="n"/>
      <c r="AJ197" s="440" t="n"/>
    </row>
    <row r="198">
      <c r="A198" s="441" t="n"/>
      <c r="B198" s="698" t="n"/>
      <c r="C198" s="56" t="n"/>
      <c r="D198" s="56" t="inlineStr">
        <is>
          <t>Safo Chadawa</t>
        </is>
      </c>
      <c r="E198" s="343" t="inlineStr">
        <is>
          <t>Safo</t>
        </is>
      </c>
      <c r="F198" s="56" t="inlineStr">
        <is>
          <t>Control</t>
        </is>
      </c>
      <c r="G198" s="56" t="n">
        <v>2023</v>
      </c>
      <c r="H198" s="56" t="n">
        <v>2024</v>
      </c>
      <c r="I198" s="56" t="inlineStr">
        <is>
          <t>NA</t>
        </is>
      </c>
      <c r="J198" s="56" t="inlineStr">
        <is>
          <t>NA</t>
        </is>
      </c>
      <c r="K198" s="56" t="inlineStr">
        <is>
          <t>NA</t>
        </is>
      </c>
      <c r="L198" s="56" t="inlineStr">
        <is>
          <t>NA</t>
        </is>
      </c>
      <c r="M198" s="428" t="n"/>
      <c r="N198" s="444" t="inlineStr">
        <is>
          <t>NA</t>
        </is>
      </c>
      <c r="O198" s="444" t="inlineStr">
        <is>
          <t>NA</t>
        </is>
      </c>
      <c r="P198" s="444" t="n"/>
      <c r="Q198" s="56" t="n"/>
      <c r="R198" s="56" t="n"/>
      <c r="S198" s="56" t="n"/>
      <c r="T198" s="56" t="n"/>
      <c r="U198" s="56" t="inlineStr">
        <is>
          <t>NA</t>
        </is>
      </c>
      <c r="V198" s="56" t="inlineStr">
        <is>
          <t>NA</t>
        </is>
      </c>
      <c r="W198" s="56" t="inlineStr">
        <is>
          <t>NA</t>
        </is>
      </c>
      <c r="X198" s="445" t="n">
        <v>0</v>
      </c>
      <c r="Y198" s="445" t="n"/>
      <c r="Z198" s="445" t="n"/>
      <c r="AA198" s="445" t="n"/>
      <c r="AB198" s="445" t="n"/>
      <c r="AC198" s="445" t="n"/>
      <c r="AD198" s="445" t="n"/>
      <c r="AE198" s="445" t="n"/>
      <c r="AF198" s="445" t="n"/>
      <c r="AG198" s="445" t="n"/>
      <c r="AH198" s="445" t="n"/>
      <c r="AI198" s="445" t="n"/>
      <c r="AJ198" s="446" t="n"/>
    </row>
    <row r="199">
      <c r="A199" s="406" t="n"/>
      <c r="B199" s="718" t="n">
        <v>20</v>
      </c>
      <c r="C199" s="460" t="n">
        <v>56</v>
      </c>
      <c r="D199" s="464" t="inlineStr">
        <is>
          <t>Safo Nassaraoua</t>
        </is>
      </c>
      <c r="E199" s="357" t="inlineStr">
        <is>
          <t>Safo</t>
        </is>
      </c>
      <c r="F199" s="357" t="inlineStr">
        <is>
          <t>Intervention</t>
        </is>
      </c>
      <c r="G199" s="68" t="n">
        <v>2023</v>
      </c>
      <c r="H199" s="68" t="n">
        <v>2024</v>
      </c>
      <c r="I199" s="411" t="n">
        <v>2</v>
      </c>
      <c r="J199" s="411" t="n">
        <v>1</v>
      </c>
      <c r="K199" s="68" t="n">
        <v>12</v>
      </c>
      <c r="L199" s="411" t="n">
        <v>2</v>
      </c>
      <c r="M199" s="408" t="n"/>
      <c r="N199" s="410" t="n">
        <v>0</v>
      </c>
      <c r="O199" s="410" t="n">
        <v>1</v>
      </c>
      <c r="P199" s="233" t="n"/>
      <c r="Q199" s="411" t="n"/>
      <c r="R199" s="411" t="n"/>
      <c r="S199" s="411" t="n"/>
      <c r="T199" s="411" t="n"/>
      <c r="U199" s="411" t="n">
        <v>6.86</v>
      </c>
      <c r="V199" s="411" t="n">
        <v>12.19</v>
      </c>
      <c r="W199" s="411" t="n">
        <v>9.529999999999999</v>
      </c>
      <c r="X199" s="411" t="n">
        <v>2</v>
      </c>
      <c r="Y199" s="411" t="n"/>
      <c r="Z199" s="411" t="n"/>
      <c r="AA199" s="411" t="n"/>
      <c r="AB199" s="411" t="n"/>
      <c r="AC199" s="411" t="n"/>
      <c r="AD199" s="411" t="n"/>
      <c r="AE199" s="411" t="n"/>
      <c r="AF199" s="411" t="n"/>
      <c r="AG199" s="411" t="n"/>
      <c r="AH199" s="411" t="n"/>
      <c r="AI199" s="411" t="n"/>
      <c r="AJ199" s="412" t="n"/>
    </row>
    <row r="200">
      <c r="A200" s="426" t="n"/>
      <c r="B200" s="698" t="n"/>
      <c r="C200" s="78" t="n"/>
      <c r="D200" s="78" t="inlineStr">
        <is>
          <t>Riadi Centre 2</t>
        </is>
      </c>
      <c r="E200" s="357" t="inlineStr">
        <is>
          <t>Safo</t>
        </is>
      </c>
      <c r="F200" s="78" t="inlineStr">
        <is>
          <t>Control</t>
        </is>
      </c>
      <c r="G200" s="78" t="n">
        <v>2023</v>
      </c>
      <c r="H200" s="78" t="n">
        <v>2024</v>
      </c>
      <c r="I200" s="78" t="inlineStr">
        <is>
          <t>NA</t>
        </is>
      </c>
      <c r="J200" s="78" t="inlineStr">
        <is>
          <t>NA</t>
        </is>
      </c>
      <c r="K200" s="78" t="inlineStr">
        <is>
          <t>NA</t>
        </is>
      </c>
      <c r="L200" s="78" t="inlineStr">
        <is>
          <t>NA</t>
        </is>
      </c>
      <c r="M200" s="428" t="n"/>
      <c r="N200" s="444" t="inlineStr">
        <is>
          <t>NA</t>
        </is>
      </c>
      <c r="O200" s="444" t="inlineStr">
        <is>
          <t>NA</t>
        </is>
      </c>
      <c r="P200" s="444" t="n"/>
      <c r="Q200" s="78" t="n"/>
      <c r="R200" s="78" t="n"/>
      <c r="S200" s="78" t="n"/>
      <c r="T200" s="78" t="n"/>
      <c r="U200" s="78" t="inlineStr">
        <is>
          <t>NA</t>
        </is>
      </c>
      <c r="V200" s="78" t="inlineStr">
        <is>
          <t>NA</t>
        </is>
      </c>
      <c r="W200" s="78" t="inlineStr">
        <is>
          <t>NA</t>
        </is>
      </c>
      <c r="X200" s="432" t="n">
        <v>0</v>
      </c>
      <c r="Y200" s="432" t="n"/>
      <c r="Z200" s="432" t="n"/>
      <c r="AA200" s="432" t="n"/>
      <c r="AB200" s="432" t="n"/>
      <c r="AC200" s="432" t="n"/>
      <c r="AD200" s="432" t="n"/>
      <c r="AE200" s="432" t="n"/>
      <c r="AF200" s="432" t="n"/>
      <c r="AG200" s="432" t="n"/>
      <c r="AH200" s="432" t="n"/>
      <c r="AI200" s="432" t="n"/>
      <c r="AJ200" s="433" t="n"/>
    </row>
    <row r="201">
      <c r="A201" s="434" t="n"/>
      <c r="B201" s="717" t="n">
        <v>21</v>
      </c>
      <c r="C201" s="463" t="n">
        <v>46</v>
      </c>
      <c r="D201" s="463" t="inlineStr">
        <is>
          <t>Soura 1</t>
        </is>
      </c>
      <c r="E201" s="343" t="inlineStr">
        <is>
          <t>Tibiri</t>
        </is>
      </c>
      <c r="F201" s="343" t="inlineStr">
        <is>
          <t>Intervention</t>
        </is>
      </c>
      <c r="G201" s="87" t="n">
        <v>2023</v>
      </c>
      <c r="H201" s="87" t="n">
        <v>2024</v>
      </c>
      <c r="I201" s="439" t="n">
        <v>3</v>
      </c>
      <c r="J201" s="439" t="n">
        <v>2</v>
      </c>
      <c r="K201" s="87" t="n">
        <v>29</v>
      </c>
      <c r="L201" s="439" t="n">
        <v>2</v>
      </c>
      <c r="M201" s="408" t="n"/>
      <c r="N201" s="680">
        <f>1/29</f>
        <v/>
      </c>
      <c r="O201" s="680">
        <f>27/29</f>
        <v/>
      </c>
      <c r="P201" s="233" t="n"/>
      <c r="Q201" s="439" t="n"/>
      <c r="R201" s="439" t="n"/>
      <c r="S201" s="439" t="n"/>
      <c r="T201" s="439" t="n"/>
      <c r="U201" s="439" t="n">
        <v>11.44</v>
      </c>
      <c r="V201" s="439" t="n">
        <v>14.01</v>
      </c>
      <c r="W201" s="439" t="n">
        <v>12.42</v>
      </c>
      <c r="X201" s="439" t="n">
        <v>0</v>
      </c>
      <c r="Y201" s="439" t="n"/>
      <c r="Z201" s="439" t="n"/>
      <c r="AA201" s="439" t="n"/>
      <c r="AB201" s="439" t="n"/>
      <c r="AC201" s="439" t="n"/>
      <c r="AD201" s="439" t="n"/>
      <c r="AE201" s="439" t="n"/>
      <c r="AF201" s="439" t="n"/>
      <c r="AG201" s="439" t="n"/>
      <c r="AH201" s="439" t="n"/>
      <c r="AI201" s="439" t="n"/>
      <c r="AJ201" s="440" t="n"/>
    </row>
    <row r="202">
      <c r="A202" s="441" t="n"/>
      <c r="B202" s="698" t="n"/>
      <c r="C202" s="56" t="n"/>
      <c r="D202" s="56" t="inlineStr">
        <is>
          <t>Maza Tsaye I</t>
        </is>
      </c>
      <c r="E202" s="343" t="inlineStr">
        <is>
          <t>Tibiri</t>
        </is>
      </c>
      <c r="F202" s="56" t="inlineStr">
        <is>
          <t>Control</t>
        </is>
      </c>
      <c r="G202" s="56" t="n">
        <v>2023</v>
      </c>
      <c r="H202" s="56" t="n">
        <v>2024</v>
      </c>
      <c r="I202" s="56" t="inlineStr">
        <is>
          <t>NA</t>
        </is>
      </c>
      <c r="J202" s="56" t="inlineStr">
        <is>
          <t>NA</t>
        </is>
      </c>
      <c r="K202" s="56" t="n">
        <v>35</v>
      </c>
      <c r="L202" s="56" t="inlineStr">
        <is>
          <t>NA</t>
        </is>
      </c>
      <c r="M202" s="428" t="n"/>
      <c r="N202" s="451" t="n">
        <v>0.0286</v>
      </c>
      <c r="O202" s="451" t="n">
        <v>0.1765</v>
      </c>
      <c r="P202" s="444" t="inlineStr">
        <is>
          <t>NA</t>
        </is>
      </c>
      <c r="Q202" s="56" t="n"/>
      <c r="R202" s="56" t="n"/>
      <c r="S202" s="56" t="n"/>
      <c r="T202" s="56" t="n"/>
      <c r="U202" s="56" t="inlineStr">
        <is>
          <t>NA</t>
        </is>
      </c>
      <c r="V202" s="56" t="inlineStr">
        <is>
          <t>NA</t>
        </is>
      </c>
      <c r="W202" s="56" t="inlineStr">
        <is>
          <t>NA</t>
        </is>
      </c>
      <c r="X202" s="445" t="n">
        <v>0</v>
      </c>
      <c r="Y202" s="445" t="n"/>
      <c r="Z202" s="445" t="n"/>
      <c r="AA202" s="445" t="n"/>
      <c r="AB202" s="445" t="n"/>
      <c r="AC202" s="445" t="n"/>
      <c r="AD202" s="445" t="n"/>
      <c r="AE202" s="445" t="n"/>
      <c r="AF202" s="445" t="n"/>
      <c r="AG202" s="445" t="n"/>
      <c r="AH202" s="445" t="n"/>
      <c r="AI202" s="445" t="n"/>
      <c r="AJ202" s="446" t="n"/>
    </row>
    <row r="203">
      <c r="A203" s="406" t="n"/>
      <c r="B203" s="718" t="n">
        <v>22</v>
      </c>
      <c r="C203" s="460" t="n">
        <v>60</v>
      </c>
      <c r="D203" s="464" t="inlineStr">
        <is>
          <t>Tchikadji Centre</t>
        </is>
      </c>
      <c r="E203" s="461" t="inlineStr">
        <is>
          <t>Safo</t>
        </is>
      </c>
      <c r="F203" s="357" t="inlineStr">
        <is>
          <t>Intervention</t>
        </is>
      </c>
      <c r="G203" s="68" t="n">
        <v>2023</v>
      </c>
      <c r="H203" s="68" t="n">
        <v>2024</v>
      </c>
      <c r="I203" s="411" t="n">
        <v>3</v>
      </c>
      <c r="J203" s="411" t="n">
        <v>1</v>
      </c>
      <c r="K203" s="68" t="n">
        <v>12</v>
      </c>
      <c r="L203" s="411" t="n">
        <v>2</v>
      </c>
      <c r="M203" s="408" t="n"/>
      <c r="N203" s="410" t="n">
        <v>0</v>
      </c>
      <c r="O203" s="410" t="n">
        <v>1</v>
      </c>
      <c r="P203" s="233" t="n"/>
      <c r="Q203" s="462" t="n"/>
      <c r="R203" s="462" t="n"/>
      <c r="S203" s="462" t="n"/>
      <c r="T203" s="462" t="n"/>
      <c r="U203" s="462" t="n">
        <v>7.46</v>
      </c>
      <c r="V203" s="462" t="n">
        <v>13.1</v>
      </c>
      <c r="W203" s="462" t="n">
        <v>10.28</v>
      </c>
      <c r="X203" s="411" t="n">
        <v>0</v>
      </c>
      <c r="Y203" s="411" t="n"/>
      <c r="Z203" s="411" t="n"/>
      <c r="AA203" s="411" t="n"/>
      <c r="AB203" s="411" t="n"/>
      <c r="AC203" s="411" t="n"/>
      <c r="AD203" s="411" t="n"/>
      <c r="AE203" s="411" t="n"/>
      <c r="AF203" s="411" t="n"/>
      <c r="AG203" s="411" t="n"/>
      <c r="AH203" s="411" t="n"/>
      <c r="AI203" s="411" t="n"/>
      <c r="AJ203" s="412" t="n"/>
    </row>
    <row r="204">
      <c r="A204" s="426" t="n"/>
      <c r="B204" s="698" t="n"/>
      <c r="C204" s="78" t="n"/>
      <c r="D204" s="78" t="inlineStr">
        <is>
          <t>Kagara</t>
        </is>
      </c>
      <c r="E204" s="461" t="inlineStr">
        <is>
          <t>Safo</t>
        </is>
      </c>
      <c r="F204" s="78" t="inlineStr">
        <is>
          <t>Control</t>
        </is>
      </c>
      <c r="G204" s="78" t="n">
        <v>2023</v>
      </c>
      <c r="H204" s="78" t="n">
        <v>2024</v>
      </c>
      <c r="I204" s="78" t="inlineStr">
        <is>
          <t>NA</t>
        </is>
      </c>
      <c r="J204" s="78" t="inlineStr">
        <is>
          <t>NA</t>
        </is>
      </c>
      <c r="K204" s="78" t="n">
        <v>23</v>
      </c>
      <c r="L204" s="78" t="inlineStr">
        <is>
          <t>NA</t>
        </is>
      </c>
      <c r="M204" s="428" t="n"/>
      <c r="N204" s="429" t="n">
        <v>0</v>
      </c>
      <c r="O204" s="430" t="n">
        <v>0.08699999999999999</v>
      </c>
      <c r="P204" s="444" t="inlineStr">
        <is>
          <t>NA</t>
        </is>
      </c>
      <c r="Q204" s="78" t="n"/>
      <c r="R204" s="78" t="n"/>
      <c r="S204" s="78" t="n"/>
      <c r="T204" s="78" t="n"/>
      <c r="U204" s="78" t="inlineStr">
        <is>
          <t>NA</t>
        </is>
      </c>
      <c r="V204" s="78" t="inlineStr">
        <is>
          <t>NA</t>
        </is>
      </c>
      <c r="W204" s="78" t="inlineStr">
        <is>
          <t>NA</t>
        </is>
      </c>
      <c r="X204" s="432" t="n">
        <v>0</v>
      </c>
      <c r="Y204" s="432" t="n"/>
      <c r="Z204" s="432" t="n"/>
      <c r="AA204" s="432" t="n"/>
      <c r="AB204" s="432" t="n"/>
      <c r="AC204" s="432" t="n"/>
      <c r="AD204" s="432" t="n"/>
      <c r="AE204" s="432" t="n"/>
      <c r="AF204" s="432" t="n"/>
      <c r="AG204" s="432" t="n"/>
      <c r="AH204" s="432" t="n"/>
      <c r="AI204" s="432" t="n"/>
      <c r="AJ204" s="433" t="n"/>
    </row>
    <row r="205">
      <c r="A205" s="434" t="n"/>
      <c r="B205" s="717" t="n">
        <v>23</v>
      </c>
      <c r="C205" s="463" t="n">
        <v>61</v>
      </c>
      <c r="D205" s="463" t="inlineStr">
        <is>
          <t>Maradou Centre</t>
        </is>
      </c>
      <c r="E205" s="343" t="inlineStr">
        <is>
          <t>Safo</t>
        </is>
      </c>
      <c r="F205" s="343" t="inlineStr">
        <is>
          <t>Intervention</t>
        </is>
      </c>
      <c r="G205" s="87" t="n">
        <v>2023</v>
      </c>
      <c r="H205" s="87" t="n">
        <v>2024</v>
      </c>
      <c r="I205" s="439" t="n">
        <v>3</v>
      </c>
      <c r="J205" s="439" t="n">
        <v>2</v>
      </c>
      <c r="K205" s="87" t="n">
        <v>28</v>
      </c>
      <c r="L205" s="439" t="n">
        <v>2</v>
      </c>
      <c r="M205" s="408" t="n"/>
      <c r="N205" s="436" t="n">
        <v>0</v>
      </c>
      <c r="O205" s="436" t="n">
        <v>1</v>
      </c>
      <c r="P205" s="233" t="n"/>
      <c r="Q205" s="56" t="n"/>
      <c r="R205" s="56" t="n"/>
      <c r="S205" s="56" t="n"/>
      <c r="T205" s="56" t="n"/>
      <c r="U205" s="680" t="n">
        <v>0.0973</v>
      </c>
      <c r="V205" s="680" t="n">
        <v>0.1236</v>
      </c>
      <c r="W205" s="680" t="n">
        <v>0.1115</v>
      </c>
      <c r="X205" s="439" t="n">
        <v>0</v>
      </c>
      <c r="Y205" s="439" t="n"/>
      <c r="Z205" s="439" t="n"/>
      <c r="AA205" s="439" t="n"/>
      <c r="AB205" s="439" t="n"/>
      <c r="AC205" s="439" t="n"/>
      <c r="AD205" s="439" t="n"/>
      <c r="AE205" s="439" t="n"/>
      <c r="AF205" s="439" t="n"/>
      <c r="AG205" s="439" t="n"/>
      <c r="AH205" s="439" t="n"/>
      <c r="AI205" s="439" t="n"/>
      <c r="AJ205" s="440" t="n"/>
    </row>
    <row r="206">
      <c r="A206" s="441" t="n"/>
      <c r="B206" s="698" t="n"/>
      <c r="C206" s="56" t="n"/>
      <c r="D206" s="56" t="inlineStr">
        <is>
          <t>Riadi Quartier</t>
        </is>
      </c>
      <c r="E206" s="343" t="inlineStr">
        <is>
          <t>Safo</t>
        </is>
      </c>
      <c r="F206" s="56" t="inlineStr">
        <is>
          <t>Control</t>
        </is>
      </c>
      <c r="G206" s="56" t="n">
        <v>2023</v>
      </c>
      <c r="H206" s="56" t="n">
        <v>2024</v>
      </c>
      <c r="I206" s="56" t="inlineStr">
        <is>
          <t>NA</t>
        </is>
      </c>
      <c r="J206" s="56" t="inlineStr">
        <is>
          <t>NA</t>
        </is>
      </c>
      <c r="K206" s="56" t="inlineStr">
        <is>
          <t>NA</t>
        </is>
      </c>
      <c r="L206" s="56" t="inlineStr">
        <is>
          <t>NA</t>
        </is>
      </c>
      <c r="M206" s="428" t="n"/>
      <c r="N206" s="444" t="inlineStr">
        <is>
          <t>NA</t>
        </is>
      </c>
      <c r="O206" s="444" t="inlineStr">
        <is>
          <t>NA</t>
        </is>
      </c>
      <c r="P206" s="444" t="inlineStr">
        <is>
          <t>NA</t>
        </is>
      </c>
      <c r="Q206" s="56" t="n"/>
      <c r="R206" s="56" t="n"/>
      <c r="S206" s="56" t="n"/>
      <c r="T206" s="56" t="n"/>
      <c r="U206" s="56" t="inlineStr">
        <is>
          <t>NA</t>
        </is>
      </c>
      <c r="V206" s="56" t="inlineStr">
        <is>
          <t>NA</t>
        </is>
      </c>
      <c r="W206" s="56" t="inlineStr">
        <is>
          <t>NA</t>
        </is>
      </c>
      <c r="X206" s="445" t="n">
        <v>0</v>
      </c>
      <c r="Y206" s="445" t="n"/>
      <c r="Z206" s="445" t="n"/>
      <c r="AA206" s="445" t="n"/>
      <c r="AB206" s="445" t="n"/>
      <c r="AC206" s="445" t="n"/>
      <c r="AD206" s="445" t="n"/>
      <c r="AE206" s="445" t="n"/>
      <c r="AF206" s="445" t="n"/>
      <c r="AG206" s="445" t="n"/>
      <c r="AH206" s="445" t="n"/>
      <c r="AI206" s="445" t="n"/>
      <c r="AJ206" s="446" t="n"/>
    </row>
    <row r="207">
      <c r="A207" s="406" t="n"/>
      <c r="B207" s="718" t="n">
        <v>24</v>
      </c>
      <c r="C207" s="455" t="n">
        <v>88</v>
      </c>
      <c r="D207" s="455" t="inlineStr">
        <is>
          <t>Louloubi</t>
        </is>
      </c>
      <c r="E207" s="461" t="inlineStr">
        <is>
          <t>Sae Saboua</t>
        </is>
      </c>
      <c r="F207" s="357" t="inlineStr">
        <is>
          <t>Intervention</t>
        </is>
      </c>
      <c r="G207" s="68" t="n">
        <v>2023</v>
      </c>
      <c r="H207" s="68" t="n">
        <v>2024</v>
      </c>
      <c r="I207" s="411" t="n">
        <v>3</v>
      </c>
      <c r="J207" s="411" t="n">
        <v>2</v>
      </c>
      <c r="K207" s="68" t="n">
        <v>31</v>
      </c>
      <c r="L207" s="411" t="n">
        <v>2</v>
      </c>
      <c r="M207" s="408" t="n"/>
      <c r="N207" s="410" t="n">
        <v>0</v>
      </c>
      <c r="O207" s="409">
        <f>30/31</f>
        <v/>
      </c>
      <c r="P207" s="233" t="n"/>
      <c r="Q207" s="411" t="n"/>
      <c r="R207" s="411" t="n"/>
      <c r="S207" s="411" t="n"/>
      <c r="T207" s="411" t="n"/>
      <c r="U207" s="411" t="n">
        <v>10.37</v>
      </c>
      <c r="V207" s="411" t="n">
        <v>9.44</v>
      </c>
      <c r="W207" s="411" t="n">
        <v>9.9</v>
      </c>
      <c r="X207" s="411" t="n">
        <v>2</v>
      </c>
      <c r="Y207" s="411" t="n"/>
      <c r="Z207" s="411" t="n"/>
      <c r="AA207" s="411" t="n"/>
      <c r="AB207" s="411" t="n"/>
      <c r="AC207" s="411" t="n"/>
      <c r="AD207" s="411" t="n"/>
      <c r="AE207" s="411" t="n"/>
      <c r="AF207" s="411" t="n"/>
      <c r="AG207" s="411" t="n"/>
      <c r="AH207" s="411" t="n"/>
      <c r="AI207" s="411" t="n"/>
      <c r="AJ207" s="412" t="n"/>
    </row>
    <row r="208">
      <c r="A208" s="426" t="n"/>
      <c r="B208" s="698" t="n"/>
      <c r="C208" s="78" t="n"/>
      <c r="D208" s="78" t="inlineStr">
        <is>
          <t>Karambi Sofoua</t>
        </is>
      </c>
      <c r="E208" s="461" t="inlineStr">
        <is>
          <t>Sae Saboua</t>
        </is>
      </c>
      <c r="F208" s="78" t="inlineStr">
        <is>
          <t>Control</t>
        </is>
      </c>
      <c r="G208" s="78" t="n">
        <v>2023</v>
      </c>
      <c r="H208" s="78" t="n">
        <v>2024</v>
      </c>
      <c r="I208" s="78" t="inlineStr">
        <is>
          <t>NA</t>
        </is>
      </c>
      <c r="J208" s="78" t="inlineStr">
        <is>
          <t>NA</t>
        </is>
      </c>
      <c r="K208" s="78" t="n">
        <v>10</v>
      </c>
      <c r="L208" s="78" t="inlineStr">
        <is>
          <t>NA</t>
        </is>
      </c>
      <c r="M208" s="428" t="n"/>
      <c r="N208" s="429" t="n">
        <v>0</v>
      </c>
      <c r="O208" s="429" t="n">
        <v>0.5</v>
      </c>
      <c r="P208" s="444" t="inlineStr">
        <is>
          <t>NA</t>
        </is>
      </c>
      <c r="Q208" s="78" t="n"/>
      <c r="R208" s="78" t="n"/>
      <c r="S208" s="78" t="n"/>
      <c r="T208" s="78" t="n"/>
      <c r="U208" s="78" t="inlineStr">
        <is>
          <t>NA</t>
        </is>
      </c>
      <c r="V208" s="78" t="inlineStr">
        <is>
          <t>NA</t>
        </is>
      </c>
      <c r="W208" s="78" t="inlineStr">
        <is>
          <t>NA</t>
        </is>
      </c>
      <c r="X208" s="432" t="n">
        <v>0</v>
      </c>
      <c r="Y208" s="432" t="n"/>
      <c r="Z208" s="432" t="n"/>
      <c r="AA208" s="432" t="n"/>
      <c r="AB208" s="432" t="n"/>
      <c r="AC208" s="432" t="n"/>
      <c r="AD208" s="432" t="n"/>
      <c r="AE208" s="432" t="n"/>
      <c r="AF208" s="432" t="n"/>
      <c r="AG208" s="432" t="n"/>
      <c r="AH208" s="432" t="n"/>
      <c r="AI208" s="432" t="n"/>
      <c r="AJ208" s="433" t="n"/>
    </row>
    <row r="209">
      <c r="A209" s="434" t="n"/>
      <c r="B209" s="717" t="n">
        <v>25</v>
      </c>
      <c r="C209" s="463" t="n">
        <v>90</v>
      </c>
      <c r="D209" s="463" t="inlineStr">
        <is>
          <t xml:space="preserve">Kadata </t>
        </is>
      </c>
      <c r="E209" s="343" t="inlineStr">
        <is>
          <t>Sae Saboua</t>
        </is>
      </c>
      <c r="F209" s="343" t="inlineStr">
        <is>
          <t>Intervention</t>
        </is>
      </c>
      <c r="G209" s="87" t="n">
        <v>2023</v>
      </c>
      <c r="H209" s="87" t="n">
        <v>2024</v>
      </c>
      <c r="I209" s="439" t="n">
        <v>3</v>
      </c>
      <c r="J209" s="439" t="n">
        <v>2</v>
      </c>
      <c r="K209" s="87" t="n">
        <v>25</v>
      </c>
      <c r="L209" s="439" t="n">
        <v>2</v>
      </c>
      <c r="M209" s="408" t="n"/>
      <c r="N209" s="436" t="n">
        <v>0</v>
      </c>
      <c r="O209" s="436" t="n">
        <v>1</v>
      </c>
      <c r="P209" s="233" t="n"/>
      <c r="Q209" s="439" t="n"/>
      <c r="R209" s="439" t="n"/>
      <c r="S209" s="439" t="n"/>
      <c r="T209" s="439" t="n"/>
      <c r="U209" s="439" t="n">
        <v>8.74</v>
      </c>
      <c r="V209" s="439" t="n">
        <v>8.640000000000001</v>
      </c>
      <c r="W209" s="439" t="n">
        <v>8.69</v>
      </c>
      <c r="X209" s="439" t="n">
        <v>2</v>
      </c>
      <c r="Y209" s="439" t="n"/>
      <c r="Z209" s="439" t="n"/>
      <c r="AA209" s="439" t="n"/>
      <c r="AB209" s="439" t="n"/>
      <c r="AC209" s="439" t="n"/>
      <c r="AD209" s="439" t="n"/>
      <c r="AE209" s="439" t="n"/>
      <c r="AF209" s="439" t="n"/>
      <c r="AG209" s="439" t="n"/>
      <c r="AH209" s="439" t="n"/>
      <c r="AI209" s="439" t="n"/>
      <c r="AJ209" s="440" t="n"/>
    </row>
    <row r="210">
      <c r="A210" s="441" t="n"/>
      <c r="B210" s="698" t="n"/>
      <c r="C210" s="56" t="n"/>
      <c r="D210" s="56" t="inlineStr">
        <is>
          <t>Mountarou 1</t>
        </is>
      </c>
      <c r="E210" s="343" t="inlineStr">
        <is>
          <t>Sae Saboua</t>
        </is>
      </c>
      <c r="F210" s="56" t="inlineStr">
        <is>
          <t>Control</t>
        </is>
      </c>
      <c r="G210" s="56" t="n">
        <v>2023</v>
      </c>
      <c r="H210" s="56" t="n">
        <v>2024</v>
      </c>
      <c r="I210" s="56" t="inlineStr">
        <is>
          <t>NA</t>
        </is>
      </c>
      <c r="J210" s="56" t="inlineStr">
        <is>
          <t>NA</t>
        </is>
      </c>
      <c r="K210" s="56" t="inlineStr">
        <is>
          <t>NA</t>
        </is>
      </c>
      <c r="L210" s="56" t="inlineStr">
        <is>
          <t>NA</t>
        </is>
      </c>
      <c r="M210" s="428" t="n"/>
      <c r="N210" s="444" t="inlineStr">
        <is>
          <t>NA</t>
        </is>
      </c>
      <c r="O210" s="444" t="inlineStr">
        <is>
          <t>NA</t>
        </is>
      </c>
      <c r="P210" s="444" t="inlineStr">
        <is>
          <t>NA</t>
        </is>
      </c>
      <c r="Q210" s="56" t="n"/>
      <c r="R210" s="56" t="n"/>
      <c r="S210" s="56" t="n"/>
      <c r="T210" s="56" t="n"/>
      <c r="U210" s="56" t="inlineStr">
        <is>
          <t>NA</t>
        </is>
      </c>
      <c r="V210" s="56" t="inlineStr">
        <is>
          <t>NA</t>
        </is>
      </c>
      <c r="W210" s="56" t="inlineStr">
        <is>
          <t>NA</t>
        </is>
      </c>
      <c r="X210" s="445" t="n">
        <v>2</v>
      </c>
      <c r="Y210" s="445" t="n"/>
      <c r="Z210" s="445" t="n"/>
      <c r="AA210" s="445" t="n"/>
      <c r="AB210" s="445" t="n"/>
      <c r="AC210" s="445" t="n"/>
      <c r="AD210" s="445" t="n"/>
      <c r="AE210" s="445" t="n"/>
      <c r="AF210" s="445" t="n"/>
      <c r="AG210" s="445" t="n"/>
      <c r="AH210" s="445" t="n"/>
      <c r="AI210" s="445" t="n"/>
      <c r="AJ210" s="446" t="n"/>
    </row>
    <row r="211">
      <c r="A211" s="406" t="n"/>
      <c r="B211" s="718" t="n">
        <v>26</v>
      </c>
      <c r="C211" s="464" t="n">
        <v>92</v>
      </c>
      <c r="D211" s="464" t="inlineStr">
        <is>
          <t xml:space="preserve">Barouana </t>
        </is>
      </c>
      <c r="E211" s="357" t="inlineStr">
        <is>
          <t>Sae Saboua</t>
        </is>
      </c>
      <c r="F211" s="357" t="inlineStr">
        <is>
          <t>Intervention</t>
        </is>
      </c>
      <c r="G211" s="68" t="n">
        <v>2023</v>
      </c>
      <c r="H211" s="68" t="n">
        <v>2024</v>
      </c>
      <c r="I211" s="411" t="n">
        <v>3</v>
      </c>
      <c r="J211" s="411" t="n">
        <v>2</v>
      </c>
      <c r="K211" s="68" t="n">
        <v>27</v>
      </c>
      <c r="L211" s="411" t="n">
        <v>2</v>
      </c>
      <c r="M211" s="408" t="n"/>
      <c r="N211" s="409">
        <f>1/27</f>
        <v/>
      </c>
      <c r="O211" s="409">
        <f>26/27</f>
        <v/>
      </c>
      <c r="P211" s="233" t="n"/>
      <c r="Q211" s="411" t="n"/>
      <c r="R211" s="411" t="n"/>
      <c r="S211" s="411" t="n"/>
      <c r="T211" s="411" t="n"/>
      <c r="U211" s="411" t="n">
        <v>8.369999999999999</v>
      </c>
      <c r="V211" s="411" t="n">
        <v>12.26</v>
      </c>
      <c r="W211" s="411" t="n">
        <v>10.31</v>
      </c>
      <c r="X211" s="411" t="n">
        <v>1</v>
      </c>
      <c r="Y211" s="411" t="n"/>
      <c r="Z211" s="411" t="n"/>
      <c r="AA211" s="411" t="n"/>
      <c r="AB211" s="411" t="n"/>
      <c r="AC211" s="411" t="n"/>
      <c r="AD211" s="411" t="n"/>
      <c r="AE211" s="411" t="n"/>
      <c r="AF211" s="411" t="n"/>
      <c r="AG211" s="411" t="n"/>
      <c r="AH211" s="411" t="n"/>
      <c r="AI211" s="411" t="n"/>
      <c r="AJ211" s="412" t="n"/>
    </row>
    <row r="212">
      <c r="A212" s="426" t="n"/>
      <c r="B212" s="698" t="n"/>
      <c r="C212" s="78" t="n"/>
      <c r="D212" s="78" t="inlineStr">
        <is>
          <t>Mata Milki</t>
        </is>
      </c>
      <c r="E212" s="357" t="inlineStr">
        <is>
          <t>Sae Saboua</t>
        </is>
      </c>
      <c r="F212" s="78" t="inlineStr">
        <is>
          <t>Control</t>
        </is>
      </c>
      <c r="G212" s="78" t="n">
        <v>2023</v>
      </c>
      <c r="H212" s="78" t="n">
        <v>2024</v>
      </c>
      <c r="I212" s="78" t="inlineStr">
        <is>
          <t>NA</t>
        </is>
      </c>
      <c r="J212" s="78" t="inlineStr">
        <is>
          <t>NA</t>
        </is>
      </c>
      <c r="K212" s="78" t="n">
        <v>49</v>
      </c>
      <c r="L212" s="78" t="inlineStr">
        <is>
          <t>NA</t>
        </is>
      </c>
      <c r="M212" s="428" t="n"/>
      <c r="N212" s="429" t="n">
        <v>0</v>
      </c>
      <c r="O212" s="430" t="n">
        <v>0.449</v>
      </c>
      <c r="P212" s="444" t="inlineStr">
        <is>
          <t>NA</t>
        </is>
      </c>
      <c r="Q212" s="78" t="n"/>
      <c r="R212" s="78" t="n"/>
      <c r="S212" s="78" t="n"/>
      <c r="T212" s="78" t="n"/>
      <c r="U212" s="78" t="inlineStr">
        <is>
          <t>NA</t>
        </is>
      </c>
      <c r="V212" s="78" t="inlineStr">
        <is>
          <t>NA</t>
        </is>
      </c>
      <c r="W212" s="78" t="inlineStr">
        <is>
          <t>NA</t>
        </is>
      </c>
      <c r="X212" s="432" t="n">
        <v>0</v>
      </c>
      <c r="Y212" s="432" t="n"/>
      <c r="Z212" s="432" t="n"/>
      <c r="AA212" s="432" t="n"/>
      <c r="AB212" s="432" t="n"/>
      <c r="AC212" s="432" t="n"/>
      <c r="AD212" s="432" t="n"/>
      <c r="AE212" s="432" t="n"/>
      <c r="AF212" s="432" t="n"/>
      <c r="AG212" s="432" t="n"/>
      <c r="AH212" s="432" t="n"/>
      <c r="AI212" s="432" t="n"/>
      <c r="AJ212" s="433" t="n"/>
    </row>
    <row r="213">
      <c r="A213" s="434" t="n"/>
      <c r="B213" s="717" t="n">
        <v>27</v>
      </c>
      <c r="C213" s="87" t="n">
        <v>94</v>
      </c>
      <c r="D213" s="87" t="inlineStr">
        <is>
          <t>Dan Gamji</t>
        </is>
      </c>
      <c r="E213" s="343" t="inlineStr">
        <is>
          <t>Sae Saboua</t>
        </is>
      </c>
      <c r="F213" s="343" t="inlineStr">
        <is>
          <t>Intervention</t>
        </is>
      </c>
      <c r="G213" s="87" t="n">
        <v>2023</v>
      </c>
      <c r="H213" s="87" t="n">
        <v>2024</v>
      </c>
      <c r="I213" s="439" t="n">
        <v>2</v>
      </c>
      <c r="J213" s="439" t="n">
        <v>3</v>
      </c>
      <c r="K213" s="87" t="n">
        <v>51</v>
      </c>
      <c r="L213" s="439" t="n">
        <v>2</v>
      </c>
      <c r="M213" s="408" t="n"/>
      <c r="N213" s="436" t="n">
        <v>0</v>
      </c>
      <c r="O213" s="436" t="n">
        <v>1</v>
      </c>
      <c r="P213" s="233" t="n"/>
      <c r="Q213" s="439" t="n"/>
      <c r="R213" s="439" t="n"/>
      <c r="S213" s="439" t="n"/>
      <c r="T213" s="439" t="n"/>
      <c r="U213" s="439" t="n">
        <v>10.41</v>
      </c>
      <c r="V213" s="439" t="n">
        <v>12.83</v>
      </c>
      <c r="W213" s="439" t="n">
        <v>11.62</v>
      </c>
      <c r="X213" s="439" t="n">
        <v>2</v>
      </c>
      <c r="Y213" s="439" t="n"/>
      <c r="Z213" s="439" t="n"/>
      <c r="AA213" s="439" t="n"/>
      <c r="AB213" s="439" t="n"/>
      <c r="AC213" s="439" t="n"/>
      <c r="AD213" s="439" t="n"/>
      <c r="AE213" s="439" t="n"/>
      <c r="AF213" s="439" t="n"/>
      <c r="AG213" s="439" t="n"/>
      <c r="AH213" s="439" t="n"/>
      <c r="AI213" s="439" t="n"/>
      <c r="AJ213" s="440" t="n"/>
    </row>
    <row r="214">
      <c r="A214" s="441" t="n"/>
      <c r="B214" s="698" t="n"/>
      <c r="C214" s="56" t="n"/>
      <c r="D214" s="56" t="inlineStr">
        <is>
          <t>Dan Toumbi</t>
        </is>
      </c>
      <c r="E214" s="343" t="inlineStr">
        <is>
          <t>Sae Saboua</t>
        </is>
      </c>
      <c r="F214" s="56" t="inlineStr">
        <is>
          <t>Control</t>
        </is>
      </c>
      <c r="G214" s="56" t="n">
        <v>2023</v>
      </c>
      <c r="H214" s="56" t="n">
        <v>2024</v>
      </c>
      <c r="I214" s="56" t="inlineStr">
        <is>
          <t>NA</t>
        </is>
      </c>
      <c r="J214" s="56" t="inlineStr">
        <is>
          <t>NA</t>
        </is>
      </c>
      <c r="K214" s="56" t="inlineStr">
        <is>
          <t>NA</t>
        </is>
      </c>
      <c r="L214" s="56" t="inlineStr">
        <is>
          <t>NA</t>
        </is>
      </c>
      <c r="M214" s="428" t="n"/>
      <c r="N214" s="444" t="inlineStr">
        <is>
          <t>NA</t>
        </is>
      </c>
      <c r="O214" s="444" t="inlineStr">
        <is>
          <t>NA</t>
        </is>
      </c>
      <c r="P214" s="444" t="inlineStr">
        <is>
          <t>NA</t>
        </is>
      </c>
      <c r="Q214" s="56" t="n"/>
      <c r="R214" s="56" t="n"/>
      <c r="S214" s="56" t="n"/>
      <c r="T214" s="56" t="n"/>
      <c r="U214" s="56" t="inlineStr">
        <is>
          <t>NA</t>
        </is>
      </c>
      <c r="V214" s="56" t="inlineStr">
        <is>
          <t>NA</t>
        </is>
      </c>
      <c r="W214" s="56" t="inlineStr">
        <is>
          <t>NA</t>
        </is>
      </c>
      <c r="X214" s="445" t="n">
        <v>0</v>
      </c>
      <c r="Y214" s="445" t="n"/>
      <c r="Z214" s="445" t="n"/>
      <c r="AA214" s="445" t="n"/>
      <c r="AB214" s="445" t="n"/>
      <c r="AC214" s="445" t="n"/>
      <c r="AD214" s="445" t="n"/>
      <c r="AE214" s="445" t="n"/>
      <c r="AF214" s="445" t="n"/>
      <c r="AG214" s="445" t="n"/>
      <c r="AH214" s="445" t="n"/>
      <c r="AI214" s="445" t="n"/>
      <c r="AJ214" s="446" t="n"/>
    </row>
    <row r="215">
      <c r="A215" s="406" t="n"/>
      <c r="B215" s="718" t="n">
        <v>28</v>
      </c>
      <c r="C215" s="68" t="n">
        <v>95</v>
      </c>
      <c r="D215" s="68" t="inlineStr">
        <is>
          <t>Kadigaoua</t>
        </is>
      </c>
      <c r="E215" s="357" t="inlineStr">
        <is>
          <t>Sae Saboua</t>
        </is>
      </c>
      <c r="F215" s="357" t="inlineStr">
        <is>
          <t>Intervention</t>
        </is>
      </c>
      <c r="G215" s="68" t="n">
        <v>2023</v>
      </c>
      <c r="H215" s="68" t="n">
        <v>2024</v>
      </c>
      <c r="I215" s="411" t="n">
        <v>2</v>
      </c>
      <c r="J215" s="411" t="n">
        <v>1</v>
      </c>
      <c r="K215" s="68" t="n">
        <v>17</v>
      </c>
      <c r="L215" s="411" t="n">
        <v>2</v>
      </c>
      <c r="M215" s="408" t="n"/>
      <c r="N215" s="409">
        <f>1/17</f>
        <v/>
      </c>
      <c r="O215" s="409">
        <f>16/17</f>
        <v/>
      </c>
      <c r="P215" s="233" t="n"/>
      <c r="Q215" s="411" t="n"/>
      <c r="R215" s="411" t="n"/>
      <c r="S215" s="411" t="n"/>
      <c r="T215" s="411" t="n"/>
      <c r="U215" s="411" t="n">
        <v>7.72</v>
      </c>
      <c r="V215" s="411" t="n">
        <v>9.17</v>
      </c>
      <c r="W215" s="411" t="n">
        <v>8.449999999999999</v>
      </c>
      <c r="X215" s="411" t="n">
        <v>0</v>
      </c>
      <c r="Y215" s="411" t="n"/>
      <c r="Z215" s="411" t="n"/>
      <c r="AA215" s="411" t="n"/>
      <c r="AB215" s="411" t="n"/>
      <c r="AC215" s="411" t="n"/>
      <c r="AD215" s="411" t="n"/>
      <c r="AE215" s="411" t="n"/>
      <c r="AF215" s="411" t="n"/>
      <c r="AG215" s="411" t="n"/>
      <c r="AH215" s="411" t="n"/>
      <c r="AI215" s="411" t="n"/>
      <c r="AJ215" s="412" t="n"/>
    </row>
    <row r="216">
      <c r="A216" s="426" t="n"/>
      <c r="B216" s="698" t="n"/>
      <c r="C216" s="78" t="n"/>
      <c r="D216" s="382" t="inlineStr">
        <is>
          <t xml:space="preserve">Tsanna Publique </t>
        </is>
      </c>
      <c r="E216" s="357" t="inlineStr">
        <is>
          <t>Sae Saboua</t>
        </is>
      </c>
      <c r="F216" s="78" t="inlineStr">
        <is>
          <t>Control</t>
        </is>
      </c>
      <c r="G216" s="78" t="n">
        <v>2023</v>
      </c>
      <c r="H216" s="78" t="n">
        <v>2024</v>
      </c>
      <c r="I216" s="78" t="inlineStr">
        <is>
          <t>NA</t>
        </is>
      </c>
      <c r="J216" s="78" t="inlineStr">
        <is>
          <t>NA</t>
        </is>
      </c>
      <c r="K216" s="78" t="inlineStr">
        <is>
          <t>NA</t>
        </is>
      </c>
      <c r="L216" s="78" t="inlineStr">
        <is>
          <t>NA</t>
        </is>
      </c>
      <c r="M216" s="428" t="n"/>
      <c r="N216" s="444" t="inlineStr">
        <is>
          <t>NA</t>
        </is>
      </c>
      <c r="O216" s="444" t="inlineStr">
        <is>
          <t>NA</t>
        </is>
      </c>
      <c r="P216" s="444" t="inlineStr">
        <is>
          <t>NA</t>
        </is>
      </c>
      <c r="Q216" s="78" t="n"/>
      <c r="R216" s="78" t="n"/>
      <c r="S216" s="78" t="n"/>
      <c r="T216" s="78" t="n"/>
      <c r="U216" s="78" t="inlineStr">
        <is>
          <t>NA</t>
        </is>
      </c>
      <c r="V216" s="78" t="inlineStr">
        <is>
          <t>NA</t>
        </is>
      </c>
      <c r="W216" s="78" t="inlineStr">
        <is>
          <t>NA</t>
        </is>
      </c>
      <c r="X216" s="432" t="n">
        <v>0</v>
      </c>
      <c r="Y216" s="432" t="n"/>
      <c r="Z216" s="432" t="n"/>
      <c r="AA216" s="432" t="n"/>
      <c r="AB216" s="432" t="n"/>
      <c r="AC216" s="432" t="n"/>
      <c r="AD216" s="432" t="n"/>
      <c r="AE216" s="432" t="n"/>
      <c r="AF216" s="432" t="n"/>
      <c r="AG216" s="432" t="n"/>
      <c r="AH216" s="432" t="n"/>
      <c r="AI216" s="432" t="n"/>
      <c r="AJ216" s="433" t="n"/>
    </row>
    <row r="217">
      <c r="A217" s="434" t="n"/>
      <c r="B217" s="717" t="n">
        <v>29</v>
      </c>
      <c r="C217" s="87" t="n">
        <v>96</v>
      </c>
      <c r="D217" s="87" t="inlineStr">
        <is>
          <t>Kountarou Mai Rairai</t>
        </is>
      </c>
      <c r="E217" s="343" t="inlineStr">
        <is>
          <t>Sae Saboua</t>
        </is>
      </c>
      <c r="F217" s="343" t="inlineStr">
        <is>
          <t>Intervention</t>
        </is>
      </c>
      <c r="G217" s="87" t="n">
        <v>2023</v>
      </c>
      <c r="H217" s="87" t="n">
        <v>2024</v>
      </c>
      <c r="I217" s="439" t="n">
        <v>2</v>
      </c>
      <c r="J217" s="439" t="n">
        <v>1</v>
      </c>
      <c r="K217" s="87" t="n">
        <v>18</v>
      </c>
      <c r="L217" s="439" t="n">
        <v>2</v>
      </c>
      <c r="M217" s="408" t="n"/>
      <c r="N217" s="436" t="n">
        <v>0</v>
      </c>
      <c r="O217" s="436" t="n">
        <v>1</v>
      </c>
      <c r="P217" s="233" t="n"/>
      <c r="Q217" s="439" t="n"/>
      <c r="R217" s="439" t="n"/>
      <c r="S217" s="439" t="n"/>
      <c r="T217" s="439" t="n"/>
      <c r="U217" s="439" t="n">
        <v>7.11</v>
      </c>
      <c r="V217" s="439" t="n">
        <v>8.630000000000001</v>
      </c>
      <c r="W217" s="439" t="n">
        <v>7.87</v>
      </c>
      <c r="X217" s="439" t="n">
        <v>1</v>
      </c>
      <c r="Y217" s="439" t="n"/>
      <c r="Z217" s="439" t="n"/>
      <c r="AA217" s="439" t="n"/>
      <c r="AB217" s="439" t="n"/>
      <c r="AC217" s="439" t="n"/>
      <c r="AD217" s="439" t="n"/>
      <c r="AE217" s="439" t="n"/>
      <c r="AF217" s="439" t="n"/>
      <c r="AG217" s="439" t="n"/>
      <c r="AH217" s="439" t="n"/>
      <c r="AI217" s="439" t="n"/>
      <c r="AJ217" s="440" t="n"/>
    </row>
    <row r="218">
      <c r="A218" s="441" t="n"/>
      <c r="B218" s="698" t="n"/>
      <c r="C218" s="56" t="n"/>
      <c r="D218" s="382" t="inlineStr">
        <is>
          <t>Touzza</t>
        </is>
      </c>
      <c r="E218" s="343" t="inlineStr">
        <is>
          <t>Sae Saboua</t>
        </is>
      </c>
      <c r="F218" s="56" t="inlineStr">
        <is>
          <t>Control</t>
        </is>
      </c>
      <c r="G218" s="56" t="n">
        <v>2023</v>
      </c>
      <c r="H218" s="56" t="n">
        <v>2024</v>
      </c>
      <c r="I218" s="56" t="inlineStr">
        <is>
          <t>NA</t>
        </is>
      </c>
      <c r="J218" s="56" t="inlineStr">
        <is>
          <t>NA</t>
        </is>
      </c>
      <c r="K218" s="56" t="inlineStr">
        <is>
          <t>NA</t>
        </is>
      </c>
      <c r="L218" s="56" t="inlineStr">
        <is>
          <t>NA</t>
        </is>
      </c>
      <c r="M218" s="428" t="n"/>
      <c r="N218" s="444" t="inlineStr">
        <is>
          <t>NA</t>
        </is>
      </c>
      <c r="O218" s="444" t="inlineStr">
        <is>
          <t>NA</t>
        </is>
      </c>
      <c r="P218" s="444" t="inlineStr">
        <is>
          <t>NA</t>
        </is>
      </c>
      <c r="Q218" s="56" t="n"/>
      <c r="R218" s="56" t="n"/>
      <c r="S218" s="56" t="n"/>
      <c r="T218" s="56" t="n"/>
      <c r="U218" s="56" t="inlineStr">
        <is>
          <t>NA</t>
        </is>
      </c>
      <c r="V218" s="56" t="inlineStr">
        <is>
          <t>NA</t>
        </is>
      </c>
      <c r="W218" s="56" t="inlineStr">
        <is>
          <t>NA</t>
        </is>
      </c>
      <c r="X218" s="445" t="n">
        <v>1</v>
      </c>
      <c r="Y218" s="445" t="n"/>
      <c r="Z218" s="445" t="n"/>
      <c r="AA218" s="445" t="n"/>
      <c r="AB218" s="445" t="n"/>
      <c r="AC218" s="445" t="n"/>
      <c r="AD218" s="445" t="n"/>
      <c r="AE218" s="445" t="n"/>
      <c r="AF218" s="445" t="n"/>
      <c r="AG218" s="445" t="n"/>
      <c r="AH218" s="445" t="n"/>
      <c r="AI218" s="445" t="n"/>
      <c r="AJ218" s="446" t="n"/>
    </row>
    <row r="219">
      <c r="A219" s="406" t="n"/>
      <c r="B219" s="718" t="n">
        <v>30</v>
      </c>
      <c r="C219" s="68" t="n">
        <v>97</v>
      </c>
      <c r="D219" s="68" t="inlineStr">
        <is>
          <t>Mallamai Saboua</t>
        </is>
      </c>
      <c r="E219" s="343" t="inlineStr">
        <is>
          <t>Sae Saboua</t>
        </is>
      </c>
      <c r="F219" s="357" t="inlineStr">
        <is>
          <t>Intervention</t>
        </is>
      </c>
      <c r="G219" s="68" t="n">
        <v>2023</v>
      </c>
      <c r="H219" s="68" t="n">
        <v>2024</v>
      </c>
      <c r="I219" s="411" t="n">
        <v>2</v>
      </c>
      <c r="J219" s="411" t="n">
        <v>1</v>
      </c>
      <c r="K219" s="68" t="n">
        <v>22</v>
      </c>
      <c r="L219" s="411" t="n">
        <v>2</v>
      </c>
      <c r="M219" s="408" t="n"/>
      <c r="N219" s="410" t="n">
        <v>0</v>
      </c>
      <c r="O219" s="410" t="n">
        <v>1</v>
      </c>
      <c r="P219" s="233" t="n"/>
      <c r="Q219" s="411" t="n"/>
      <c r="R219" s="411" t="n"/>
      <c r="S219" s="411" t="n"/>
      <c r="T219" s="411" t="n"/>
      <c r="U219" s="411" t="n">
        <v>11.13</v>
      </c>
      <c r="V219" s="411" t="n">
        <v>10.22</v>
      </c>
      <c r="W219" s="411" t="n">
        <v>10.67</v>
      </c>
      <c r="X219" s="411" t="n">
        <v>1</v>
      </c>
      <c r="Y219" s="411" t="n"/>
      <c r="Z219" s="411" t="n"/>
      <c r="AA219" s="411" t="n"/>
      <c r="AB219" s="411" t="n"/>
      <c r="AC219" s="411" t="n"/>
      <c r="AD219" s="411" t="n"/>
      <c r="AE219" s="411" t="n"/>
      <c r="AF219" s="411" t="n"/>
      <c r="AG219" s="411" t="n"/>
      <c r="AH219" s="411" t="n"/>
      <c r="AI219" s="411" t="n"/>
      <c r="AJ219" s="412" t="n"/>
    </row>
    <row r="220">
      <c r="A220" s="426" t="n"/>
      <c r="B220" s="698" t="n"/>
      <c r="C220" s="78" t="n"/>
      <c r="D220" s="444" t="inlineStr">
        <is>
          <t>NA</t>
        </is>
      </c>
      <c r="E220" s="343" t="inlineStr">
        <is>
          <t>Sae Saboua</t>
        </is>
      </c>
      <c r="F220" s="78" t="inlineStr">
        <is>
          <t>Control</t>
        </is>
      </c>
      <c r="G220" s="78" t="n">
        <v>2023</v>
      </c>
      <c r="H220" s="78" t="n">
        <v>2024</v>
      </c>
      <c r="I220" s="78" t="inlineStr">
        <is>
          <t>NA</t>
        </is>
      </c>
      <c r="J220" s="78" t="inlineStr">
        <is>
          <t>NA</t>
        </is>
      </c>
      <c r="K220" s="78" t="inlineStr">
        <is>
          <t>NA</t>
        </is>
      </c>
      <c r="L220" s="78" t="inlineStr">
        <is>
          <t>NA</t>
        </is>
      </c>
      <c r="M220" s="428" t="n"/>
      <c r="N220" s="444" t="inlineStr">
        <is>
          <t>NA</t>
        </is>
      </c>
      <c r="O220" s="444" t="inlineStr">
        <is>
          <t>NA</t>
        </is>
      </c>
      <c r="P220" s="444" t="n"/>
      <c r="Q220" s="78" t="n"/>
      <c r="R220" s="78" t="n"/>
      <c r="S220" s="78" t="n"/>
      <c r="T220" s="78" t="n"/>
      <c r="U220" s="78" t="inlineStr">
        <is>
          <t>NA</t>
        </is>
      </c>
      <c r="V220" s="78" t="inlineStr">
        <is>
          <t>NA</t>
        </is>
      </c>
      <c r="W220" s="78" t="inlineStr">
        <is>
          <t>NA</t>
        </is>
      </c>
      <c r="X220" s="432" t="n">
        <v>0</v>
      </c>
      <c r="Y220" s="432" t="n"/>
      <c r="Z220" s="432" t="n"/>
      <c r="AA220" s="432" t="n"/>
      <c r="AB220" s="432" t="n"/>
      <c r="AC220" s="432" t="n"/>
      <c r="AD220" s="432" t="n"/>
      <c r="AE220" s="432" t="n"/>
      <c r="AF220" s="432" t="n"/>
      <c r="AG220" s="432" t="n"/>
      <c r="AH220" s="432" t="n"/>
      <c r="AI220" s="432" t="n"/>
      <c r="AJ220" s="433" t="n"/>
    </row>
    <row r="221">
      <c r="A221" s="434" t="n"/>
      <c r="B221" s="717" t="n">
        <v>31</v>
      </c>
      <c r="C221" s="87" t="n">
        <v>98</v>
      </c>
      <c r="D221" s="87" t="inlineStr">
        <is>
          <t>Mountarou Bermo</t>
        </is>
      </c>
      <c r="E221" s="343" t="inlineStr">
        <is>
          <t>Sae Saboua</t>
        </is>
      </c>
      <c r="F221" s="343" t="inlineStr">
        <is>
          <t>Intervention</t>
        </is>
      </c>
      <c r="G221" s="87" t="n">
        <v>2023</v>
      </c>
      <c r="H221" s="87" t="n">
        <v>2024</v>
      </c>
      <c r="I221" s="439" t="n">
        <v>1</v>
      </c>
      <c r="J221" s="439" t="n">
        <v>1</v>
      </c>
      <c r="K221" s="87" t="n">
        <v>17</v>
      </c>
      <c r="L221" s="439" t="n">
        <v>2</v>
      </c>
      <c r="M221" s="408" t="n"/>
      <c r="N221" s="436" t="n">
        <v>0</v>
      </c>
      <c r="O221" s="436" t="n">
        <v>1</v>
      </c>
      <c r="P221" s="233" t="n"/>
      <c r="Q221" s="439" t="n"/>
      <c r="R221" s="439" t="n"/>
      <c r="S221" s="439" t="n"/>
      <c r="T221" s="439" t="n"/>
      <c r="U221" s="439" t="n">
        <v>6.46</v>
      </c>
      <c r="V221" s="439" t="n">
        <v>7.28</v>
      </c>
      <c r="W221" s="439" t="n">
        <v>6.87</v>
      </c>
      <c r="X221" s="439" t="n">
        <v>2</v>
      </c>
      <c r="Y221" s="439" t="n"/>
      <c r="Z221" s="439" t="n"/>
      <c r="AA221" s="439" t="n"/>
      <c r="AB221" s="439" t="n"/>
      <c r="AC221" s="439" t="n"/>
      <c r="AD221" s="439" t="n"/>
      <c r="AE221" s="439" t="n"/>
      <c r="AF221" s="439" t="n"/>
      <c r="AG221" s="439" t="n"/>
      <c r="AH221" s="439" t="n"/>
      <c r="AI221" s="439" t="n"/>
      <c r="AJ221" s="440" t="n"/>
    </row>
    <row r="222">
      <c r="A222" s="441" t="n"/>
      <c r="B222" s="698" t="n"/>
      <c r="C222" s="56" t="n"/>
      <c r="D222" s="382" t="inlineStr">
        <is>
          <t>Alssaoua</t>
        </is>
      </c>
      <c r="E222" s="343" t="inlineStr">
        <is>
          <t>Sae Saboua</t>
        </is>
      </c>
      <c r="F222" s="56" t="inlineStr">
        <is>
          <t>Control</t>
        </is>
      </c>
      <c r="G222" s="56" t="n">
        <v>2023</v>
      </c>
      <c r="H222" s="56" t="n">
        <v>2024</v>
      </c>
      <c r="I222" s="56" t="inlineStr">
        <is>
          <t>NA</t>
        </is>
      </c>
      <c r="J222" s="56" t="inlineStr">
        <is>
          <t>NA</t>
        </is>
      </c>
      <c r="K222" s="56" t="inlineStr">
        <is>
          <t>NA</t>
        </is>
      </c>
      <c r="L222" s="56" t="inlineStr">
        <is>
          <t>NA</t>
        </is>
      </c>
      <c r="M222" s="428" t="n"/>
      <c r="N222" s="444" t="inlineStr">
        <is>
          <t>NA</t>
        </is>
      </c>
      <c r="O222" s="444" t="inlineStr">
        <is>
          <t>NA</t>
        </is>
      </c>
      <c r="P222" s="444" t="n"/>
      <c r="Q222" s="56" t="n"/>
      <c r="R222" s="56" t="n"/>
      <c r="S222" s="56" t="n"/>
      <c r="T222" s="56" t="n"/>
      <c r="U222" s="56" t="inlineStr">
        <is>
          <t>NA</t>
        </is>
      </c>
      <c r="V222" s="56" t="inlineStr">
        <is>
          <t>NA</t>
        </is>
      </c>
      <c r="W222" s="56" t="inlineStr">
        <is>
          <t>NA</t>
        </is>
      </c>
      <c r="X222" s="445" t="n">
        <v>0</v>
      </c>
      <c r="Y222" s="445" t="n"/>
      <c r="Z222" s="445" t="n"/>
      <c r="AA222" s="445" t="n"/>
      <c r="AB222" s="445" t="n"/>
      <c r="AC222" s="445" t="n"/>
      <c r="AD222" s="445" t="n"/>
      <c r="AE222" s="445" t="n"/>
      <c r="AF222" s="445" t="n"/>
      <c r="AG222" s="445" t="n"/>
      <c r="AH222" s="445" t="n"/>
      <c r="AI222" s="445" t="n"/>
      <c r="AJ222" s="446" t="n"/>
    </row>
    <row r="223">
      <c r="A223" s="406" t="n"/>
      <c r="B223" s="718" t="n">
        <v>32</v>
      </c>
      <c r="C223" s="68" t="n">
        <v>99</v>
      </c>
      <c r="D223" s="68" t="inlineStr">
        <is>
          <t>Oubandawaki Alfacha</t>
        </is>
      </c>
      <c r="E223" s="357" t="inlineStr">
        <is>
          <t>Sae Saboua</t>
        </is>
      </c>
      <c r="F223" s="357" t="inlineStr">
        <is>
          <t>Intervention</t>
        </is>
      </c>
      <c r="G223" s="68" t="n">
        <v>2023</v>
      </c>
      <c r="H223" s="68" t="n">
        <v>2024</v>
      </c>
      <c r="I223" s="411" t="n">
        <v>2</v>
      </c>
      <c r="J223" s="411" t="n">
        <v>1</v>
      </c>
      <c r="K223" s="68" t="n">
        <v>17</v>
      </c>
      <c r="L223" s="411" t="n">
        <v>2</v>
      </c>
      <c r="M223" s="408" t="n"/>
      <c r="N223" s="410" t="n">
        <v>0</v>
      </c>
      <c r="O223" s="410" t="n">
        <v>1</v>
      </c>
      <c r="P223" s="233" t="n"/>
      <c r="Q223" s="411" t="n"/>
      <c r="R223" s="411" t="n"/>
      <c r="S223" s="411" t="n"/>
      <c r="T223" s="411" t="n"/>
      <c r="U223" s="411" t="n">
        <v>5.91</v>
      </c>
      <c r="V223" s="411" t="n">
        <v>9.869999999999999</v>
      </c>
      <c r="W223" s="411" t="n">
        <v>7.89</v>
      </c>
      <c r="X223" s="465" t="n">
        <v>0</v>
      </c>
      <c r="Y223" s="411" t="n"/>
      <c r="Z223" s="411" t="n"/>
      <c r="AA223" s="411" t="n"/>
      <c r="AB223" s="411" t="n"/>
      <c r="AC223" s="411" t="n"/>
      <c r="AD223" s="411" t="n"/>
      <c r="AE223" s="411" t="n"/>
      <c r="AF223" s="411" t="n"/>
      <c r="AG223" s="411" t="n"/>
      <c r="AH223" s="411" t="n"/>
      <c r="AI223" s="411" t="n"/>
      <c r="AJ223" s="412" t="n"/>
    </row>
    <row r="224">
      <c r="A224" s="426" t="n"/>
      <c r="B224" s="698" t="n"/>
      <c r="C224" s="78" t="n"/>
      <c r="D224" s="382" t="inlineStr">
        <is>
          <t>Karambi Tsofoua</t>
        </is>
      </c>
      <c r="E224" s="466" t="inlineStr">
        <is>
          <t>Sae Saboua</t>
        </is>
      </c>
      <c r="F224" s="78" t="inlineStr">
        <is>
          <t>Control</t>
        </is>
      </c>
      <c r="G224" s="78" t="n">
        <v>2023</v>
      </c>
      <c r="H224" s="78" t="n">
        <v>2024</v>
      </c>
      <c r="I224" s="78" t="inlineStr">
        <is>
          <t>NA</t>
        </is>
      </c>
      <c r="J224" s="78" t="inlineStr">
        <is>
          <t>NA</t>
        </is>
      </c>
      <c r="K224" s="78" t="inlineStr">
        <is>
          <t>NA</t>
        </is>
      </c>
      <c r="L224" s="78" t="inlineStr">
        <is>
          <t>NA</t>
        </is>
      </c>
      <c r="M224" s="428" t="n"/>
      <c r="N224" s="444" t="inlineStr">
        <is>
          <t>NA</t>
        </is>
      </c>
      <c r="O224" s="444" t="inlineStr">
        <is>
          <t>NA</t>
        </is>
      </c>
      <c r="P224" s="444" t="n"/>
      <c r="Q224" s="78" t="n"/>
      <c r="R224" s="78" t="n"/>
      <c r="S224" s="78" t="n"/>
      <c r="T224" s="78" t="n"/>
      <c r="U224" s="78" t="inlineStr">
        <is>
          <t>NA</t>
        </is>
      </c>
      <c r="V224" s="78" t="inlineStr">
        <is>
          <t>NA</t>
        </is>
      </c>
      <c r="W224" s="78" t="inlineStr">
        <is>
          <t>NA</t>
        </is>
      </c>
      <c r="X224" s="432" t="n">
        <v>0</v>
      </c>
      <c r="Y224" s="432" t="n"/>
      <c r="Z224" s="432" t="n"/>
      <c r="AA224" s="432" t="n"/>
      <c r="AB224" s="432" t="n"/>
      <c r="AC224" s="432" t="n"/>
      <c r="AD224" s="432" t="n"/>
      <c r="AE224" s="432" t="n"/>
      <c r="AF224" s="432" t="n"/>
      <c r="AG224" s="432" t="n"/>
      <c r="AH224" s="432" t="n"/>
      <c r="AI224" s="432" t="n"/>
      <c r="AJ224" s="433" t="n"/>
    </row>
    <row r="225">
      <c r="A225" s="434" t="n"/>
      <c r="B225" s="717" t="n">
        <v>33</v>
      </c>
      <c r="C225" s="87" t="n">
        <v>100</v>
      </c>
      <c r="D225" s="87" t="inlineStr">
        <is>
          <t>Sae Saboua</t>
        </is>
      </c>
      <c r="E225" s="343" t="inlineStr">
        <is>
          <t>Sae Saboua</t>
        </is>
      </c>
      <c r="F225" s="343" t="inlineStr">
        <is>
          <t>Intervention</t>
        </is>
      </c>
      <c r="G225" s="87" t="n">
        <v>2023</v>
      </c>
      <c r="H225" s="87" t="n">
        <v>2024</v>
      </c>
      <c r="I225" s="439" t="n">
        <v>2</v>
      </c>
      <c r="J225" s="439" t="n">
        <v>2</v>
      </c>
      <c r="K225" s="87" t="n">
        <v>38</v>
      </c>
      <c r="L225" s="439" t="n">
        <v>2</v>
      </c>
      <c r="M225" s="408" t="n"/>
      <c r="N225" s="436" t="n">
        <v>0</v>
      </c>
      <c r="O225" s="436" t="n">
        <v>1</v>
      </c>
      <c r="P225" s="233" t="n"/>
      <c r="Q225" s="439" t="n"/>
      <c r="R225" s="439" t="n"/>
      <c r="S225" s="439" t="n"/>
      <c r="T225" s="439" t="n"/>
      <c r="U225" s="439" t="n">
        <v>12.04</v>
      </c>
      <c r="V225" s="439" t="n">
        <v>11.55</v>
      </c>
      <c r="W225" s="452" t="n">
        <v>11.8</v>
      </c>
      <c r="X225" s="439" t="n">
        <v>1</v>
      </c>
      <c r="Y225" s="439" t="n"/>
      <c r="Z225" s="439" t="n"/>
      <c r="AA225" s="439" t="n"/>
      <c r="AB225" s="439" t="n"/>
      <c r="AC225" s="439" t="n"/>
      <c r="AD225" s="439" t="n"/>
      <c r="AE225" s="439" t="n"/>
      <c r="AF225" s="439" t="n"/>
      <c r="AG225" s="439" t="n"/>
      <c r="AH225" s="439" t="n"/>
      <c r="AI225" s="439" t="n"/>
      <c r="AJ225" s="440" t="n"/>
    </row>
    <row r="226">
      <c r="A226" s="441" t="n"/>
      <c r="B226" s="698" t="n"/>
      <c r="C226" s="56" t="n"/>
      <c r="D226" s="382" t="inlineStr">
        <is>
          <t>Malloumai Salifou</t>
        </is>
      </c>
      <c r="E226" s="343" t="inlineStr">
        <is>
          <t>Sae Saboua</t>
        </is>
      </c>
      <c r="F226" s="56" t="inlineStr">
        <is>
          <t>Control</t>
        </is>
      </c>
      <c r="G226" s="56" t="n">
        <v>2023</v>
      </c>
      <c r="H226" s="56" t="n">
        <v>2024</v>
      </c>
      <c r="I226" s="56" t="inlineStr">
        <is>
          <t>NA</t>
        </is>
      </c>
      <c r="J226" s="56" t="inlineStr">
        <is>
          <t>NA</t>
        </is>
      </c>
      <c r="K226" s="56" t="inlineStr">
        <is>
          <t>NA</t>
        </is>
      </c>
      <c r="L226" s="56" t="inlineStr">
        <is>
          <t>NA</t>
        </is>
      </c>
      <c r="M226" s="428" t="n"/>
      <c r="N226" s="444" t="inlineStr">
        <is>
          <t>NA</t>
        </is>
      </c>
      <c r="O226" s="444" t="inlineStr">
        <is>
          <t>NA</t>
        </is>
      </c>
      <c r="P226" s="444" t="n"/>
      <c r="Q226" s="56" t="n"/>
      <c r="R226" s="56" t="n"/>
      <c r="S226" s="56" t="n"/>
      <c r="T226" s="56" t="n"/>
      <c r="U226" s="56" t="inlineStr">
        <is>
          <t>NA</t>
        </is>
      </c>
      <c r="V226" s="56" t="inlineStr">
        <is>
          <t>NA</t>
        </is>
      </c>
      <c r="W226" s="56" t="inlineStr">
        <is>
          <t>NA</t>
        </is>
      </c>
      <c r="X226" s="445" t="n">
        <v>0</v>
      </c>
      <c r="Y226" s="445" t="n"/>
      <c r="Z226" s="445" t="n"/>
      <c r="AA226" s="445" t="n"/>
      <c r="AB226" s="445" t="n"/>
      <c r="AC226" s="445" t="n"/>
      <c r="AD226" s="445" t="n"/>
      <c r="AE226" s="445" t="n"/>
      <c r="AF226" s="445" t="n"/>
      <c r="AG226" s="445" t="n"/>
      <c r="AH226" s="445" t="n"/>
      <c r="AI226" s="445" t="n"/>
      <c r="AJ226" s="446" t="n"/>
    </row>
    <row r="227" ht="42.75" customHeight="1" s="695">
      <c r="A227" s="406" t="n"/>
      <c r="B227" s="718" t="n">
        <v>34</v>
      </c>
      <c r="C227" s="68" t="n">
        <v>101</v>
      </c>
      <c r="D227" s="68" t="inlineStr">
        <is>
          <t>Tagaza</t>
        </is>
      </c>
      <c r="E227" s="357" t="inlineStr">
        <is>
          <t>Sae Saboua</t>
        </is>
      </c>
      <c r="F227" s="357" t="inlineStr">
        <is>
          <t>Intervention</t>
        </is>
      </c>
      <c r="G227" s="68" t="n">
        <v>2023</v>
      </c>
      <c r="H227" s="68" t="n">
        <v>2024</v>
      </c>
      <c r="I227" s="411" t="n">
        <v>2</v>
      </c>
      <c r="J227" s="411" t="n">
        <v>2</v>
      </c>
      <c r="K227" s="68" t="n">
        <v>29</v>
      </c>
      <c r="L227" s="411" t="n">
        <v>2</v>
      </c>
      <c r="M227" s="408" t="n"/>
      <c r="N227" s="410" t="n">
        <v>0</v>
      </c>
      <c r="O227" s="410" t="n">
        <v>1</v>
      </c>
      <c r="P227" s="233" t="n"/>
      <c r="Q227" s="411" t="n"/>
      <c r="R227" s="411" t="n"/>
      <c r="S227" s="411" t="n"/>
      <c r="T227" s="411" t="n"/>
      <c r="U227" s="411" t="n">
        <v>12.09</v>
      </c>
      <c r="V227" s="411" t="n">
        <v>13.55</v>
      </c>
      <c r="W227" s="411" t="n">
        <v>12.82</v>
      </c>
      <c r="X227" s="411" t="n">
        <v>0</v>
      </c>
      <c r="Y227" s="411" t="n"/>
      <c r="Z227" s="411" t="n"/>
      <c r="AA227" s="411" t="n"/>
      <c r="AB227" s="411" t="n"/>
      <c r="AC227" s="411" t="n"/>
      <c r="AD227" s="411" t="n"/>
      <c r="AE227" s="411" t="n"/>
      <c r="AF227" s="411" t="n"/>
      <c r="AG227" s="411" t="n"/>
      <c r="AH227" s="411" t="n"/>
      <c r="AI227" s="411" t="n"/>
      <c r="AJ227" s="412" t="n"/>
    </row>
    <row r="228">
      <c r="A228" s="426" t="n"/>
      <c r="B228" s="698" t="n"/>
      <c r="C228" s="78" t="n"/>
      <c r="D228" s="382" t="inlineStr">
        <is>
          <t>Yan Doto Bala</t>
        </is>
      </c>
      <c r="E228" s="357" t="inlineStr">
        <is>
          <t>Sae Saboua</t>
        </is>
      </c>
      <c r="F228" s="78" t="inlineStr">
        <is>
          <t>Control</t>
        </is>
      </c>
      <c r="G228" s="78" t="n">
        <v>2023</v>
      </c>
      <c r="H228" s="78" t="n">
        <v>2024</v>
      </c>
      <c r="I228" s="78" t="inlineStr">
        <is>
          <t>NA</t>
        </is>
      </c>
      <c r="J228" s="78" t="inlineStr">
        <is>
          <t>NA</t>
        </is>
      </c>
      <c r="K228" s="78" t="inlineStr">
        <is>
          <t>NA</t>
        </is>
      </c>
      <c r="L228" s="78" t="inlineStr">
        <is>
          <t>NA</t>
        </is>
      </c>
      <c r="M228" s="428" t="n"/>
      <c r="N228" s="444" t="inlineStr">
        <is>
          <t>NA</t>
        </is>
      </c>
      <c r="O228" s="444" t="inlineStr">
        <is>
          <t>NA</t>
        </is>
      </c>
      <c r="P228" s="444" t="n"/>
      <c r="Q228" s="78" t="n"/>
      <c r="R228" s="78" t="n"/>
      <c r="S228" s="78" t="n"/>
      <c r="T228" s="78" t="n"/>
      <c r="U228" s="78" t="inlineStr">
        <is>
          <t>NA</t>
        </is>
      </c>
      <c r="V228" s="78" t="inlineStr">
        <is>
          <t>NA</t>
        </is>
      </c>
      <c r="W228" s="78" t="inlineStr">
        <is>
          <t>NA</t>
        </is>
      </c>
      <c r="X228" s="432" t="n">
        <v>0</v>
      </c>
      <c r="Y228" s="432" t="n"/>
      <c r="Z228" s="432" t="n"/>
      <c r="AA228" s="432" t="n"/>
      <c r="AB228" s="432" t="n"/>
      <c r="AC228" s="432" t="n"/>
      <c r="AD228" s="432" t="n"/>
      <c r="AE228" s="432" t="n"/>
      <c r="AF228" s="432" t="n"/>
      <c r="AG228" s="432" t="n"/>
      <c r="AH228" s="432" t="n"/>
      <c r="AI228" s="432" t="n"/>
      <c r="AJ228" s="433" t="n"/>
    </row>
    <row r="229">
      <c r="A229" s="95" t="n"/>
      <c r="B229" s="95" t="n"/>
      <c r="C229" s="95" t="n"/>
      <c r="D229" s="95" t="n"/>
      <c r="E229" s="95" t="n"/>
      <c r="F229" s="95" t="n"/>
      <c r="G229" s="95" t="n"/>
      <c r="H229" s="95" t="n"/>
      <c r="I229" s="95" t="n"/>
      <c r="J229" s="95" t="n"/>
      <c r="K229" s="95" t="n"/>
      <c r="L229" s="99" t="n"/>
      <c r="M229" s="100" t="n"/>
      <c r="N229" s="100" t="n"/>
      <c r="O229" s="100" t="n"/>
      <c r="P229" s="100" t="n"/>
      <c r="Q229" s="100" t="n"/>
      <c r="R229" s="100" t="n"/>
      <c r="S229" s="100" t="n"/>
      <c r="T229" s="100" t="n"/>
      <c r="U229" s="100" t="n"/>
      <c r="V229" s="100" t="n"/>
      <c r="W229" s="100" t="n"/>
      <c r="X229" s="100" t="n"/>
      <c r="Y229" s="100" t="n"/>
      <c r="Z229" s="100" t="n"/>
      <c r="AA229" s="100" t="n"/>
      <c r="AB229" s="100" t="n"/>
      <c r="AC229" s="100" t="n"/>
      <c r="AD229" s="100" t="n"/>
      <c r="AE229" s="100" t="n"/>
      <c r="AF229" s="100" t="n"/>
      <c r="AG229" s="100" t="n"/>
      <c r="AH229" s="100" t="n"/>
      <c r="AI229" s="100" t="n"/>
      <c r="AJ229" s="100" t="n"/>
    </row>
    <row r="230">
      <c r="A230" s="204" t="inlineStr">
        <is>
          <t>COHORT 7 CM2 2024-2025</t>
        </is>
      </c>
      <c r="B230" s="95" t="n"/>
      <c r="C230" s="95" t="n"/>
      <c r="D230" s="95" t="n"/>
      <c r="E230" s="95" t="n"/>
      <c r="F230" s="95" t="n"/>
      <c r="G230" s="95" t="n"/>
      <c r="H230" s="95" t="n"/>
      <c r="I230" s="95" t="n"/>
      <c r="J230" s="95" t="n"/>
      <c r="K230" s="95" t="n"/>
      <c r="L230" s="99" t="n"/>
      <c r="M230" s="100" t="n"/>
      <c r="N230" s="100" t="n"/>
      <c r="O230" s="100" t="n"/>
      <c r="P230" s="100" t="n"/>
      <c r="Q230" s="100" t="n"/>
      <c r="R230" s="100" t="n"/>
      <c r="S230" s="100" t="n"/>
      <c r="T230" s="100" t="n"/>
      <c r="U230" s="100" t="n"/>
      <c r="V230" s="100" t="n"/>
      <c r="W230" s="100" t="n"/>
      <c r="X230" s="207" t="inlineStr">
        <is>
          <t>Cohorte 4 Hasken Mata</t>
        </is>
      </c>
      <c r="Y230" s="100" t="n"/>
      <c r="Z230" s="100" t="n"/>
      <c r="AA230" s="100" t="n"/>
      <c r="AB230" s="100" t="n"/>
      <c r="AC230" s="100" t="n"/>
      <c r="AD230" s="100" t="n"/>
      <c r="AE230" s="100" t="n"/>
      <c r="AF230" s="100" t="n"/>
      <c r="AG230" s="100" t="n"/>
      <c r="AH230" s="100" t="n"/>
      <c r="AI230" s="100" t="n"/>
      <c r="AJ230" s="100" t="n"/>
    </row>
    <row r="231">
      <c r="A231" s="470" t="n"/>
      <c r="B231" s="470" t="n">
        <v>1</v>
      </c>
      <c r="C231" s="470" t="n">
        <v>30</v>
      </c>
      <c r="D231" s="470" t="inlineStr">
        <is>
          <t>Takalmaoua 1</t>
        </is>
      </c>
      <c r="E231" s="470" t="inlineStr">
        <is>
          <t>Djirataoua</t>
        </is>
      </c>
      <c r="F231" s="470" t="inlineStr">
        <is>
          <t>Intervention</t>
        </is>
      </c>
      <c r="G231" s="470" t="n">
        <v>2024</v>
      </c>
      <c r="H231" s="470" t="n">
        <v>2025</v>
      </c>
      <c r="I231" s="470" t="n">
        <v>5</v>
      </c>
      <c r="J231" s="470" t="n">
        <v>1</v>
      </c>
      <c r="K231" s="470" t="n">
        <v>21</v>
      </c>
      <c r="L231" s="470" t="n">
        <v>2</v>
      </c>
      <c r="M231" s="470" t="n"/>
      <c r="N231" s="470" t="n"/>
      <c r="O231" s="470" t="n"/>
      <c r="P231" s="470" t="n"/>
      <c r="Q231" s="470" t="n"/>
      <c r="R231" s="470" t="n"/>
      <c r="S231" s="470" t="n"/>
      <c r="T231" s="470" t="n"/>
      <c r="U231" s="470" t="n"/>
      <c r="V231" s="470" t="n"/>
      <c r="W231" s="470" t="n"/>
      <c r="X231" s="470" t="n">
        <v>0</v>
      </c>
      <c r="Y231" s="470" t="n"/>
      <c r="Z231" s="470" t="n"/>
      <c r="AA231" s="470" t="n"/>
      <c r="AB231" s="470" t="n"/>
      <c r="AC231" s="470" t="n"/>
      <c r="AD231" s="470" t="n"/>
      <c r="AE231" s="470" t="n"/>
      <c r="AF231" s="470" t="n"/>
      <c r="AG231" s="470" t="n"/>
      <c r="AH231" s="470" t="n"/>
      <c r="AI231" s="470" t="n"/>
      <c r="AJ231" s="470" t="n"/>
    </row>
    <row r="232">
      <c r="A232" s="494" t="n"/>
      <c r="C232" s="494" t="n">
        <v>84</v>
      </c>
      <c r="D232" s="494" t="inlineStr">
        <is>
          <t>Kontagora Tsohoua</t>
        </is>
      </c>
      <c r="E232" s="495" t="inlineStr">
        <is>
          <t>Djirataoua</t>
        </is>
      </c>
      <c r="F232" s="494" t="inlineStr">
        <is>
          <t>Control</t>
        </is>
      </c>
      <c r="G232" s="494" t="n">
        <v>2024</v>
      </c>
      <c r="H232" s="494" t="n">
        <v>2025</v>
      </c>
      <c r="I232" s="494" t="inlineStr">
        <is>
          <t>NA</t>
        </is>
      </c>
      <c r="J232" s="494" t="inlineStr">
        <is>
          <t>NA</t>
        </is>
      </c>
      <c r="K232" s="494" t="inlineStr">
        <is>
          <t>NA</t>
        </is>
      </c>
      <c r="L232" s="494" t="inlineStr">
        <is>
          <t>NA</t>
        </is>
      </c>
      <c r="M232" s="494" t="n"/>
      <c r="N232" s="494" t="inlineStr">
        <is>
          <t>NA</t>
        </is>
      </c>
      <c r="O232" s="494" t="inlineStr">
        <is>
          <t>NA</t>
        </is>
      </c>
      <c r="P232" s="494" t="n"/>
      <c r="Q232" s="494" t="n"/>
      <c r="R232" s="494" t="n"/>
      <c r="S232" s="494" t="n"/>
      <c r="T232" s="494" t="n"/>
      <c r="U232" s="494" t="n"/>
      <c r="V232" s="494" t="n"/>
      <c r="W232" s="494" t="n"/>
      <c r="X232" s="494" t="n">
        <v>0</v>
      </c>
      <c r="Y232" s="494" t="n"/>
      <c r="Z232" s="494" t="n"/>
      <c r="AA232" s="494" t="n"/>
      <c r="AB232" s="494" t="n"/>
      <c r="AC232" s="494" t="n"/>
      <c r="AD232" s="494" t="n"/>
      <c r="AE232" s="494" t="n"/>
      <c r="AF232" s="494" t="n"/>
      <c r="AG232" s="494" t="n"/>
      <c r="AH232" s="494" t="n"/>
      <c r="AI232" s="494" t="n"/>
      <c r="AJ232" s="494" t="n"/>
    </row>
    <row r="233">
      <c r="A233" s="497" t="n"/>
      <c r="B233" s="497" t="n">
        <v>2</v>
      </c>
      <c r="C233" s="497" t="n">
        <v>27</v>
      </c>
      <c r="D233" s="497" t="inlineStr">
        <is>
          <t>Sabon Garin Kolta</t>
        </is>
      </c>
      <c r="E233" s="470" t="inlineStr">
        <is>
          <t>Djirataoua</t>
        </is>
      </c>
      <c r="F233" s="497" t="inlineStr">
        <is>
          <t>Intervention</t>
        </is>
      </c>
      <c r="G233" s="497" t="n">
        <v>2024</v>
      </c>
      <c r="H233" s="497" t="n">
        <v>2025</v>
      </c>
      <c r="I233" s="497" t="n">
        <v>6</v>
      </c>
      <c r="J233" s="497" t="n">
        <v>2</v>
      </c>
      <c r="K233" s="497" t="n">
        <v>41</v>
      </c>
      <c r="L233" s="497" t="n">
        <v>2</v>
      </c>
      <c r="M233" s="497" t="n"/>
      <c r="N233" s="497" t="n"/>
      <c r="O233" s="497" t="n"/>
      <c r="P233" s="497" t="n"/>
      <c r="Q233" s="497" t="n"/>
      <c r="R233" s="497" t="n"/>
      <c r="S233" s="497" t="n"/>
      <c r="T233" s="497" t="n"/>
      <c r="U233" s="497" t="n"/>
      <c r="V233" s="497" t="n"/>
      <c r="W233" s="497" t="n"/>
      <c r="X233" s="497" t="n">
        <v>0</v>
      </c>
      <c r="Y233" s="497" t="n"/>
      <c r="Z233" s="497" t="n"/>
      <c r="AA233" s="497" t="n"/>
      <c r="AB233" s="497" t="n"/>
      <c r="AC233" s="497" t="n"/>
      <c r="AD233" s="497" t="n"/>
      <c r="AE233" s="497" t="n"/>
      <c r="AF233" s="497" t="n"/>
      <c r="AG233" s="497" t="n"/>
      <c r="AH233" s="497" t="n"/>
      <c r="AI233" s="497" t="n"/>
      <c r="AJ233" s="497" t="n"/>
    </row>
    <row r="234">
      <c r="A234" s="500" t="n"/>
      <c r="C234" s="500" t="n">
        <v>86</v>
      </c>
      <c r="D234" s="500" t="inlineStr">
        <is>
          <t>Galadantchi</t>
        </is>
      </c>
      <c r="E234" s="495" t="inlineStr">
        <is>
          <t>Djirataoua</t>
        </is>
      </c>
      <c r="F234" s="681" t="inlineStr">
        <is>
          <t>Control</t>
        </is>
      </c>
      <c r="G234" s="681" t="n">
        <v>2024</v>
      </c>
      <c r="H234" s="681" t="n">
        <v>2025</v>
      </c>
      <c r="I234" s="681" t="inlineStr">
        <is>
          <t>NA</t>
        </is>
      </c>
      <c r="J234" s="681" t="inlineStr">
        <is>
          <t>NA</t>
        </is>
      </c>
      <c r="K234" s="681" t="inlineStr">
        <is>
          <t>NA</t>
        </is>
      </c>
      <c r="L234" s="681" t="inlineStr">
        <is>
          <t>NA</t>
        </is>
      </c>
      <c r="M234" s="681" t="n"/>
      <c r="N234" s="681" t="inlineStr">
        <is>
          <t>NA</t>
        </is>
      </c>
      <c r="O234" s="681" t="inlineStr">
        <is>
          <t>NA</t>
        </is>
      </c>
      <c r="P234" s="681" t="n"/>
      <c r="Q234" s="681" t="n"/>
      <c r="R234" s="681" t="n"/>
      <c r="S234" s="681" t="n"/>
      <c r="T234" s="681" t="n"/>
      <c r="U234" s="681" t="n"/>
      <c r="V234" s="681" t="n"/>
      <c r="W234" s="681" t="n"/>
      <c r="X234" s="681" t="n">
        <v>1</v>
      </c>
      <c r="Y234" s="500" t="n"/>
      <c r="Z234" s="500" t="n"/>
      <c r="AA234" s="500" t="n"/>
      <c r="AB234" s="500" t="n"/>
      <c r="AC234" s="500" t="n"/>
      <c r="AD234" s="500" t="n"/>
      <c r="AE234" s="500" t="n"/>
      <c r="AF234" s="500" t="n"/>
      <c r="AG234" s="500" t="n"/>
      <c r="AH234" s="500" t="n"/>
      <c r="AI234" s="500" t="n"/>
      <c r="AJ234" s="500" t="n"/>
    </row>
    <row r="235" ht="16.5" customHeight="1" s="695">
      <c r="A235" s="503" t="n"/>
      <c r="B235" s="470" t="n">
        <v>3</v>
      </c>
      <c r="C235" s="503" t="n">
        <v>28</v>
      </c>
      <c r="D235" s="503" t="inlineStr">
        <is>
          <t>Danja 1</t>
        </is>
      </c>
      <c r="E235" s="470" t="inlineStr">
        <is>
          <t>Djirataoua</t>
        </is>
      </c>
      <c r="F235" s="503" t="inlineStr">
        <is>
          <t>Intervention</t>
        </is>
      </c>
      <c r="G235" s="470" t="n">
        <v>2024</v>
      </c>
      <c r="H235" s="470" t="n">
        <v>2025</v>
      </c>
      <c r="I235" s="503" t="n">
        <v>5</v>
      </c>
      <c r="J235" s="503" t="n">
        <v>3</v>
      </c>
      <c r="K235" s="503" t="n">
        <v>52</v>
      </c>
      <c r="L235" s="503" t="n">
        <v>2</v>
      </c>
      <c r="M235" s="503" t="n"/>
      <c r="N235" s="503" t="n"/>
      <c r="O235" s="503" t="n"/>
      <c r="P235" s="503" t="n"/>
      <c r="Q235" s="503" t="n"/>
      <c r="R235" s="503" t="n"/>
      <c r="S235" s="503" t="n"/>
      <c r="T235" s="503" t="n"/>
      <c r="U235" s="503" t="n"/>
      <c r="V235" s="503" t="n"/>
      <c r="W235" s="503" t="n"/>
      <c r="X235" s="503" t="n">
        <v>0</v>
      </c>
      <c r="Y235" s="503" t="n"/>
      <c r="Z235" s="503" t="n"/>
      <c r="AA235" s="503" t="n"/>
      <c r="AB235" s="503" t="n"/>
      <c r="AC235" s="503" t="n"/>
      <c r="AD235" s="503" t="n"/>
      <c r="AE235" s="503" t="n"/>
      <c r="AF235" s="503" t="n"/>
      <c r="AG235" s="503" t="n"/>
      <c r="AH235" s="503" t="n"/>
      <c r="AI235" s="503" t="n"/>
      <c r="AJ235" s="503" t="n"/>
    </row>
    <row r="236">
      <c r="A236" s="503" t="n"/>
      <c r="C236" s="503" t="n">
        <v>83</v>
      </c>
      <c r="D236" s="503" t="inlineStr">
        <is>
          <t>Djirataoua Bilingue</t>
        </is>
      </c>
      <c r="E236" s="495" t="inlineStr">
        <is>
          <t>Djirataoua</t>
        </is>
      </c>
      <c r="F236" s="504" t="inlineStr">
        <is>
          <t>Control</t>
        </is>
      </c>
      <c r="G236" s="495" t="n">
        <v>2024</v>
      </c>
      <c r="H236" s="495" t="n">
        <v>2025</v>
      </c>
      <c r="I236" s="503" t="inlineStr">
        <is>
          <t>NA</t>
        </is>
      </c>
      <c r="J236" s="503" t="inlineStr">
        <is>
          <t>NA</t>
        </is>
      </c>
      <c r="K236" s="503" t="inlineStr">
        <is>
          <t>NA</t>
        </is>
      </c>
      <c r="L236" s="503" t="inlineStr">
        <is>
          <t>NA</t>
        </is>
      </c>
      <c r="M236" s="503" t="n"/>
      <c r="N236" s="503" t="inlineStr">
        <is>
          <t>NA</t>
        </is>
      </c>
      <c r="O236" s="503" t="inlineStr">
        <is>
          <t>NA</t>
        </is>
      </c>
      <c r="P236" s="503" t="n"/>
      <c r="Q236" s="503" t="n"/>
      <c r="R236" s="503" t="n"/>
      <c r="S236" s="503" t="n"/>
      <c r="T236" s="503" t="n"/>
      <c r="U236" s="503" t="n"/>
      <c r="V236" s="503" t="n"/>
      <c r="W236" s="503" t="n"/>
      <c r="X236" s="503" t="n">
        <v>0</v>
      </c>
      <c r="Y236" s="503" t="n"/>
      <c r="Z236" s="503" t="n"/>
      <c r="AA236" s="503" t="n"/>
      <c r="AB236" s="503" t="n"/>
      <c r="AC236" s="503" t="n"/>
      <c r="AD236" s="503" t="n"/>
      <c r="AE236" s="503" t="n"/>
      <c r="AF236" s="503" t="n"/>
      <c r="AG236" s="503" t="n"/>
      <c r="AH236" s="503" t="n"/>
      <c r="AI236" s="503" t="n"/>
      <c r="AJ236" s="503" t="n"/>
    </row>
    <row r="237">
      <c r="A237" s="500" t="n"/>
      <c r="B237" s="497" t="n">
        <v>4</v>
      </c>
      <c r="C237" s="500" t="n">
        <v>29</v>
      </c>
      <c r="D237" s="500" t="inlineStr">
        <is>
          <t>Danja 2</t>
        </is>
      </c>
      <c r="E237" s="470" t="inlineStr">
        <is>
          <t>Djirataoua</t>
        </is>
      </c>
      <c r="F237" s="500" t="inlineStr">
        <is>
          <t>Intervention</t>
        </is>
      </c>
      <c r="G237" s="497" t="n">
        <v>2024</v>
      </c>
      <c r="H237" s="497" t="n">
        <v>2025</v>
      </c>
      <c r="I237" s="500" t="n">
        <v>4</v>
      </c>
      <c r="J237" s="500" t="n">
        <v>2</v>
      </c>
      <c r="K237" s="500" t="n">
        <v>34</v>
      </c>
      <c r="L237" s="500" t="n">
        <v>2</v>
      </c>
      <c r="M237" s="500" t="n"/>
      <c r="N237" s="500" t="n"/>
      <c r="O237" s="500" t="n"/>
      <c r="P237" s="500" t="n"/>
      <c r="Q237" s="500" t="n"/>
      <c r="R237" s="500" t="n"/>
      <c r="S237" s="500" t="n"/>
      <c r="T237" s="500" t="n"/>
      <c r="U237" s="500" t="n"/>
      <c r="V237" s="500" t="n"/>
      <c r="W237" s="500" t="n"/>
      <c r="X237" s="500" t="n">
        <v>0</v>
      </c>
      <c r="Y237" s="500" t="n"/>
      <c r="Z237" s="500" t="n"/>
      <c r="AA237" s="500" t="n"/>
      <c r="AB237" s="500" t="n"/>
      <c r="AC237" s="500" t="n"/>
      <c r="AD237" s="500" t="n"/>
      <c r="AE237" s="500" t="n"/>
      <c r="AF237" s="500" t="n"/>
      <c r="AG237" s="500" t="n"/>
      <c r="AH237" s="500" t="n"/>
      <c r="AI237" s="500" t="n"/>
      <c r="AJ237" s="500" t="n"/>
    </row>
    <row r="238">
      <c r="A238" s="500" t="n"/>
      <c r="C238" s="500" t="n">
        <v>85</v>
      </c>
      <c r="D238" s="500" t="inlineStr">
        <is>
          <t>Kontagora Goussawa</t>
        </is>
      </c>
      <c r="E238" s="495" t="inlineStr">
        <is>
          <t>Djirataoua</t>
        </is>
      </c>
      <c r="F238" s="681" t="inlineStr">
        <is>
          <t>Control</t>
        </is>
      </c>
      <c r="G238" s="681" t="n">
        <v>2024</v>
      </c>
      <c r="H238" s="681" t="n">
        <v>2025</v>
      </c>
      <c r="I238" s="500" t="inlineStr">
        <is>
          <t>NA</t>
        </is>
      </c>
      <c r="J238" s="500" t="inlineStr">
        <is>
          <t>NA</t>
        </is>
      </c>
      <c r="K238" s="500" t="inlineStr">
        <is>
          <t>NA</t>
        </is>
      </c>
      <c r="L238" s="500" t="inlineStr">
        <is>
          <t>NA</t>
        </is>
      </c>
      <c r="M238" s="500" t="n"/>
      <c r="N238" s="500" t="inlineStr">
        <is>
          <t>NA</t>
        </is>
      </c>
      <c r="O238" s="500" t="inlineStr">
        <is>
          <t>NA</t>
        </is>
      </c>
      <c r="P238" s="500" t="n"/>
      <c r="Q238" s="500" t="n"/>
      <c r="R238" s="500" t="n"/>
      <c r="S238" s="500" t="n"/>
      <c r="T238" s="500" t="n"/>
      <c r="U238" s="500" t="n"/>
      <c r="V238" s="500" t="n"/>
      <c r="W238" s="500" t="n"/>
      <c r="X238" s="500" t="n">
        <v>1</v>
      </c>
      <c r="Y238" s="500" t="n"/>
      <c r="Z238" s="500" t="n"/>
      <c r="AA238" s="500" t="n"/>
      <c r="AB238" s="500" t="n"/>
      <c r="AC238" s="500" t="n"/>
      <c r="AD238" s="500" t="n"/>
      <c r="AE238" s="500" t="n"/>
      <c r="AF238" s="500" t="n"/>
      <c r="AG238" s="500" t="n"/>
      <c r="AH238" s="500" t="n"/>
      <c r="AI238" s="500" t="n"/>
      <c r="AJ238" s="500" t="n"/>
    </row>
    <row r="239">
      <c r="A239" s="503" t="n"/>
      <c r="B239" s="470" t="n">
        <v>5</v>
      </c>
      <c r="C239" s="503" t="n">
        <v>31</v>
      </c>
      <c r="D239" s="503" t="inlineStr">
        <is>
          <t>Takalmaoua 2</t>
        </is>
      </c>
      <c r="E239" s="470" t="inlineStr">
        <is>
          <t>Djirataoua</t>
        </is>
      </c>
      <c r="F239" s="503" t="inlineStr">
        <is>
          <t>Intervention</t>
        </is>
      </c>
      <c r="G239" s="470" t="n">
        <v>2024</v>
      </c>
      <c r="H239" s="470" t="n">
        <v>2025</v>
      </c>
      <c r="I239" s="503" t="n">
        <v>4</v>
      </c>
      <c r="J239" s="503" t="n">
        <v>1</v>
      </c>
      <c r="K239" s="503" t="n">
        <v>14</v>
      </c>
      <c r="L239" s="503" t="n">
        <v>2</v>
      </c>
      <c r="M239" s="503" t="n"/>
      <c r="N239" s="503" t="n"/>
      <c r="O239" s="503" t="n"/>
      <c r="P239" s="503" t="n"/>
      <c r="Q239" s="503" t="n"/>
      <c r="R239" s="503" t="n"/>
      <c r="S239" s="503" t="n"/>
      <c r="T239" s="503" t="n"/>
      <c r="U239" s="503" t="n"/>
      <c r="V239" s="503" t="n"/>
      <c r="W239" s="503" t="n"/>
      <c r="X239" s="503" t="n">
        <v>0</v>
      </c>
      <c r="Y239" s="503" t="n"/>
      <c r="Z239" s="503" t="n"/>
      <c r="AA239" s="503" t="n"/>
      <c r="AB239" s="503" t="n"/>
      <c r="AC239" s="503" t="n"/>
      <c r="AD239" s="503" t="n"/>
      <c r="AE239" s="503" t="n"/>
      <c r="AF239" s="503" t="n"/>
      <c r="AG239" s="503" t="n"/>
      <c r="AH239" s="503" t="n"/>
      <c r="AI239" s="503" t="n"/>
      <c r="AJ239" s="503" t="n"/>
    </row>
    <row r="240">
      <c r="A240" s="503" t="n"/>
      <c r="C240" s="503" t="n">
        <v>87</v>
      </c>
      <c r="D240" s="503" t="inlineStr">
        <is>
          <t>Tajaye Djirataoua</t>
        </is>
      </c>
      <c r="E240" s="495" t="inlineStr">
        <is>
          <t>Djirataoua</t>
        </is>
      </c>
      <c r="F240" s="504" t="inlineStr">
        <is>
          <t>Control</t>
        </is>
      </c>
      <c r="G240" s="495" t="n">
        <v>2024</v>
      </c>
      <c r="H240" s="495" t="n">
        <v>2025</v>
      </c>
      <c r="I240" s="503" t="inlineStr">
        <is>
          <t>NA</t>
        </is>
      </c>
      <c r="J240" s="503" t="inlineStr">
        <is>
          <t>NA</t>
        </is>
      </c>
      <c r="K240" s="503" t="inlineStr">
        <is>
          <t>NA</t>
        </is>
      </c>
      <c r="L240" s="503" t="inlineStr">
        <is>
          <t>NA</t>
        </is>
      </c>
      <c r="M240" s="503" t="n"/>
      <c r="N240" s="503" t="inlineStr">
        <is>
          <t>NA</t>
        </is>
      </c>
      <c r="O240" s="503" t="inlineStr">
        <is>
          <t>NA</t>
        </is>
      </c>
      <c r="P240" s="503" t="n"/>
      <c r="Q240" s="503" t="n"/>
      <c r="R240" s="503" t="n"/>
      <c r="S240" s="503" t="n"/>
      <c r="T240" s="503" t="n"/>
      <c r="U240" s="503" t="n"/>
      <c r="V240" s="503" t="n"/>
      <c r="W240" s="503" t="n"/>
      <c r="X240" s="503" t="n">
        <v>0</v>
      </c>
      <c r="Y240" s="503" t="n"/>
      <c r="Z240" s="503" t="n"/>
      <c r="AA240" s="503" t="n"/>
      <c r="AB240" s="503" t="n"/>
      <c r="AC240" s="503" t="n"/>
      <c r="AD240" s="503" t="n"/>
      <c r="AE240" s="503" t="n"/>
      <c r="AF240" s="503" t="n"/>
      <c r="AG240" s="503" t="n"/>
      <c r="AH240" s="503" t="n"/>
      <c r="AI240" s="503" t="n"/>
      <c r="AJ240" s="503" t="n"/>
    </row>
    <row r="241">
      <c r="A241" s="500" t="n"/>
      <c r="B241" s="497" t="n">
        <v>6</v>
      </c>
      <c r="C241" s="500" t="n">
        <v>35</v>
      </c>
      <c r="D241" s="500" t="inlineStr">
        <is>
          <t>Safo Nassaraoua</t>
        </is>
      </c>
      <c r="E241" s="500" t="inlineStr">
        <is>
          <t>Safo</t>
        </is>
      </c>
      <c r="F241" s="500" t="inlineStr">
        <is>
          <t>Intervention</t>
        </is>
      </c>
      <c r="G241" s="497" t="n">
        <v>2024</v>
      </c>
      <c r="H241" s="497" t="n">
        <v>2025</v>
      </c>
      <c r="I241" s="500" t="n">
        <v>3</v>
      </c>
      <c r="J241" s="500" t="n">
        <v>2</v>
      </c>
      <c r="K241" s="500" t="n">
        <v>31</v>
      </c>
      <c r="L241" s="500" t="n">
        <v>2</v>
      </c>
      <c r="M241" s="500" t="n"/>
      <c r="N241" s="500" t="n"/>
      <c r="O241" s="500" t="n"/>
      <c r="P241" s="500" t="n"/>
      <c r="Q241" s="500" t="n"/>
      <c r="R241" s="500" t="n"/>
      <c r="S241" s="500" t="n"/>
      <c r="T241" s="500" t="n"/>
      <c r="U241" s="500" t="n"/>
      <c r="V241" s="500" t="n"/>
      <c r="W241" s="500" t="n"/>
      <c r="X241" s="500" t="n">
        <v>0</v>
      </c>
      <c r="Y241" s="500" t="n"/>
      <c r="Z241" s="500" t="n"/>
      <c r="AA241" s="500" t="n"/>
      <c r="AB241" s="500" t="n"/>
      <c r="AC241" s="500" t="n"/>
      <c r="AD241" s="500" t="n"/>
      <c r="AE241" s="500" t="n"/>
      <c r="AF241" s="500" t="n"/>
      <c r="AG241" s="500" t="n"/>
      <c r="AH241" s="500" t="n"/>
      <c r="AI241" s="500" t="n"/>
      <c r="AJ241" s="500" t="n"/>
    </row>
    <row r="242">
      <c r="A242" s="500" t="n"/>
      <c r="C242" s="500" t="n">
        <v>80</v>
      </c>
      <c r="D242" s="500" t="inlineStr">
        <is>
          <t>Radi Centre 2</t>
        </is>
      </c>
      <c r="E242" s="681" t="inlineStr">
        <is>
          <t>Safo</t>
        </is>
      </c>
      <c r="F242" s="681" t="inlineStr">
        <is>
          <t>Control</t>
        </is>
      </c>
      <c r="G242" s="681" t="n">
        <v>2024</v>
      </c>
      <c r="H242" s="681" t="n">
        <v>2025</v>
      </c>
      <c r="I242" s="500" t="inlineStr">
        <is>
          <t>NA</t>
        </is>
      </c>
      <c r="J242" s="500" t="inlineStr">
        <is>
          <t>NA</t>
        </is>
      </c>
      <c r="K242" s="500" t="inlineStr">
        <is>
          <t>NA</t>
        </is>
      </c>
      <c r="L242" s="500" t="inlineStr">
        <is>
          <t>NA</t>
        </is>
      </c>
      <c r="M242" s="500" t="n"/>
      <c r="N242" s="500" t="inlineStr">
        <is>
          <t>NA</t>
        </is>
      </c>
      <c r="O242" s="500" t="inlineStr">
        <is>
          <t>NA</t>
        </is>
      </c>
      <c r="P242" s="500" t="n"/>
      <c r="Q242" s="500" t="n"/>
      <c r="R242" s="500" t="n"/>
      <c r="S242" s="500" t="n"/>
      <c r="T242" s="500" t="n"/>
      <c r="U242" s="500" t="n"/>
      <c r="V242" s="500" t="n"/>
      <c r="W242" s="500" t="n"/>
      <c r="X242" s="500" t="n">
        <v>0</v>
      </c>
      <c r="Y242" s="500" t="n"/>
      <c r="Z242" s="500" t="n"/>
      <c r="AA242" s="500" t="n"/>
      <c r="AB242" s="500" t="n"/>
      <c r="AC242" s="500" t="n"/>
      <c r="AD242" s="500" t="n"/>
      <c r="AE242" s="500" t="n"/>
      <c r="AF242" s="500" t="n"/>
      <c r="AG242" s="500" t="n"/>
      <c r="AH242" s="500" t="n"/>
      <c r="AI242" s="500" t="n"/>
      <c r="AJ242" s="500" t="n"/>
    </row>
    <row r="243">
      <c r="A243" s="503" t="n"/>
      <c r="B243" s="470" t="n">
        <v>7</v>
      </c>
      <c r="C243" s="470" t="n">
        <v>34</v>
      </c>
      <c r="D243" s="470" t="inlineStr">
        <is>
          <t>Maradou Centre</t>
        </is>
      </c>
      <c r="E243" s="500" t="inlineStr">
        <is>
          <t>Safo</t>
        </is>
      </c>
      <c r="F243" s="470" t="inlineStr">
        <is>
          <t>Intervention</t>
        </is>
      </c>
      <c r="G243" s="470" t="n">
        <v>2024</v>
      </c>
      <c r="H243" s="470" t="n">
        <v>2025</v>
      </c>
      <c r="I243" s="470" t="n">
        <v>4</v>
      </c>
      <c r="J243" s="470" t="n">
        <v>2</v>
      </c>
      <c r="K243" s="470" t="n">
        <v>35</v>
      </c>
      <c r="L243" s="470" t="n">
        <v>2</v>
      </c>
      <c r="M243" s="470" t="n"/>
      <c r="N243" s="470" t="n"/>
      <c r="O243" s="470" t="n"/>
      <c r="P243" s="470" t="n"/>
      <c r="Q243" s="470" t="n"/>
      <c r="R243" s="470" t="n"/>
      <c r="S243" s="470" t="n"/>
      <c r="T243" s="470" t="n"/>
      <c r="U243" s="470" t="n"/>
      <c r="V243" s="470" t="n"/>
      <c r="W243" s="470" t="n"/>
      <c r="X243" s="470" t="n">
        <v>0</v>
      </c>
      <c r="Y243" s="470" t="n"/>
      <c r="Z243" s="470" t="n"/>
      <c r="AA243" s="470" t="n"/>
      <c r="AB243" s="470" t="n"/>
      <c r="AC243" s="470" t="n"/>
      <c r="AD243" s="470" t="n"/>
      <c r="AE243" s="470" t="n"/>
      <c r="AF243" s="470" t="n"/>
      <c r="AG243" s="470" t="n"/>
      <c r="AH243" s="470" t="n"/>
      <c r="AI243" s="470" t="n"/>
      <c r="AJ243" s="470" t="n"/>
    </row>
    <row r="244">
      <c r="A244" s="503" t="n"/>
      <c r="C244" s="470" t="n">
        <v>81</v>
      </c>
      <c r="D244" s="470" t="inlineStr">
        <is>
          <t>Radi Quartier</t>
        </is>
      </c>
      <c r="E244" s="681" t="inlineStr">
        <is>
          <t>Safo</t>
        </is>
      </c>
      <c r="F244" s="495" t="inlineStr">
        <is>
          <t>Control</t>
        </is>
      </c>
      <c r="G244" s="495" t="n">
        <v>2024</v>
      </c>
      <c r="H244" s="495" t="n">
        <v>2025</v>
      </c>
      <c r="I244" s="470" t="inlineStr">
        <is>
          <t>NA</t>
        </is>
      </c>
      <c r="J244" s="470" t="inlineStr">
        <is>
          <t>NA</t>
        </is>
      </c>
      <c r="K244" s="470" t="inlineStr">
        <is>
          <t>NA</t>
        </is>
      </c>
      <c r="L244" s="470" t="inlineStr">
        <is>
          <t>NA</t>
        </is>
      </c>
      <c r="M244" s="470" t="n"/>
      <c r="N244" s="470" t="inlineStr">
        <is>
          <t>NA</t>
        </is>
      </c>
      <c r="O244" s="470" t="inlineStr">
        <is>
          <t>NA</t>
        </is>
      </c>
      <c r="P244" s="470" t="n"/>
      <c r="Q244" s="470" t="n"/>
      <c r="R244" s="470" t="n"/>
      <c r="S244" s="470" t="n"/>
      <c r="T244" s="470" t="n"/>
      <c r="U244" s="470" t="n"/>
      <c r="V244" s="470" t="n"/>
      <c r="W244" s="470" t="n"/>
      <c r="X244" s="470" t="n">
        <v>0</v>
      </c>
      <c r="Y244" s="470" t="n"/>
      <c r="Z244" s="470" t="n"/>
      <c r="AA244" s="470" t="n"/>
      <c r="AB244" s="470" t="n"/>
      <c r="AC244" s="470" t="n"/>
      <c r="AD244" s="470" t="n"/>
      <c r="AE244" s="470" t="n"/>
      <c r="AF244" s="470" t="n"/>
      <c r="AG244" s="470" t="n"/>
      <c r="AH244" s="470" t="n"/>
      <c r="AI244" s="470" t="n"/>
      <c r="AJ244" s="470" t="n"/>
    </row>
    <row r="245">
      <c r="A245" s="500" t="n"/>
      <c r="B245" s="497" t="n">
        <v>8</v>
      </c>
      <c r="C245" s="497" t="n">
        <v>9</v>
      </c>
      <c r="D245" s="497" t="inlineStr">
        <is>
          <t>Yari Idi</t>
        </is>
      </c>
      <c r="E245" s="497" t="inlineStr">
        <is>
          <t>Tibiri</t>
        </is>
      </c>
      <c r="F245" s="497" t="inlineStr">
        <is>
          <t>Intervention</t>
        </is>
      </c>
      <c r="G245" s="497" t="n">
        <v>2024</v>
      </c>
      <c r="H245" s="497" t="n">
        <v>2025</v>
      </c>
      <c r="I245" s="497" t="n">
        <v>1</v>
      </c>
      <c r="J245" s="497" t="n">
        <v>3</v>
      </c>
      <c r="K245" s="497" t="n">
        <v>43</v>
      </c>
      <c r="L245" s="497" t="n">
        <v>2</v>
      </c>
      <c r="M245" s="497" t="n"/>
      <c r="N245" s="497" t="n"/>
      <c r="O245" s="497" t="n"/>
      <c r="P245" s="497" t="n"/>
      <c r="Q245" s="497" t="n"/>
      <c r="R245" s="497" t="n"/>
      <c r="S245" s="497" t="n"/>
      <c r="T245" s="497" t="n"/>
      <c r="U245" s="497" t="n"/>
      <c r="V245" s="497" t="n"/>
      <c r="W245" s="497" t="n"/>
      <c r="X245" s="497" t="n">
        <v>0</v>
      </c>
      <c r="Y245" s="497" t="n"/>
      <c r="Z245" s="497" t="n"/>
      <c r="AA245" s="497" t="n"/>
      <c r="AB245" s="497" t="n"/>
      <c r="AC245" s="497" t="n"/>
      <c r="AD245" s="497" t="n"/>
      <c r="AE245" s="497" t="n"/>
      <c r="AF245" s="497" t="n"/>
      <c r="AG245" s="497" t="n"/>
      <c r="AH245" s="497" t="n"/>
      <c r="AI245" s="497" t="n"/>
      <c r="AJ245" s="497" t="n"/>
    </row>
    <row r="246">
      <c r="A246" s="500" t="n"/>
      <c r="C246" s="497" t="n">
        <v>74</v>
      </c>
      <c r="D246" s="497" t="inlineStr">
        <is>
          <t>Maza Tsaye 1</t>
        </is>
      </c>
      <c r="E246" s="79" t="inlineStr">
        <is>
          <t>Tibiri</t>
        </is>
      </c>
      <c r="F246" s="79" t="inlineStr">
        <is>
          <t>Control</t>
        </is>
      </c>
      <c r="G246" s="681" t="n">
        <v>2024</v>
      </c>
      <c r="H246" s="681" t="n">
        <v>2025</v>
      </c>
      <c r="I246" s="497" t="inlineStr">
        <is>
          <t>NA</t>
        </is>
      </c>
      <c r="J246" s="497" t="inlineStr">
        <is>
          <t>NA</t>
        </is>
      </c>
      <c r="K246" s="497" t="inlineStr">
        <is>
          <t>NA</t>
        </is>
      </c>
      <c r="L246" s="497" t="inlineStr">
        <is>
          <t>NA</t>
        </is>
      </c>
      <c r="M246" s="497" t="n"/>
      <c r="N246" s="497" t="inlineStr">
        <is>
          <t>NA</t>
        </is>
      </c>
      <c r="O246" s="497" t="inlineStr">
        <is>
          <t>NA</t>
        </is>
      </c>
      <c r="P246" s="497" t="n"/>
      <c r="Q246" s="497" t="n"/>
      <c r="R246" s="497" t="n"/>
      <c r="S246" s="497" t="n"/>
      <c r="T246" s="497" t="n"/>
      <c r="U246" s="497" t="n"/>
      <c r="V246" s="497" t="n"/>
      <c r="W246" s="497" t="n"/>
      <c r="X246" s="497" t="n">
        <v>0</v>
      </c>
      <c r="Y246" s="497" t="n"/>
      <c r="Z246" s="497" t="n"/>
      <c r="AA246" s="497" t="n"/>
      <c r="AB246" s="497" t="n"/>
      <c r="AC246" s="497" t="n"/>
      <c r="AD246" s="497" t="n"/>
      <c r="AE246" s="497" t="n"/>
      <c r="AF246" s="497" t="n"/>
      <c r="AG246" s="497" t="n"/>
      <c r="AH246" s="497" t="n"/>
      <c r="AI246" s="497" t="n"/>
      <c r="AJ246" s="497" t="n"/>
    </row>
    <row r="247">
      <c r="A247" s="503" t="n"/>
      <c r="B247" s="470" t="n">
        <v>9</v>
      </c>
      <c r="C247" s="470" t="n">
        <v>3</v>
      </c>
      <c r="D247" s="470" t="inlineStr">
        <is>
          <t>Kalgon Waraou</t>
        </is>
      </c>
      <c r="E247" s="497" t="inlineStr">
        <is>
          <t>Tibiri</t>
        </is>
      </c>
      <c r="F247" s="470" t="inlineStr">
        <is>
          <t>Intervention</t>
        </is>
      </c>
      <c r="G247" s="470" t="n">
        <v>2024</v>
      </c>
      <c r="H247" s="470" t="n">
        <v>2025</v>
      </c>
      <c r="I247" s="470" t="n">
        <v>6</v>
      </c>
      <c r="J247" s="470" t="n">
        <v>3</v>
      </c>
      <c r="K247" s="470" t="n">
        <v>36</v>
      </c>
      <c r="L247" s="470" t="n">
        <v>2</v>
      </c>
      <c r="M247" s="470" t="n"/>
      <c r="N247" s="470" t="n"/>
      <c r="O247" s="470" t="n"/>
      <c r="P247" s="470" t="n"/>
      <c r="Q247" s="470" t="n"/>
      <c r="R247" s="470" t="n"/>
      <c r="S247" s="470" t="n"/>
      <c r="T247" s="470" t="n"/>
      <c r="U247" s="470" t="n"/>
      <c r="V247" s="470" t="n"/>
      <c r="W247" s="470" t="n"/>
      <c r="X247" s="470" t="n">
        <v>0</v>
      </c>
      <c r="Y247" s="470" t="n"/>
      <c r="Z247" s="470" t="n"/>
      <c r="AA247" s="470" t="n"/>
      <c r="AB247" s="470" t="n"/>
      <c r="AC247" s="470" t="n"/>
      <c r="AD247" s="470" t="n"/>
      <c r="AE247" s="470" t="n"/>
      <c r="AF247" s="470" t="n"/>
      <c r="AG247" s="470" t="n"/>
      <c r="AH247" s="470" t="n"/>
      <c r="AI247" s="470" t="n"/>
      <c r="AJ247" s="470" t="n"/>
    </row>
    <row r="248">
      <c r="A248" s="503" t="n"/>
      <c r="C248" s="470" t="n">
        <v>65</v>
      </c>
      <c r="D248" s="470" t="inlineStr">
        <is>
          <t>Guigamaoua</t>
        </is>
      </c>
      <c r="E248" s="79" t="inlineStr">
        <is>
          <t>Tibiri</t>
        </is>
      </c>
      <c r="F248" s="495" t="inlineStr">
        <is>
          <t>Control</t>
        </is>
      </c>
      <c r="G248" s="495" t="n">
        <v>2024</v>
      </c>
      <c r="H248" s="495" t="n">
        <v>2025</v>
      </c>
      <c r="I248" s="470" t="inlineStr">
        <is>
          <t>NA</t>
        </is>
      </c>
      <c r="J248" s="470" t="inlineStr">
        <is>
          <t>NA</t>
        </is>
      </c>
      <c r="K248" s="470" t="inlineStr">
        <is>
          <t>NA</t>
        </is>
      </c>
      <c r="L248" s="470" t="inlineStr">
        <is>
          <t>NA</t>
        </is>
      </c>
      <c r="M248" s="470" t="n"/>
      <c r="N248" s="470" t="inlineStr">
        <is>
          <t>NA</t>
        </is>
      </c>
      <c r="O248" s="470" t="inlineStr">
        <is>
          <t>NA</t>
        </is>
      </c>
      <c r="P248" s="470" t="n"/>
      <c r="Q248" s="470" t="n"/>
      <c r="R248" s="470" t="n"/>
      <c r="S248" s="470" t="n"/>
      <c r="T248" s="470" t="n"/>
      <c r="U248" s="470" t="n"/>
      <c r="V248" s="470" t="n"/>
      <c r="W248" s="470" t="n"/>
      <c r="X248" s="470" t="n">
        <v>0</v>
      </c>
      <c r="Y248" s="470" t="n"/>
      <c r="Z248" s="470" t="n"/>
      <c r="AA248" s="470" t="n"/>
      <c r="AB248" s="470" t="n"/>
      <c r="AC248" s="470" t="n"/>
      <c r="AD248" s="470" t="n"/>
      <c r="AE248" s="470" t="n"/>
      <c r="AF248" s="470" t="n"/>
      <c r="AG248" s="470" t="n"/>
      <c r="AH248" s="470" t="n"/>
      <c r="AI248" s="470" t="n"/>
      <c r="AJ248" s="470" t="n"/>
    </row>
    <row r="249">
      <c r="A249" s="500" t="n"/>
      <c r="B249" s="497" t="n">
        <v>10</v>
      </c>
      <c r="C249" s="497" t="n">
        <v>5</v>
      </c>
      <c r="D249" s="497" t="inlineStr">
        <is>
          <t>Dan Fillo</t>
        </is>
      </c>
      <c r="E249" s="497" t="inlineStr">
        <is>
          <t>Tibiri</t>
        </is>
      </c>
      <c r="F249" s="497" t="inlineStr">
        <is>
          <t>Intervention</t>
        </is>
      </c>
      <c r="G249" s="497" t="n">
        <v>2024</v>
      </c>
      <c r="H249" s="497" t="n">
        <v>2025</v>
      </c>
      <c r="I249" s="497" t="n">
        <v>6</v>
      </c>
      <c r="J249" s="497" t="n">
        <v>3</v>
      </c>
      <c r="K249" s="497" t="n">
        <v>40</v>
      </c>
      <c r="L249" s="497" t="n">
        <v>2</v>
      </c>
      <c r="M249" s="497" t="n"/>
      <c r="N249" s="497" t="n"/>
      <c r="O249" s="497" t="n"/>
      <c r="P249" s="497" t="n"/>
      <c r="Q249" s="497" t="n"/>
      <c r="R249" s="497" t="n"/>
      <c r="S249" s="497" t="n"/>
      <c r="T249" s="497" t="n"/>
      <c r="U249" s="497" t="n"/>
      <c r="V249" s="497" t="n"/>
      <c r="W249" s="497" t="n"/>
      <c r="X249" s="497" t="n">
        <v>0</v>
      </c>
      <c r="Y249" s="497" t="n"/>
      <c r="Z249" s="497" t="n"/>
      <c r="AA249" s="497" t="n"/>
      <c r="AB249" s="497" t="n"/>
      <c r="AC249" s="497" t="n"/>
      <c r="AD249" s="497" t="n"/>
      <c r="AE249" s="497" t="n"/>
      <c r="AF249" s="497" t="n"/>
      <c r="AG249" s="497" t="n"/>
      <c r="AH249" s="497" t="n"/>
      <c r="AI249" s="497" t="n"/>
      <c r="AJ249" s="497" t="n"/>
    </row>
    <row r="250">
      <c r="A250" s="500" t="n"/>
      <c r="C250" s="497" t="n">
        <v>69</v>
      </c>
      <c r="D250" s="497" t="inlineStr">
        <is>
          <t>Karakara 2</t>
        </is>
      </c>
      <c r="E250" s="79" t="inlineStr">
        <is>
          <t>Tibiri</t>
        </is>
      </c>
      <c r="F250" s="79" t="inlineStr">
        <is>
          <t>Control</t>
        </is>
      </c>
      <c r="G250" s="681" t="n">
        <v>2024</v>
      </c>
      <c r="H250" s="681" t="n">
        <v>2025</v>
      </c>
      <c r="I250" s="497" t="inlineStr">
        <is>
          <t>NA</t>
        </is>
      </c>
      <c r="J250" s="497" t="inlineStr">
        <is>
          <t>NA</t>
        </is>
      </c>
      <c r="K250" s="497" t="inlineStr">
        <is>
          <t>NA</t>
        </is>
      </c>
      <c r="L250" s="497" t="inlineStr">
        <is>
          <t>NA</t>
        </is>
      </c>
      <c r="M250" s="497" t="n"/>
      <c r="N250" s="497" t="inlineStr">
        <is>
          <t>NA</t>
        </is>
      </c>
      <c r="O250" s="497" t="inlineStr">
        <is>
          <t>NA</t>
        </is>
      </c>
      <c r="P250" s="497" t="n"/>
      <c r="Q250" s="497" t="n"/>
      <c r="R250" s="497" t="n"/>
      <c r="S250" s="497" t="n"/>
      <c r="T250" s="497" t="n"/>
      <c r="U250" s="497" t="n"/>
      <c r="V250" s="497" t="n"/>
      <c r="W250" s="497" t="n"/>
      <c r="X250" s="497" t="n">
        <v>0</v>
      </c>
      <c r="Y250" s="497" t="n"/>
      <c r="Z250" s="497" t="n"/>
      <c r="AA250" s="497" t="n"/>
      <c r="AB250" s="497" t="n"/>
      <c r="AC250" s="497" t="n"/>
      <c r="AD250" s="497" t="n"/>
      <c r="AE250" s="497" t="n"/>
      <c r="AF250" s="497" t="n"/>
      <c r="AG250" s="497" t="n"/>
      <c r="AH250" s="497" t="n"/>
      <c r="AI250" s="497" t="n"/>
      <c r="AJ250" s="497" t="n"/>
    </row>
    <row r="251">
      <c r="A251" s="682" t="n"/>
      <c r="B251" s="470" t="n">
        <v>11</v>
      </c>
      <c r="C251" s="470" t="n">
        <v>6</v>
      </c>
      <c r="D251" s="470" t="inlineStr">
        <is>
          <t>Galma 1</t>
        </is>
      </c>
      <c r="E251" s="497" t="inlineStr">
        <is>
          <t>Tibiri</t>
        </is>
      </c>
      <c r="F251" s="470" t="inlineStr">
        <is>
          <t>Intervention</t>
        </is>
      </c>
      <c r="G251" s="470" t="n">
        <v>2024</v>
      </c>
      <c r="H251" s="470" t="n">
        <v>2025</v>
      </c>
      <c r="I251" s="470" t="n">
        <v>5</v>
      </c>
      <c r="J251" s="470" t="n">
        <v>3</v>
      </c>
      <c r="K251" s="470" t="n">
        <v>36</v>
      </c>
      <c r="L251" s="470" t="n">
        <v>2</v>
      </c>
      <c r="M251" s="470" t="n"/>
      <c r="N251" s="470" t="n"/>
      <c r="O251" s="470" t="n"/>
      <c r="P251" s="470" t="n"/>
      <c r="Q251" s="470" t="n"/>
      <c r="R251" s="470" t="n"/>
      <c r="S251" s="470" t="n"/>
      <c r="T251" s="470" t="n"/>
      <c r="U251" s="470" t="n"/>
      <c r="V251" s="470" t="n"/>
      <c r="W251" s="470" t="n"/>
      <c r="X251" s="470" t="n">
        <v>0</v>
      </c>
      <c r="Y251" s="470" t="n"/>
      <c r="Z251" s="470" t="n"/>
      <c r="AA251" s="470" t="n"/>
      <c r="AB251" s="470" t="n"/>
      <c r="AC251" s="470" t="n"/>
      <c r="AD251" s="470" t="n"/>
      <c r="AE251" s="470" t="n"/>
      <c r="AF251" s="470" t="n"/>
      <c r="AG251" s="470" t="n"/>
      <c r="AH251" s="470" t="n"/>
      <c r="AI251" s="470" t="n"/>
      <c r="AJ251" s="470" t="n"/>
    </row>
    <row r="252">
      <c r="A252" s="682" t="n"/>
      <c r="C252" s="470" t="n">
        <v>73</v>
      </c>
      <c r="D252" s="470" t="inlineStr">
        <is>
          <t>Yan Belbelou 3</t>
        </is>
      </c>
      <c r="E252" s="79" t="inlineStr">
        <is>
          <t>Tibiri</t>
        </is>
      </c>
      <c r="F252" s="495" t="inlineStr">
        <is>
          <t>Control</t>
        </is>
      </c>
      <c r="G252" s="495" t="n">
        <v>2024</v>
      </c>
      <c r="H252" s="495" t="n">
        <v>2025</v>
      </c>
      <c r="I252" s="470" t="inlineStr">
        <is>
          <t>NA</t>
        </is>
      </c>
      <c r="J252" s="470" t="inlineStr">
        <is>
          <t>NA</t>
        </is>
      </c>
      <c r="K252" s="470" t="inlineStr">
        <is>
          <t>NA</t>
        </is>
      </c>
      <c r="L252" s="470" t="inlineStr">
        <is>
          <t>NA</t>
        </is>
      </c>
      <c r="M252" s="470" t="n"/>
      <c r="N252" s="470" t="inlineStr">
        <is>
          <t>NA</t>
        </is>
      </c>
      <c r="O252" s="470" t="inlineStr">
        <is>
          <t>NA</t>
        </is>
      </c>
      <c r="P252" s="470" t="n"/>
      <c r="Q252" s="470" t="n"/>
      <c r="R252" s="470" t="n"/>
      <c r="S252" s="470" t="n"/>
      <c r="T252" s="470" t="n"/>
      <c r="U252" s="470" t="n"/>
      <c r="V252" s="470" t="n"/>
      <c r="W252" s="470" t="n"/>
      <c r="X252" s="470" t="n">
        <v>0</v>
      </c>
      <c r="Y252" s="470" t="n"/>
      <c r="Z252" s="470" t="n"/>
      <c r="AA252" s="470" t="n"/>
      <c r="AB252" s="470" t="n"/>
      <c r="AC252" s="470" t="n"/>
      <c r="AD252" s="470" t="n"/>
      <c r="AE252" s="470" t="n"/>
      <c r="AF252" s="470" t="n"/>
      <c r="AG252" s="470" t="n"/>
      <c r="AH252" s="470" t="n"/>
      <c r="AI252" s="470" t="n"/>
      <c r="AJ252" s="470" t="n"/>
    </row>
    <row r="253">
      <c r="A253" s="683" t="n"/>
      <c r="B253" s="497" t="n">
        <v>12</v>
      </c>
      <c r="C253" s="506" t="n">
        <v>7</v>
      </c>
      <c r="D253" s="506" t="inlineStr">
        <is>
          <t>Galma 2</t>
        </is>
      </c>
      <c r="E253" s="497" t="inlineStr">
        <is>
          <t>Tibiri</t>
        </is>
      </c>
      <c r="F253" s="506" t="inlineStr">
        <is>
          <t>Intervention</t>
        </is>
      </c>
      <c r="G253" s="497" t="n">
        <v>2024</v>
      </c>
      <c r="H253" s="497" t="n">
        <v>2025</v>
      </c>
      <c r="I253" s="506" t="n">
        <v>5</v>
      </c>
      <c r="J253" s="506" t="n">
        <v>2</v>
      </c>
      <c r="K253" s="506" t="n">
        <v>33</v>
      </c>
      <c r="L253" s="497" t="n">
        <v>2</v>
      </c>
      <c r="M253" s="497" t="n"/>
      <c r="N253" s="497" t="n"/>
      <c r="O253" s="497" t="n"/>
      <c r="P253" s="497" t="n"/>
      <c r="Q253" s="497" t="n"/>
      <c r="R253" s="497" t="n"/>
      <c r="S253" s="497" t="n"/>
      <c r="T253" s="497" t="n"/>
      <c r="U253" s="497" t="n"/>
      <c r="V253" s="497" t="n"/>
      <c r="W253" s="497" t="n"/>
      <c r="X253" s="497" t="n">
        <v>0</v>
      </c>
      <c r="Y253" s="497" t="n"/>
      <c r="Z253" s="497" t="n"/>
      <c r="AA253" s="497" t="n"/>
      <c r="AB253" s="497" t="n"/>
      <c r="AC253" s="497" t="n"/>
      <c r="AD253" s="497" t="n"/>
      <c r="AE253" s="497" t="n"/>
      <c r="AF253" s="497" t="n"/>
      <c r="AG253" s="497" t="n"/>
      <c r="AH253" s="497" t="n"/>
      <c r="AI253" s="497" t="n"/>
      <c r="AJ253" s="497" t="n"/>
    </row>
    <row r="254">
      <c r="A254" s="683" t="n"/>
      <c r="C254" s="506" t="n">
        <v>66</v>
      </c>
      <c r="D254" s="506" t="inlineStr">
        <is>
          <t>Sarkin Aski</t>
        </is>
      </c>
      <c r="E254" s="79" t="inlineStr">
        <is>
          <t>Tibiri</t>
        </is>
      </c>
      <c r="F254" s="507" t="inlineStr">
        <is>
          <t>Control</t>
        </is>
      </c>
      <c r="G254" s="681" t="n">
        <v>2024</v>
      </c>
      <c r="H254" s="681" t="n">
        <v>2025</v>
      </c>
      <c r="I254" s="506" t="inlineStr">
        <is>
          <t>NA</t>
        </is>
      </c>
      <c r="J254" s="506" t="inlineStr">
        <is>
          <t>NA</t>
        </is>
      </c>
      <c r="K254" s="506" t="inlineStr">
        <is>
          <t>NA</t>
        </is>
      </c>
      <c r="L254" s="497" t="inlineStr">
        <is>
          <t>NA</t>
        </is>
      </c>
      <c r="M254" s="497" t="n"/>
      <c r="N254" s="497" t="inlineStr">
        <is>
          <t>NA</t>
        </is>
      </c>
      <c r="O254" s="497" t="inlineStr">
        <is>
          <t>NA</t>
        </is>
      </c>
      <c r="P254" s="497" t="n"/>
      <c r="Q254" s="497" t="n"/>
      <c r="R254" s="497" t="n"/>
      <c r="S254" s="497" t="n"/>
      <c r="T254" s="497" t="n"/>
      <c r="U254" s="497" t="n"/>
      <c r="V254" s="497" t="n"/>
      <c r="W254" s="497" t="n"/>
      <c r="X254" s="497" t="n">
        <v>2</v>
      </c>
      <c r="Y254" s="497" t="n"/>
      <c r="Z254" s="497" t="n"/>
      <c r="AA254" s="497" t="n"/>
      <c r="AB254" s="497" t="n"/>
      <c r="AC254" s="497" t="n"/>
      <c r="AD254" s="497" t="n"/>
      <c r="AE254" s="497" t="n"/>
      <c r="AF254" s="497" t="n"/>
      <c r="AG254" s="497" t="n"/>
      <c r="AH254" s="497" t="n"/>
      <c r="AI254" s="497" t="n"/>
      <c r="AJ254" s="497" t="n"/>
    </row>
    <row r="255">
      <c r="A255" s="682" t="n"/>
      <c r="B255" s="470" t="n">
        <v>13</v>
      </c>
      <c r="C255" s="489" t="n">
        <v>13</v>
      </c>
      <c r="D255" s="489" t="inlineStr">
        <is>
          <t>Soura Magagin Rogo</t>
        </is>
      </c>
      <c r="E255" s="497" t="inlineStr">
        <is>
          <t>Tibiri</t>
        </is>
      </c>
      <c r="F255" s="489" t="inlineStr">
        <is>
          <t>Intervention</t>
        </is>
      </c>
      <c r="G255" s="470" t="n">
        <v>2024</v>
      </c>
      <c r="H255" s="470" t="n">
        <v>2025</v>
      </c>
      <c r="I255" s="489" t="n">
        <v>4</v>
      </c>
      <c r="J255" s="489" t="n">
        <v>3</v>
      </c>
      <c r="K255" s="489" t="n">
        <v>36</v>
      </c>
      <c r="L255" s="470" t="n">
        <v>2</v>
      </c>
      <c r="M255" s="470" t="n"/>
      <c r="N255" s="470" t="n"/>
      <c r="O255" s="470" t="n"/>
      <c r="P255" s="470" t="n"/>
      <c r="Q255" s="470" t="n"/>
      <c r="R255" s="470" t="n"/>
      <c r="S255" s="470" t="n"/>
      <c r="T255" s="470" t="n"/>
      <c r="U255" s="470" t="n"/>
      <c r="V255" s="470" t="n"/>
      <c r="W255" s="470" t="n"/>
      <c r="X255" s="470" t="n">
        <v>0</v>
      </c>
      <c r="Y255" s="470" t="n"/>
      <c r="Z255" s="470" t="n"/>
      <c r="AA255" s="470" t="n"/>
      <c r="AB255" s="470" t="n"/>
      <c r="AC255" s="470" t="n"/>
      <c r="AD255" s="470" t="n"/>
      <c r="AE255" s="470" t="n"/>
      <c r="AF255" s="470" t="n"/>
      <c r="AG255" s="470" t="n"/>
      <c r="AH255" s="470" t="n"/>
      <c r="AI255" s="470" t="n"/>
      <c r="AJ255" s="470" t="n"/>
    </row>
    <row r="256">
      <c r="A256" s="682" t="n"/>
      <c r="C256" s="489" t="n">
        <v>76</v>
      </c>
      <c r="D256" s="489" t="inlineStr">
        <is>
          <t>Maisso</t>
        </is>
      </c>
      <c r="E256" s="79" t="inlineStr">
        <is>
          <t>Tibiri</t>
        </is>
      </c>
      <c r="F256" s="684" t="inlineStr">
        <is>
          <t>Control</t>
        </is>
      </c>
      <c r="G256" s="495" t="n">
        <v>2024</v>
      </c>
      <c r="H256" s="495" t="n">
        <v>2025</v>
      </c>
      <c r="I256" s="489" t="inlineStr">
        <is>
          <t>NA</t>
        </is>
      </c>
      <c r="J256" s="489" t="inlineStr">
        <is>
          <t>NA</t>
        </is>
      </c>
      <c r="K256" s="489" t="inlineStr">
        <is>
          <t>NA</t>
        </is>
      </c>
      <c r="L256" s="470" t="inlineStr">
        <is>
          <t>NA</t>
        </is>
      </c>
      <c r="M256" s="470" t="n"/>
      <c r="N256" s="470" t="inlineStr">
        <is>
          <t>NA</t>
        </is>
      </c>
      <c r="O256" s="470" t="inlineStr">
        <is>
          <t>NA</t>
        </is>
      </c>
      <c r="P256" s="470" t="n"/>
      <c r="Q256" s="470" t="n"/>
      <c r="R256" s="470" t="n"/>
      <c r="S256" s="470" t="n"/>
      <c r="T256" s="470" t="n"/>
      <c r="U256" s="470" t="n"/>
      <c r="V256" s="470" t="n"/>
      <c r="W256" s="470" t="n"/>
      <c r="X256" s="470" t="n">
        <v>2</v>
      </c>
      <c r="Y256" s="470" t="n"/>
      <c r="Z256" s="470" t="n"/>
      <c r="AA256" s="470" t="n"/>
      <c r="AB256" s="470" t="n"/>
      <c r="AC256" s="470" t="n"/>
      <c r="AD256" s="470" t="n"/>
      <c r="AE256" s="470" t="n"/>
      <c r="AF256" s="470" t="n"/>
      <c r="AG256" s="470" t="n"/>
      <c r="AH256" s="470" t="n"/>
      <c r="AI256" s="470" t="n"/>
      <c r="AJ256" s="470" t="n"/>
    </row>
    <row r="257">
      <c r="A257" s="683" t="n"/>
      <c r="B257" s="497" t="n">
        <v>14</v>
      </c>
      <c r="C257" s="506" t="n">
        <v>3</v>
      </c>
      <c r="D257" s="506" t="inlineStr">
        <is>
          <t>Waraou</t>
        </is>
      </c>
      <c r="E257" s="497" t="inlineStr">
        <is>
          <t>Tibiri</t>
        </is>
      </c>
      <c r="F257" s="506" t="inlineStr">
        <is>
          <t>Intervention</t>
        </is>
      </c>
      <c r="G257" s="497" t="n">
        <v>2024</v>
      </c>
      <c r="H257" s="497" t="n">
        <v>2025</v>
      </c>
      <c r="I257" s="506" t="n">
        <v>5</v>
      </c>
      <c r="J257" s="506" t="n">
        <v>3</v>
      </c>
      <c r="K257" s="506" t="n">
        <v>40</v>
      </c>
      <c r="L257" s="497" t="n">
        <v>2</v>
      </c>
      <c r="M257" s="497" t="n"/>
      <c r="N257" s="497" t="n"/>
      <c r="O257" s="497" t="n"/>
      <c r="P257" s="497" t="n"/>
      <c r="Q257" s="497" t="n"/>
      <c r="R257" s="497" t="n"/>
      <c r="S257" s="497" t="n"/>
      <c r="T257" s="497" t="n"/>
      <c r="U257" s="497" t="n"/>
      <c r="V257" s="497" t="n"/>
      <c r="W257" s="497" t="n"/>
      <c r="X257" s="497" t="n">
        <v>0</v>
      </c>
      <c r="Y257" s="497" t="n"/>
      <c r="Z257" s="497" t="n"/>
      <c r="AA257" s="497" t="n"/>
      <c r="AB257" s="497" t="n"/>
      <c r="AC257" s="497" t="n"/>
      <c r="AD257" s="497" t="n"/>
      <c r="AE257" s="497" t="n"/>
      <c r="AF257" s="497" t="n"/>
      <c r="AG257" s="497" t="n"/>
      <c r="AH257" s="497" t="n"/>
      <c r="AI257" s="497" t="n"/>
      <c r="AJ257" s="497" t="n"/>
    </row>
    <row r="258">
      <c r="A258" s="683" t="n"/>
      <c r="C258" s="506" t="n">
        <v>72</v>
      </c>
      <c r="D258" s="506" t="inlineStr">
        <is>
          <t>Garin Daoure 2</t>
        </is>
      </c>
      <c r="E258" s="79" t="inlineStr">
        <is>
          <t>Tibiri</t>
        </is>
      </c>
      <c r="F258" s="507" t="inlineStr">
        <is>
          <t>Control</t>
        </is>
      </c>
      <c r="G258" s="681" t="n">
        <v>2024</v>
      </c>
      <c r="H258" s="681" t="n">
        <v>2025</v>
      </c>
      <c r="I258" s="506" t="inlineStr">
        <is>
          <t>NA</t>
        </is>
      </c>
      <c r="J258" s="506" t="inlineStr">
        <is>
          <t>NA</t>
        </is>
      </c>
      <c r="K258" s="506" t="inlineStr">
        <is>
          <t>NA</t>
        </is>
      </c>
      <c r="L258" s="497" t="inlineStr">
        <is>
          <t>NA</t>
        </is>
      </c>
      <c r="M258" s="497" t="n"/>
      <c r="N258" s="497" t="inlineStr">
        <is>
          <t>NA</t>
        </is>
      </c>
      <c r="O258" s="497" t="inlineStr">
        <is>
          <t>NA</t>
        </is>
      </c>
      <c r="P258" s="497" t="n"/>
      <c r="Q258" s="497" t="n"/>
      <c r="R258" s="497" t="n"/>
      <c r="S258" s="497" t="n"/>
      <c r="T258" s="497" t="n"/>
      <c r="U258" s="497" t="n"/>
      <c r="V258" s="497" t="n"/>
      <c r="W258" s="497" t="n"/>
      <c r="X258" s="497" t="n">
        <v>0</v>
      </c>
      <c r="Y258" s="497" t="n"/>
      <c r="Z258" s="497" t="n"/>
      <c r="AA258" s="497" t="n"/>
      <c r="AB258" s="497" t="n"/>
      <c r="AC258" s="497" t="n"/>
      <c r="AD258" s="497" t="n"/>
      <c r="AE258" s="497" t="n"/>
      <c r="AF258" s="497" t="n"/>
      <c r="AG258" s="497" t="n"/>
      <c r="AH258" s="497" t="n"/>
      <c r="AI258" s="497" t="n"/>
      <c r="AJ258" s="497" t="n"/>
    </row>
    <row r="259">
      <c r="A259" s="682" t="n"/>
      <c r="B259" s="470" t="n">
        <v>15</v>
      </c>
      <c r="C259" s="489" t="n">
        <v>10</v>
      </c>
      <c r="D259" s="489" t="inlineStr">
        <is>
          <t>Nord 3</t>
        </is>
      </c>
      <c r="E259" s="497" t="inlineStr">
        <is>
          <t>Tibiri</t>
        </is>
      </c>
      <c r="F259" s="489" t="inlineStr">
        <is>
          <t>Intervention</t>
        </is>
      </c>
      <c r="G259" s="470" t="n">
        <v>2024</v>
      </c>
      <c r="H259" s="470" t="n">
        <v>2025</v>
      </c>
      <c r="I259" s="489" t="n">
        <v>7</v>
      </c>
      <c r="J259" s="489" t="n">
        <v>1</v>
      </c>
      <c r="K259" s="489" t="n">
        <v>23</v>
      </c>
      <c r="L259" s="470" t="n">
        <v>2</v>
      </c>
      <c r="M259" s="470" t="n"/>
      <c r="N259" s="470" t="n"/>
      <c r="O259" s="470" t="n"/>
      <c r="P259" s="470" t="n"/>
      <c r="Q259" s="470" t="n"/>
      <c r="R259" s="470" t="n"/>
      <c r="S259" s="470" t="n"/>
      <c r="T259" s="470" t="n"/>
      <c r="U259" s="470" t="n"/>
      <c r="V259" s="470" t="n"/>
      <c r="W259" s="470" t="n"/>
      <c r="X259" s="470" t="n">
        <v>0</v>
      </c>
      <c r="Y259" s="470" t="n"/>
      <c r="Z259" s="470" t="n"/>
      <c r="AA259" s="470" t="n"/>
      <c r="AB259" s="470" t="n"/>
      <c r="AC259" s="470" t="n"/>
      <c r="AD259" s="470" t="n"/>
      <c r="AE259" s="470" t="n"/>
      <c r="AF259" s="470" t="n"/>
      <c r="AG259" s="470" t="n"/>
      <c r="AH259" s="470" t="n"/>
      <c r="AI259" s="470" t="n"/>
      <c r="AJ259" s="470" t="n"/>
    </row>
    <row r="260">
      <c r="A260" s="682" t="n"/>
      <c r="C260" s="489" t="n">
        <v>71</v>
      </c>
      <c r="D260" s="489" t="inlineStr">
        <is>
          <t>Garin Daoure 1</t>
        </is>
      </c>
      <c r="E260" s="79" t="inlineStr">
        <is>
          <t>Tibiri</t>
        </is>
      </c>
      <c r="F260" s="684" t="inlineStr">
        <is>
          <t>Control</t>
        </is>
      </c>
      <c r="G260" s="495" t="n">
        <v>2024</v>
      </c>
      <c r="H260" s="495" t="n">
        <v>2025</v>
      </c>
      <c r="I260" s="489" t="inlineStr">
        <is>
          <t>NA</t>
        </is>
      </c>
      <c r="J260" s="489" t="inlineStr">
        <is>
          <t>NA</t>
        </is>
      </c>
      <c r="K260" s="489" t="inlineStr">
        <is>
          <t>NA</t>
        </is>
      </c>
      <c r="L260" s="470" t="inlineStr">
        <is>
          <t>NA</t>
        </is>
      </c>
      <c r="M260" s="470" t="n"/>
      <c r="N260" s="470" t="inlineStr">
        <is>
          <t>NA</t>
        </is>
      </c>
      <c r="O260" s="470" t="inlineStr">
        <is>
          <t>NA</t>
        </is>
      </c>
      <c r="P260" s="470" t="n"/>
      <c r="Q260" s="470" t="n"/>
      <c r="R260" s="470" t="n"/>
      <c r="S260" s="470" t="n"/>
      <c r="T260" s="470" t="n"/>
      <c r="U260" s="470" t="n"/>
      <c r="V260" s="470" t="n"/>
      <c r="W260" s="470" t="n"/>
      <c r="X260" s="470" t="n">
        <v>0</v>
      </c>
      <c r="Y260" s="470" t="n"/>
      <c r="Z260" s="470" t="n"/>
      <c r="AA260" s="470" t="n"/>
      <c r="AB260" s="470" t="n"/>
      <c r="AC260" s="470" t="n"/>
      <c r="AD260" s="470" t="n"/>
      <c r="AE260" s="470" t="n"/>
      <c r="AF260" s="470" t="n"/>
      <c r="AG260" s="470" t="n"/>
      <c r="AH260" s="470" t="n"/>
      <c r="AI260" s="470" t="n"/>
      <c r="AJ260" s="470" t="n"/>
    </row>
    <row r="261">
      <c r="A261" s="683" t="n"/>
      <c r="B261" s="497" t="n">
        <v>16</v>
      </c>
      <c r="C261" s="506" t="n">
        <v>22</v>
      </c>
      <c r="D261" s="506" t="inlineStr">
        <is>
          <t>Barouana</t>
        </is>
      </c>
      <c r="E261" s="506" t="inlineStr">
        <is>
          <t>Sae Saboua</t>
        </is>
      </c>
      <c r="F261" s="506" t="inlineStr">
        <is>
          <t>Intervention</t>
        </is>
      </c>
      <c r="G261" s="497" t="n">
        <v>2024</v>
      </c>
      <c r="H261" s="497" t="n">
        <v>2025</v>
      </c>
      <c r="I261" s="506" t="n">
        <v>4</v>
      </c>
      <c r="J261" s="506" t="n">
        <v>3</v>
      </c>
      <c r="K261" s="506" t="n">
        <v>40</v>
      </c>
      <c r="L261" s="497" t="n">
        <v>2</v>
      </c>
      <c r="M261" s="497" t="n"/>
      <c r="N261" s="497" t="n"/>
      <c r="O261" s="497" t="n"/>
      <c r="P261" s="497" t="n"/>
      <c r="Q261" s="497" t="n"/>
      <c r="R261" s="497" t="n"/>
      <c r="S261" s="497" t="n"/>
      <c r="T261" s="497" t="n"/>
      <c r="U261" s="497" t="n"/>
      <c r="V261" s="497" t="n"/>
      <c r="W261" s="497" t="n"/>
      <c r="X261" s="497" t="n">
        <v>1</v>
      </c>
      <c r="Y261" s="497" t="n"/>
      <c r="Z261" s="497" t="n"/>
      <c r="AA261" s="497" t="n"/>
      <c r="AB261" s="497" t="n"/>
      <c r="AC261" s="497" t="n"/>
      <c r="AD261" s="497" t="n"/>
      <c r="AE261" s="497" t="n"/>
      <c r="AF261" s="497" t="n"/>
      <c r="AG261" s="497" t="n"/>
      <c r="AH261" s="497" t="n"/>
      <c r="AI261" s="497" t="n"/>
      <c r="AJ261" s="497" t="n"/>
    </row>
    <row r="262">
      <c r="A262" s="683" t="n"/>
      <c r="C262" s="506" t="n">
        <v>88</v>
      </c>
      <c r="D262" s="506" t="inlineStr">
        <is>
          <t xml:space="preserve">Dan Gara </t>
        </is>
      </c>
      <c r="E262" s="507" t="inlineStr">
        <is>
          <t>Sae Saboua</t>
        </is>
      </c>
      <c r="F262" s="507" t="inlineStr">
        <is>
          <t>Control</t>
        </is>
      </c>
      <c r="G262" s="681" t="n">
        <v>2024</v>
      </c>
      <c r="H262" s="681" t="n">
        <v>2025</v>
      </c>
      <c r="I262" s="506" t="inlineStr">
        <is>
          <t>NA</t>
        </is>
      </c>
      <c r="J262" s="506" t="inlineStr">
        <is>
          <t>NA</t>
        </is>
      </c>
      <c r="K262" s="506" t="inlineStr">
        <is>
          <t>NA</t>
        </is>
      </c>
      <c r="L262" s="497" t="inlineStr">
        <is>
          <t>NA</t>
        </is>
      </c>
      <c r="M262" s="497" t="n"/>
      <c r="N262" s="497" t="inlineStr">
        <is>
          <t>NA</t>
        </is>
      </c>
      <c r="O262" s="497" t="inlineStr">
        <is>
          <t>NA</t>
        </is>
      </c>
      <c r="P262" s="497" t="n"/>
      <c r="Q262" s="497" t="n"/>
      <c r="R262" s="497" t="n"/>
      <c r="S262" s="497" t="n"/>
      <c r="T262" s="497" t="n"/>
      <c r="U262" s="497" t="n"/>
      <c r="V262" s="497" t="n"/>
      <c r="W262" s="497" t="n"/>
      <c r="X262" s="497" t="n">
        <v>0</v>
      </c>
      <c r="Y262" s="497" t="n"/>
      <c r="Z262" s="497" t="n"/>
      <c r="AA262" s="497" t="n"/>
      <c r="AB262" s="497" t="n"/>
      <c r="AC262" s="497" t="n"/>
      <c r="AD262" s="497" t="n"/>
      <c r="AE262" s="497" t="n"/>
      <c r="AF262" s="497" t="n"/>
      <c r="AG262" s="497" t="n"/>
      <c r="AH262" s="497" t="n"/>
      <c r="AI262" s="497" t="n"/>
      <c r="AJ262" s="497" t="n"/>
    </row>
    <row r="263">
      <c r="A263" s="682" t="n"/>
      <c r="B263" s="470" t="n">
        <v>17</v>
      </c>
      <c r="C263" s="489" t="n">
        <v>17</v>
      </c>
      <c r="D263" s="489" t="inlineStr">
        <is>
          <t>Kadata</t>
        </is>
      </c>
      <c r="E263" s="506" t="inlineStr">
        <is>
          <t>Sae Saboua</t>
        </is>
      </c>
      <c r="F263" s="489" t="inlineStr">
        <is>
          <t>Intervention</t>
        </is>
      </c>
      <c r="G263" s="470" t="n">
        <v>2024</v>
      </c>
      <c r="H263" s="470" t="n">
        <v>2025</v>
      </c>
      <c r="I263" s="489" t="n">
        <v>4</v>
      </c>
      <c r="J263" s="489" t="n">
        <v>2</v>
      </c>
      <c r="K263" s="489" t="n">
        <v>32</v>
      </c>
      <c r="L263" s="470" t="n">
        <v>2</v>
      </c>
      <c r="M263" s="470" t="n"/>
      <c r="N263" s="470" t="n"/>
      <c r="O263" s="470" t="n"/>
      <c r="P263" s="470" t="n"/>
      <c r="Q263" s="470" t="n"/>
      <c r="R263" s="470" t="n"/>
      <c r="S263" s="470" t="n"/>
      <c r="T263" s="470" t="n"/>
      <c r="U263" s="470" t="n"/>
      <c r="V263" s="470" t="n"/>
      <c r="W263" s="470" t="n"/>
      <c r="X263" s="470" t="n">
        <v>0</v>
      </c>
      <c r="Y263" s="470" t="n"/>
      <c r="Z263" s="470" t="n"/>
      <c r="AA263" s="470" t="n"/>
      <c r="AB263" s="470" t="n"/>
      <c r="AC263" s="470" t="n"/>
      <c r="AD263" s="470" t="n"/>
      <c r="AE263" s="470" t="n"/>
      <c r="AF263" s="470" t="n"/>
      <c r="AG263" s="470" t="n"/>
      <c r="AH263" s="470" t="n"/>
      <c r="AI263" s="470" t="n"/>
      <c r="AJ263" s="470" t="n"/>
    </row>
    <row r="264">
      <c r="A264" s="682" t="n"/>
      <c r="C264" s="489" t="n"/>
      <c r="D264" s="489" t="inlineStr">
        <is>
          <t xml:space="preserve">Karhin Hali </t>
        </is>
      </c>
      <c r="E264" s="507" t="inlineStr">
        <is>
          <t>Sae Saboua</t>
        </is>
      </c>
      <c r="F264" s="684" t="inlineStr">
        <is>
          <t>Control</t>
        </is>
      </c>
      <c r="G264" s="495" t="n">
        <v>2024</v>
      </c>
      <c r="H264" s="495" t="n">
        <v>2025</v>
      </c>
      <c r="I264" s="489" t="inlineStr">
        <is>
          <t>NA</t>
        </is>
      </c>
      <c r="J264" s="489" t="inlineStr">
        <is>
          <t>NA</t>
        </is>
      </c>
      <c r="K264" s="489" t="inlineStr">
        <is>
          <t>NA</t>
        </is>
      </c>
      <c r="L264" s="470" t="inlineStr">
        <is>
          <t>NA</t>
        </is>
      </c>
      <c r="M264" s="470" t="n"/>
      <c r="N264" s="470" t="inlineStr">
        <is>
          <t>NA</t>
        </is>
      </c>
      <c r="O264" s="470" t="inlineStr">
        <is>
          <t>NA</t>
        </is>
      </c>
      <c r="P264" s="470" t="n"/>
      <c r="Q264" s="470" t="n"/>
      <c r="R264" s="470" t="n"/>
      <c r="S264" s="470" t="n"/>
      <c r="T264" s="470" t="n"/>
      <c r="U264" s="470" t="n"/>
      <c r="V264" s="470" t="n"/>
      <c r="W264" s="470" t="n"/>
      <c r="X264" s="470" t="n">
        <v>0</v>
      </c>
      <c r="Y264" s="470" t="n"/>
      <c r="Z264" s="470" t="n"/>
      <c r="AA264" s="470" t="n"/>
      <c r="AB264" s="470" t="n"/>
      <c r="AC264" s="470" t="n"/>
      <c r="AD264" s="470" t="n"/>
      <c r="AE264" s="470" t="n"/>
      <c r="AF264" s="470" t="n"/>
      <c r="AG264" s="470" t="n"/>
      <c r="AH264" s="470" t="n"/>
      <c r="AI264" s="470" t="n"/>
      <c r="AJ264" s="470" t="n"/>
    </row>
    <row r="265">
      <c r="A265" s="506" t="n"/>
      <c r="B265" s="497" t="n">
        <v>18</v>
      </c>
      <c r="C265" s="506" t="n">
        <v>19</v>
      </c>
      <c r="D265" s="506" t="inlineStr">
        <is>
          <t>Gadigaoua</t>
        </is>
      </c>
      <c r="E265" s="506" t="inlineStr">
        <is>
          <t>Sae Saboua</t>
        </is>
      </c>
      <c r="F265" s="506" t="inlineStr">
        <is>
          <t>Intervention</t>
        </is>
      </c>
      <c r="G265" s="497" t="n">
        <v>2024</v>
      </c>
      <c r="H265" s="497" t="n">
        <v>2025</v>
      </c>
      <c r="I265" s="506" t="n">
        <v>3</v>
      </c>
      <c r="J265" s="506" t="n">
        <v>1</v>
      </c>
      <c r="K265" s="506" t="n">
        <v>18</v>
      </c>
      <c r="L265" s="497" t="n">
        <v>2</v>
      </c>
      <c r="M265" s="497" t="n"/>
      <c r="N265" s="497" t="n"/>
      <c r="O265" s="497" t="n"/>
      <c r="P265" s="497" t="n"/>
      <c r="Q265" s="497" t="n"/>
      <c r="R265" s="497" t="n"/>
      <c r="S265" s="497" t="n"/>
      <c r="T265" s="497" t="n"/>
      <c r="U265" s="497" t="n"/>
      <c r="V265" s="497" t="n"/>
      <c r="W265" s="497" t="n"/>
      <c r="X265" s="497" t="n">
        <v>0</v>
      </c>
      <c r="Y265" s="497" t="n"/>
      <c r="Z265" s="497" t="n"/>
      <c r="AA265" s="497" t="n"/>
      <c r="AB265" s="497" t="n"/>
      <c r="AC265" s="497" t="n"/>
      <c r="AD265" s="497" t="n"/>
      <c r="AE265" s="497" t="n"/>
      <c r="AF265" s="497" t="n"/>
      <c r="AG265" s="497" t="n"/>
      <c r="AH265" s="497" t="n"/>
      <c r="AI265" s="497" t="n"/>
      <c r="AJ265" s="497" t="n"/>
    </row>
    <row r="266">
      <c r="A266" s="683" t="n"/>
      <c r="C266" s="506" t="n">
        <v>96</v>
      </c>
      <c r="D266" s="506" t="inlineStr">
        <is>
          <t>Tsanna Publique</t>
        </is>
      </c>
      <c r="E266" s="507" t="inlineStr">
        <is>
          <t>Sae Saboua</t>
        </is>
      </c>
      <c r="F266" s="507" t="inlineStr">
        <is>
          <t>Control</t>
        </is>
      </c>
      <c r="G266" s="681" t="n">
        <v>2024</v>
      </c>
      <c r="H266" s="681" t="n">
        <v>2025</v>
      </c>
      <c r="I266" s="506" t="inlineStr">
        <is>
          <t>NA</t>
        </is>
      </c>
      <c r="J266" s="506" t="inlineStr">
        <is>
          <t>NA</t>
        </is>
      </c>
      <c r="K266" s="506" t="inlineStr">
        <is>
          <t>NA</t>
        </is>
      </c>
      <c r="L266" s="497" t="inlineStr">
        <is>
          <t>NA</t>
        </is>
      </c>
      <c r="M266" s="497" t="n"/>
      <c r="N266" s="497" t="inlineStr">
        <is>
          <t>NA</t>
        </is>
      </c>
      <c r="O266" s="497" t="inlineStr">
        <is>
          <t>NA</t>
        </is>
      </c>
      <c r="P266" s="497" t="n"/>
      <c r="Q266" s="497" t="n"/>
      <c r="R266" s="497" t="n"/>
      <c r="S266" s="497" t="n"/>
      <c r="T266" s="497" t="n"/>
      <c r="U266" s="497" t="n"/>
      <c r="V266" s="497" t="n"/>
      <c r="W266" s="497" t="n"/>
      <c r="X266" s="497" t="n">
        <v>1</v>
      </c>
      <c r="Y266" s="497" t="n"/>
      <c r="Z266" s="497" t="n"/>
      <c r="AA266" s="497" t="n"/>
      <c r="AB266" s="497" t="n"/>
      <c r="AC266" s="497" t="n"/>
      <c r="AD266" s="497" t="n"/>
      <c r="AE266" s="497" t="n"/>
      <c r="AF266" s="497" t="n"/>
      <c r="AG266" s="497" t="n"/>
      <c r="AH266" s="497" t="n"/>
      <c r="AI266" s="497" t="n"/>
      <c r="AJ266" s="497" t="n"/>
    </row>
    <row r="267">
      <c r="A267" s="682" t="n"/>
      <c r="B267" s="470" t="n">
        <v>19</v>
      </c>
      <c r="C267" s="489" t="n">
        <v>18</v>
      </c>
      <c r="D267" s="489" t="inlineStr">
        <is>
          <t>Kountarou Mai Rairai</t>
        </is>
      </c>
      <c r="E267" s="506" t="inlineStr">
        <is>
          <t>Sae Saboua</t>
        </is>
      </c>
      <c r="F267" s="489" t="inlineStr">
        <is>
          <t>Intervention</t>
        </is>
      </c>
      <c r="G267" s="470" t="n">
        <v>2023</v>
      </c>
      <c r="H267" s="470" t="n">
        <v>2025</v>
      </c>
      <c r="I267" s="489" t="n">
        <v>3</v>
      </c>
      <c r="J267" s="489" t="n">
        <v>3</v>
      </c>
      <c r="K267" s="489" t="n">
        <v>36</v>
      </c>
      <c r="L267" s="470" t="n">
        <v>2</v>
      </c>
      <c r="M267" s="470" t="n"/>
      <c r="N267" s="470" t="n"/>
      <c r="O267" s="470" t="n"/>
      <c r="P267" s="470" t="n"/>
      <c r="Q267" s="470" t="n"/>
      <c r="R267" s="470" t="n"/>
      <c r="S267" s="470" t="n"/>
      <c r="T267" s="470" t="n"/>
      <c r="U267" s="470" t="n"/>
      <c r="V267" s="470" t="n"/>
      <c r="W267" s="470" t="n"/>
      <c r="X267" s="470" t="n">
        <v>2</v>
      </c>
      <c r="Y267" s="470" t="n"/>
      <c r="Z267" s="470" t="n"/>
      <c r="AA267" s="470" t="n"/>
      <c r="AB267" s="470" t="n"/>
      <c r="AC267" s="470" t="n"/>
      <c r="AD267" s="470" t="n"/>
      <c r="AE267" s="470" t="n"/>
      <c r="AF267" s="470" t="n"/>
      <c r="AG267" s="470" t="n"/>
      <c r="AH267" s="470" t="n"/>
      <c r="AI267" s="470" t="n"/>
      <c r="AJ267" s="470" t="n"/>
    </row>
    <row r="268">
      <c r="A268" s="682" t="n"/>
      <c r="C268" s="489" t="n">
        <v>97</v>
      </c>
      <c r="D268" s="489" t="inlineStr">
        <is>
          <t xml:space="preserve">Touzza </t>
        </is>
      </c>
      <c r="E268" s="507" t="inlineStr">
        <is>
          <t>Sae Saboua</t>
        </is>
      </c>
      <c r="F268" s="684" t="inlineStr">
        <is>
          <t>Control</t>
        </is>
      </c>
      <c r="G268" s="495" t="n">
        <v>2024</v>
      </c>
      <c r="H268" s="495" t="n">
        <v>2025</v>
      </c>
      <c r="I268" s="489" t="inlineStr">
        <is>
          <t>NA</t>
        </is>
      </c>
      <c r="J268" s="489" t="inlineStr">
        <is>
          <t>NA</t>
        </is>
      </c>
      <c r="K268" s="489" t="inlineStr">
        <is>
          <t>NA</t>
        </is>
      </c>
      <c r="L268" s="470" t="inlineStr">
        <is>
          <t>NA</t>
        </is>
      </c>
      <c r="M268" s="470" t="n"/>
      <c r="N268" s="470" t="inlineStr">
        <is>
          <t>NA</t>
        </is>
      </c>
      <c r="O268" s="470" t="inlineStr">
        <is>
          <t>NA</t>
        </is>
      </c>
      <c r="P268" s="470" t="n"/>
      <c r="Q268" s="470" t="n"/>
      <c r="R268" s="470" t="n"/>
      <c r="S268" s="470" t="n"/>
      <c r="T268" s="470" t="n"/>
      <c r="U268" s="470" t="n"/>
      <c r="V268" s="470" t="n"/>
      <c r="W268" s="470" t="n"/>
      <c r="X268" s="470" t="n">
        <v>2</v>
      </c>
      <c r="Y268" s="470" t="n"/>
      <c r="Z268" s="470" t="n"/>
      <c r="AA268" s="470" t="n"/>
      <c r="AB268" s="470" t="n"/>
      <c r="AC268" s="470" t="n"/>
      <c r="AD268" s="470" t="n"/>
      <c r="AE268" s="470" t="n"/>
      <c r="AF268" s="470" t="n"/>
      <c r="AG268" s="470" t="n"/>
      <c r="AH268" s="470" t="n"/>
      <c r="AI268" s="470" t="n"/>
      <c r="AJ268" s="470" t="n"/>
    </row>
    <row r="269">
      <c r="A269" s="683" t="n"/>
      <c r="B269" s="497" t="n">
        <v>20</v>
      </c>
      <c r="C269" s="506" t="n">
        <v>21</v>
      </c>
      <c r="D269" s="506" t="inlineStr">
        <is>
          <t>Malloumai Saboua</t>
        </is>
      </c>
      <c r="E269" s="506" t="inlineStr">
        <is>
          <t>Sae Saboua</t>
        </is>
      </c>
      <c r="F269" s="506" t="inlineStr">
        <is>
          <t>Intervention</t>
        </is>
      </c>
      <c r="G269" s="497" t="n">
        <v>2024</v>
      </c>
      <c r="H269" s="497" t="n">
        <v>2025</v>
      </c>
      <c r="I269" s="506" t="n">
        <v>3</v>
      </c>
      <c r="J269" s="506" t="n">
        <v>2</v>
      </c>
      <c r="K269" s="506" t="n">
        <v>35</v>
      </c>
      <c r="L269" s="497" t="n">
        <v>2</v>
      </c>
      <c r="M269" s="497" t="n"/>
      <c r="N269" s="497" t="n"/>
      <c r="O269" s="497" t="n"/>
      <c r="P269" s="497" t="n"/>
      <c r="Q269" s="497" t="n"/>
      <c r="R269" s="497" t="n"/>
      <c r="S269" s="497" t="n"/>
      <c r="T269" s="497" t="n"/>
      <c r="U269" s="497" t="n"/>
      <c r="V269" s="497" t="n"/>
      <c r="W269" s="497" t="n"/>
      <c r="X269" s="497" t="n">
        <v>0</v>
      </c>
      <c r="Y269" s="497" t="n"/>
      <c r="Z269" s="497" t="n"/>
      <c r="AA269" s="497" t="n"/>
      <c r="AB269" s="497" t="n"/>
      <c r="AC269" s="497" t="n"/>
      <c r="AD269" s="497" t="n"/>
      <c r="AE269" s="497" t="n"/>
      <c r="AF269" s="497" t="n"/>
      <c r="AG269" s="497" t="n"/>
      <c r="AH269" s="497" t="n"/>
      <c r="AI269" s="497" t="n"/>
      <c r="AJ269" s="497" t="n"/>
    </row>
    <row r="270">
      <c r="A270" s="683" t="n"/>
      <c r="C270" s="506" t="n">
        <v>91</v>
      </c>
      <c r="D270" s="506" t="inlineStr">
        <is>
          <t>Yan Doto Garin Malam</t>
        </is>
      </c>
      <c r="E270" s="507" t="inlineStr">
        <is>
          <t>Sae Saboua</t>
        </is>
      </c>
      <c r="F270" s="507" t="inlineStr">
        <is>
          <t>Control</t>
        </is>
      </c>
      <c r="G270" s="681" t="n">
        <v>2024</v>
      </c>
      <c r="H270" s="681" t="n">
        <v>2025</v>
      </c>
      <c r="I270" s="506" t="inlineStr">
        <is>
          <t>NA</t>
        </is>
      </c>
      <c r="J270" s="506" t="inlineStr">
        <is>
          <t>NA</t>
        </is>
      </c>
      <c r="K270" s="506" t="inlineStr">
        <is>
          <t>NA</t>
        </is>
      </c>
      <c r="L270" s="497" t="inlineStr">
        <is>
          <t>NA</t>
        </is>
      </c>
      <c r="M270" s="497" t="n"/>
      <c r="N270" s="497" t="inlineStr">
        <is>
          <t>NA</t>
        </is>
      </c>
      <c r="O270" s="497" t="inlineStr">
        <is>
          <t>NA</t>
        </is>
      </c>
      <c r="P270" s="497" t="n"/>
      <c r="Q270" s="497" t="n"/>
      <c r="R270" s="497" t="n"/>
      <c r="S270" s="497" t="n"/>
      <c r="T270" s="497" t="n"/>
      <c r="U270" s="497" t="n"/>
      <c r="V270" s="497" t="n"/>
      <c r="W270" s="497" t="n"/>
      <c r="X270" s="497" t="n">
        <v>0</v>
      </c>
      <c r="Y270" s="497" t="n"/>
      <c r="Z270" s="497" t="n"/>
      <c r="AA270" s="497" t="n"/>
      <c r="AB270" s="497" t="n"/>
      <c r="AC270" s="497" t="n"/>
      <c r="AD270" s="497" t="n"/>
      <c r="AE270" s="497" t="n"/>
      <c r="AF270" s="497" t="n"/>
      <c r="AG270" s="497" t="n"/>
      <c r="AH270" s="497" t="n"/>
      <c r="AI270" s="497" t="n"/>
      <c r="AJ270" s="497" t="n"/>
    </row>
    <row r="271">
      <c r="A271" s="682" t="n"/>
      <c r="B271" s="470" t="n">
        <v>21</v>
      </c>
      <c r="C271" s="489" t="n">
        <v>24</v>
      </c>
      <c r="D271" s="489" t="inlineStr">
        <is>
          <t>Mountarou Bermo</t>
        </is>
      </c>
      <c r="E271" s="506" t="inlineStr">
        <is>
          <t>Sae Saboua</t>
        </is>
      </c>
      <c r="F271" s="489" t="inlineStr">
        <is>
          <t>Intervention</t>
        </is>
      </c>
      <c r="G271" s="470" t="n">
        <v>2024</v>
      </c>
      <c r="H271" s="470" t="n">
        <v>2025</v>
      </c>
      <c r="I271" s="489" t="n">
        <v>2</v>
      </c>
      <c r="J271" s="489" t="n">
        <v>1</v>
      </c>
      <c r="K271" s="489" t="n">
        <v>19</v>
      </c>
      <c r="L271" s="470" t="n">
        <v>2</v>
      </c>
      <c r="M271" s="470" t="n"/>
      <c r="N271" s="470" t="n"/>
      <c r="O271" s="470" t="n"/>
      <c r="P271" s="470" t="n"/>
      <c r="Q271" s="470" t="n"/>
      <c r="R271" s="470" t="n"/>
      <c r="S271" s="470" t="n"/>
      <c r="T271" s="470" t="n"/>
      <c r="U271" s="470" t="n"/>
      <c r="V271" s="470" t="n"/>
      <c r="W271" s="470" t="n"/>
      <c r="X271" s="470" t="n">
        <v>0</v>
      </c>
      <c r="Y271" s="470" t="n"/>
      <c r="Z271" s="470" t="n"/>
      <c r="AA271" s="470" t="n"/>
      <c r="AB271" s="470" t="n"/>
      <c r="AC271" s="470" t="n"/>
      <c r="AD271" s="470" t="n"/>
      <c r="AE271" s="470" t="n"/>
      <c r="AF271" s="470" t="n"/>
      <c r="AG271" s="470" t="n"/>
      <c r="AH271" s="470" t="n"/>
      <c r="AI271" s="470" t="n"/>
      <c r="AJ271" s="470" t="n"/>
    </row>
    <row r="272">
      <c r="A272" s="682" t="n"/>
      <c r="C272" s="489" t="n">
        <v>90</v>
      </c>
      <c r="D272" s="489" t="inlineStr">
        <is>
          <t>Alssaoua</t>
        </is>
      </c>
      <c r="E272" s="507" t="inlineStr">
        <is>
          <t>Sae Saboua</t>
        </is>
      </c>
      <c r="F272" s="684" t="inlineStr">
        <is>
          <t>Control</t>
        </is>
      </c>
      <c r="G272" s="495" t="n">
        <v>2024</v>
      </c>
      <c r="H272" s="495" t="n">
        <v>2025</v>
      </c>
      <c r="I272" s="489" t="inlineStr">
        <is>
          <t>NA</t>
        </is>
      </c>
      <c r="J272" s="489" t="inlineStr">
        <is>
          <t>NA</t>
        </is>
      </c>
      <c r="K272" s="489" t="inlineStr">
        <is>
          <t>NA</t>
        </is>
      </c>
      <c r="L272" s="470" t="inlineStr">
        <is>
          <t>NA</t>
        </is>
      </c>
      <c r="M272" s="470" t="n"/>
      <c r="N272" s="470" t="inlineStr">
        <is>
          <t>NA</t>
        </is>
      </c>
      <c r="O272" s="470" t="inlineStr">
        <is>
          <t>NA</t>
        </is>
      </c>
      <c r="P272" s="470" t="n"/>
      <c r="Q272" s="470" t="n"/>
      <c r="R272" s="470" t="n"/>
      <c r="S272" s="470" t="n"/>
      <c r="T272" s="470" t="n"/>
      <c r="U272" s="470" t="n"/>
      <c r="V272" s="470" t="n"/>
      <c r="W272" s="470" t="n"/>
      <c r="X272" s="470" t="n">
        <v>0</v>
      </c>
      <c r="Y272" s="470" t="n"/>
      <c r="Z272" s="470" t="n"/>
      <c r="AA272" s="470" t="n"/>
      <c r="AB272" s="470" t="n"/>
      <c r="AC272" s="470" t="n"/>
      <c r="AD272" s="470" t="n"/>
      <c r="AE272" s="470" t="n"/>
      <c r="AF272" s="470" t="n"/>
      <c r="AG272" s="470" t="n"/>
      <c r="AH272" s="470" t="n"/>
      <c r="AI272" s="470" t="n"/>
      <c r="AJ272" s="470" t="n"/>
    </row>
    <row r="273">
      <c r="A273" s="683" t="n"/>
      <c r="B273" s="497" t="n">
        <v>22</v>
      </c>
      <c r="C273" s="506" t="n">
        <v>23</v>
      </c>
      <c r="D273" s="506" t="inlineStr">
        <is>
          <t>Oubandawaki Alfacha</t>
        </is>
      </c>
      <c r="E273" s="506" t="inlineStr">
        <is>
          <t>Sae Saboua</t>
        </is>
      </c>
      <c r="F273" s="506" t="inlineStr">
        <is>
          <t>Intervention</t>
        </is>
      </c>
      <c r="G273" s="497" t="n">
        <v>2024</v>
      </c>
      <c r="H273" s="497" t="n">
        <v>2025</v>
      </c>
      <c r="I273" s="506" t="n">
        <v>3</v>
      </c>
      <c r="J273" s="506" t="n">
        <v>1</v>
      </c>
      <c r="K273" s="506" t="n">
        <v>18</v>
      </c>
      <c r="L273" s="497" t="n">
        <v>2</v>
      </c>
      <c r="M273" s="497" t="n"/>
      <c r="N273" s="497" t="n"/>
      <c r="O273" s="497" t="n"/>
      <c r="P273" s="497" t="n"/>
      <c r="Q273" s="497" t="n"/>
      <c r="R273" s="497" t="n"/>
      <c r="S273" s="497" t="n"/>
      <c r="T273" s="497" t="n"/>
      <c r="U273" s="497" t="n"/>
      <c r="V273" s="497" t="n"/>
      <c r="W273" s="497" t="n"/>
      <c r="X273" s="497" t="n">
        <v>0</v>
      </c>
      <c r="Y273" s="497" t="n"/>
      <c r="Z273" s="497" t="n"/>
      <c r="AA273" s="497" t="n"/>
      <c r="AB273" s="497" t="n"/>
      <c r="AC273" s="497" t="n"/>
      <c r="AD273" s="497" t="n"/>
      <c r="AE273" s="497" t="n"/>
      <c r="AF273" s="497" t="n"/>
      <c r="AG273" s="497" t="n"/>
      <c r="AH273" s="497" t="n"/>
      <c r="AI273" s="497" t="n"/>
      <c r="AJ273" s="497" t="n"/>
    </row>
    <row r="274">
      <c r="A274" s="506" t="n"/>
      <c r="C274" s="506" t="n">
        <v>94</v>
      </c>
      <c r="D274" s="506" t="inlineStr">
        <is>
          <t>Karambi Tsofoua</t>
        </is>
      </c>
      <c r="E274" s="507" t="inlineStr">
        <is>
          <t>Sae Saboua</t>
        </is>
      </c>
      <c r="F274" s="507" t="inlineStr">
        <is>
          <t>Control</t>
        </is>
      </c>
      <c r="G274" s="681" t="n">
        <v>2024</v>
      </c>
      <c r="H274" s="681" t="n">
        <v>2025</v>
      </c>
      <c r="I274" s="506" t="inlineStr">
        <is>
          <t>NA</t>
        </is>
      </c>
      <c r="J274" s="506" t="inlineStr">
        <is>
          <t>NA</t>
        </is>
      </c>
      <c r="K274" s="506" t="inlineStr">
        <is>
          <t>NA</t>
        </is>
      </c>
      <c r="L274" s="497" t="inlineStr">
        <is>
          <t>NA</t>
        </is>
      </c>
      <c r="M274" s="497" t="n"/>
      <c r="N274" s="497" t="inlineStr">
        <is>
          <t>NA</t>
        </is>
      </c>
      <c r="O274" s="497" t="inlineStr">
        <is>
          <t>NA</t>
        </is>
      </c>
      <c r="P274" s="497" t="n"/>
      <c r="Q274" s="497" t="n"/>
      <c r="R274" s="497" t="n"/>
      <c r="S274" s="497" t="n"/>
      <c r="T274" s="497" t="n"/>
      <c r="U274" s="497" t="n"/>
      <c r="V274" s="497" t="n"/>
      <c r="W274" s="497" t="n"/>
      <c r="X274" s="497" t="n">
        <v>0</v>
      </c>
      <c r="Y274" s="497" t="n"/>
      <c r="Z274" s="497" t="n"/>
      <c r="AA274" s="497" t="n"/>
      <c r="AB274" s="497" t="n"/>
      <c r="AC274" s="497" t="n"/>
      <c r="AD274" s="497" t="n"/>
      <c r="AE274" s="497" t="n"/>
      <c r="AF274" s="497" t="n"/>
      <c r="AG274" s="497" t="n"/>
      <c r="AH274" s="497" t="n"/>
      <c r="AI274" s="497" t="n"/>
      <c r="AJ274" s="497" t="n"/>
    </row>
    <row r="275">
      <c r="A275" s="489" t="n"/>
      <c r="B275" s="489" t="n"/>
      <c r="C275" s="489" t="n"/>
      <c r="D275" s="489" t="n"/>
      <c r="E275" s="489" t="n"/>
      <c r="F275" s="489" t="n"/>
      <c r="G275" s="489" t="n"/>
      <c r="H275" s="489" t="n"/>
      <c r="I275" s="489" t="n"/>
      <c r="J275" s="489" t="n"/>
      <c r="K275" s="489" t="n"/>
      <c r="L275" s="470" t="n"/>
      <c r="M275" s="470" t="n"/>
      <c r="N275" s="470" t="n"/>
      <c r="O275" s="470" t="n"/>
      <c r="P275" s="470" t="n"/>
      <c r="Q275" s="470" t="n"/>
      <c r="R275" s="470" t="n"/>
      <c r="S275" s="470" t="n"/>
      <c r="T275" s="470" t="n"/>
      <c r="U275" s="470" t="n"/>
      <c r="V275" s="470" t="n"/>
      <c r="W275" s="470" t="n"/>
      <c r="X275" s="470" t="n"/>
      <c r="Y275" s="470" t="n"/>
      <c r="Z275" s="470" t="n"/>
      <c r="AA275" s="470" t="n"/>
      <c r="AB275" s="470" t="n"/>
      <c r="AC275" s="470" t="n"/>
      <c r="AD275" s="470" t="n"/>
      <c r="AE275" s="470" t="n"/>
      <c r="AF275" s="470" t="n"/>
      <c r="AG275" s="470" t="n"/>
      <c r="AH275" s="470" t="n"/>
      <c r="AI275" s="470" t="n"/>
      <c r="AJ275" s="470" t="n"/>
    </row>
    <row r="276">
      <c r="A276" s="489" t="n"/>
      <c r="C276" s="489" t="n"/>
      <c r="D276" s="489" t="n"/>
      <c r="E276" s="489" t="n"/>
      <c r="F276" s="489" t="n"/>
      <c r="G276" s="489" t="n"/>
      <c r="H276" s="489" t="n"/>
      <c r="I276" s="489" t="n"/>
      <c r="J276" s="489" t="n"/>
      <c r="K276" s="489" t="n"/>
      <c r="L276" s="470" t="n"/>
      <c r="M276" s="470" t="n"/>
      <c r="N276" s="470" t="n"/>
      <c r="O276" s="470" t="n"/>
      <c r="P276" s="470" t="n"/>
      <c r="Q276" s="470" t="n"/>
      <c r="R276" s="470" t="n"/>
      <c r="S276" s="470" t="n"/>
      <c r="T276" s="470" t="n"/>
      <c r="U276" s="470" t="n"/>
      <c r="V276" s="470" t="n"/>
      <c r="W276" s="470" t="n"/>
      <c r="X276" s="470" t="n"/>
      <c r="Y276" s="470" t="n"/>
      <c r="Z276" s="470" t="n"/>
      <c r="AA276" s="470" t="n"/>
      <c r="AB276" s="470" t="n"/>
      <c r="AC276" s="470" t="n"/>
      <c r="AD276" s="470" t="n"/>
      <c r="AE276" s="470" t="n"/>
      <c r="AF276" s="470" t="n"/>
      <c r="AG276" s="470" t="n"/>
      <c r="AH276" s="470" t="n"/>
      <c r="AI276" s="470" t="n"/>
      <c r="AJ276" s="470" t="n"/>
    </row>
    <row r="277">
      <c r="A277" s="95" t="n"/>
      <c r="B277" s="95" t="n"/>
      <c r="C277" s="95" t="n"/>
      <c r="D277" s="95" t="n"/>
      <c r="E277" s="95" t="n"/>
      <c r="F277" s="95" t="n"/>
      <c r="G277" s="95" t="n"/>
      <c r="H277" s="95" t="n"/>
      <c r="I277" s="95" t="n"/>
      <c r="J277" s="95" t="n"/>
      <c r="K277" s="95" t="n"/>
      <c r="L277" s="99" t="n"/>
      <c r="M277" s="100" t="n"/>
      <c r="N277" s="100" t="n"/>
      <c r="O277" s="100" t="n"/>
      <c r="P277" s="100" t="n"/>
      <c r="Q277" s="100" t="n"/>
      <c r="R277" s="100" t="n"/>
      <c r="S277" s="100" t="n"/>
      <c r="T277" s="100" t="n"/>
      <c r="U277" s="100" t="n"/>
      <c r="V277" s="100" t="n"/>
      <c r="W277" s="100" t="n"/>
      <c r="X277" s="100" t="n"/>
      <c r="Y277" s="100" t="n"/>
      <c r="Z277" s="100" t="n"/>
      <c r="AA277" s="100" t="n"/>
      <c r="AB277" s="100" t="n"/>
      <c r="AC277" s="100" t="n"/>
      <c r="AD277" s="100" t="n"/>
      <c r="AE277" s="100" t="n"/>
      <c r="AF277" s="100" t="n"/>
      <c r="AG277" s="100" t="n"/>
      <c r="AH277" s="100" t="n"/>
      <c r="AI277" s="100" t="n"/>
      <c r="AJ277" s="100" t="n"/>
    </row>
    <row r="278">
      <c r="A278" s="204" t="inlineStr">
        <is>
          <t>COHORT 8 CM2 2024-2025</t>
        </is>
      </c>
      <c r="B278" s="95" t="n"/>
      <c r="C278" s="95" t="n"/>
      <c r="D278" s="95" t="n"/>
      <c r="E278" s="95" t="n"/>
      <c r="F278" s="95" t="n"/>
      <c r="G278" s="95" t="n"/>
      <c r="H278" s="95" t="n"/>
      <c r="I278" s="95" t="n"/>
      <c r="J278" s="95" t="n"/>
      <c r="K278" s="95" t="n"/>
      <c r="L278" s="99" t="n"/>
      <c r="M278" s="100" t="n"/>
      <c r="N278" s="100" t="n"/>
      <c r="O278" s="100" t="n"/>
      <c r="P278" s="100" t="n"/>
      <c r="Q278" s="100" t="n"/>
      <c r="R278" s="100" t="n"/>
      <c r="S278" s="100" t="n"/>
      <c r="T278" s="100" t="n"/>
      <c r="U278" s="100" t="n"/>
      <c r="V278" s="100" t="n"/>
      <c r="W278" s="100" t="n"/>
      <c r="X278" s="100" t="n"/>
      <c r="Y278" s="100" t="n"/>
      <c r="Z278" s="100" t="n"/>
      <c r="AA278" s="100" t="n"/>
      <c r="AB278" s="100" t="n"/>
      <c r="AC278" s="100" t="n"/>
      <c r="AD278" s="100" t="n"/>
      <c r="AE278" s="100" t="n"/>
      <c r="AF278" s="100" t="n"/>
      <c r="AG278" s="100" t="n"/>
      <c r="AH278" s="100" t="n"/>
      <c r="AI278" s="100" t="n"/>
      <c r="AJ278" s="100" t="n"/>
    </row>
    <row r="279">
      <c r="A279" s="470" t="n"/>
      <c r="B279" s="470" t="n">
        <v>1</v>
      </c>
      <c r="C279" s="470" t="n"/>
      <c r="D279" s="470" t="inlineStr">
        <is>
          <t>Algafia</t>
        </is>
      </c>
      <c r="E279" s="470" t="inlineStr">
        <is>
          <t>Tchadoua</t>
        </is>
      </c>
      <c r="F279" s="470" t="inlineStr">
        <is>
          <t>Control</t>
        </is>
      </c>
      <c r="G279" s="470" t="n">
        <v>2025</v>
      </c>
      <c r="H279" s="470" t="n">
        <v>2026</v>
      </c>
      <c r="I279" s="470" t="n">
        <v>2</v>
      </c>
      <c r="J279" s="470" t="inlineStr">
        <is>
          <t>NA</t>
        </is>
      </c>
      <c r="K279" s="470" t="inlineStr">
        <is>
          <t>NA</t>
        </is>
      </c>
      <c r="L279" s="470" t="inlineStr">
        <is>
          <t>NA</t>
        </is>
      </c>
      <c r="M279" s="470" t="n"/>
      <c r="N279" s="470" t="n"/>
      <c r="O279" s="470" t="n"/>
      <c r="P279" s="470" t="n"/>
      <c r="Q279" s="470" t="n"/>
      <c r="R279" s="470" t="n"/>
      <c r="S279" s="470" t="n"/>
      <c r="T279" s="470" t="n"/>
      <c r="U279" s="470" t="n"/>
      <c r="V279" s="470" t="n"/>
      <c r="W279" s="470" t="n"/>
      <c r="X279" s="470" t="n"/>
      <c r="Y279" s="470" t="n"/>
      <c r="Z279" s="470" t="n"/>
      <c r="AA279" s="470" t="n"/>
      <c r="AB279" s="470" t="n"/>
      <c r="AC279" s="470" t="n"/>
      <c r="AD279" s="470" t="n"/>
      <c r="AE279" s="470" t="n"/>
      <c r="AF279" s="470" t="n"/>
      <c r="AG279" s="470" t="n"/>
      <c r="AH279" s="470" t="n"/>
      <c r="AI279" s="470" t="n"/>
      <c r="AJ279" s="470" t="n"/>
    </row>
    <row r="280">
      <c r="A280" s="494" t="n"/>
      <c r="C280" s="494" t="n"/>
      <c r="D280" s="494" t="inlineStr">
        <is>
          <t>Guidan Moussa</t>
        </is>
      </c>
      <c r="E280" s="495" t="inlineStr">
        <is>
          <t>Tchadoua</t>
        </is>
      </c>
      <c r="F280" s="495" t="inlineStr">
        <is>
          <t>Intervention</t>
        </is>
      </c>
      <c r="G280" s="495" t="n">
        <v>2025</v>
      </c>
      <c r="H280" s="495" t="n">
        <v>2026</v>
      </c>
      <c r="I280" s="494" t="n"/>
      <c r="J280" s="494" t="n"/>
      <c r="K280" s="494" t="n"/>
      <c r="L280" s="494" t="n">
        <v>2</v>
      </c>
      <c r="M280" s="494" t="n"/>
      <c r="N280" s="494" t="n"/>
      <c r="O280" s="494" t="n"/>
      <c r="P280" s="494" t="n"/>
      <c r="Q280" s="494" t="n"/>
      <c r="R280" s="494" t="n"/>
      <c r="S280" s="494" t="n"/>
      <c r="T280" s="494" t="n"/>
      <c r="U280" s="494" t="n"/>
      <c r="V280" s="494" t="n"/>
      <c r="W280" s="494" t="n"/>
      <c r="X280" s="494" t="n"/>
      <c r="Y280" s="494" t="n"/>
      <c r="Z280" s="494" t="n"/>
      <c r="AA280" s="494" t="n"/>
      <c r="AB280" s="494" t="n"/>
      <c r="AC280" s="494" t="n"/>
      <c r="AD280" s="494" t="n"/>
      <c r="AE280" s="494" t="n"/>
      <c r="AF280" s="494" t="n"/>
      <c r="AG280" s="494" t="n"/>
      <c r="AH280" s="494" t="n"/>
      <c r="AI280" s="494" t="n"/>
      <c r="AJ280" s="494" t="n"/>
    </row>
    <row r="281">
      <c r="A281" s="497" t="n"/>
      <c r="B281" s="497" t="n">
        <v>2</v>
      </c>
      <c r="C281" s="497" t="n"/>
      <c r="D281" s="497" t="inlineStr">
        <is>
          <t>Dan Aicha</t>
        </is>
      </c>
      <c r="E281" s="470" t="inlineStr">
        <is>
          <t>Tchadoua</t>
        </is>
      </c>
      <c r="F281" s="497" t="inlineStr">
        <is>
          <t>Intervention</t>
        </is>
      </c>
      <c r="G281" s="497" t="n">
        <v>2025</v>
      </c>
      <c r="H281" s="497" t="n">
        <v>2026</v>
      </c>
      <c r="I281" s="685" t="n">
        <v>0.02</v>
      </c>
      <c r="J281" s="497" t="n"/>
      <c r="K281" s="497" t="n"/>
      <c r="L281" s="497" t="n">
        <v>2</v>
      </c>
      <c r="M281" s="497" t="n"/>
      <c r="N281" s="497" t="n"/>
      <c r="O281" s="497" t="n"/>
      <c r="P281" s="497" t="n"/>
      <c r="Q281" s="497" t="n"/>
      <c r="R281" s="497" t="n"/>
      <c r="S281" s="497" t="n"/>
      <c r="T281" s="497" t="n"/>
      <c r="U281" s="497" t="n"/>
      <c r="V281" s="497" t="n"/>
      <c r="W281" s="497" t="n"/>
      <c r="X281" s="497" t="n"/>
      <c r="Y281" s="497" t="n"/>
      <c r="Z281" s="497" t="n"/>
      <c r="AA281" s="497" t="n"/>
      <c r="AB281" s="497" t="n"/>
      <c r="AC281" s="497" t="n"/>
      <c r="AD281" s="497" t="n"/>
      <c r="AE281" s="497" t="n"/>
      <c r="AF281" s="497" t="n"/>
      <c r="AG281" s="497" t="n"/>
      <c r="AH281" s="497" t="n"/>
      <c r="AI281" s="497" t="n"/>
      <c r="AJ281" s="497" t="n"/>
    </row>
    <row r="282">
      <c r="A282" s="500" t="n"/>
      <c r="C282" s="500" t="n"/>
      <c r="D282" s="500" t="inlineStr">
        <is>
          <t>Guidan Dan Galdima</t>
        </is>
      </c>
      <c r="E282" s="495" t="inlineStr">
        <is>
          <t>Tchadoua</t>
        </is>
      </c>
      <c r="F282" s="681" t="inlineStr">
        <is>
          <t>Control</t>
        </is>
      </c>
      <c r="G282" s="681" t="n">
        <v>2025</v>
      </c>
      <c r="H282" s="681" t="n">
        <v>2026</v>
      </c>
      <c r="I282" s="686" t="n"/>
      <c r="J282" s="500" t="inlineStr">
        <is>
          <t>NA</t>
        </is>
      </c>
      <c r="K282" s="500" t="inlineStr">
        <is>
          <t>NA</t>
        </is>
      </c>
      <c r="L282" s="500" t="inlineStr">
        <is>
          <t>NA</t>
        </is>
      </c>
      <c r="M282" s="500" t="n"/>
      <c r="N282" s="500" t="n"/>
      <c r="O282" s="500" t="n"/>
      <c r="P282" s="500" t="n"/>
      <c r="Q282" s="500" t="n"/>
      <c r="R282" s="500" t="n"/>
      <c r="S282" s="500" t="n"/>
      <c r="T282" s="500" t="n"/>
      <c r="U282" s="500" t="n"/>
      <c r="V282" s="500" t="n"/>
      <c r="W282" s="500" t="n"/>
      <c r="X282" s="500" t="n"/>
      <c r="Y282" s="500" t="n"/>
      <c r="Z282" s="500" t="n"/>
      <c r="AA282" s="500" t="n"/>
      <c r="AB282" s="500" t="n"/>
      <c r="AC282" s="500" t="n"/>
      <c r="AD282" s="500" t="n"/>
      <c r="AE282" s="500" t="n"/>
      <c r="AF282" s="500" t="n"/>
      <c r="AG282" s="500" t="n"/>
      <c r="AH282" s="500" t="n"/>
      <c r="AI282" s="500" t="n"/>
      <c r="AJ282" s="500" t="n"/>
    </row>
    <row r="283" ht="16.5" customHeight="1" s="695">
      <c r="A283" s="503" t="n"/>
      <c r="B283" s="470" t="n">
        <v>3</v>
      </c>
      <c r="C283" s="503" t="n"/>
      <c r="D283" s="503" t="inlineStr">
        <is>
          <t>Dan Gamdji</t>
        </is>
      </c>
      <c r="E283" s="470" t="inlineStr">
        <is>
          <t>Tchadoua</t>
        </is>
      </c>
      <c r="F283" s="503" t="inlineStr">
        <is>
          <t>Intervention</t>
        </is>
      </c>
      <c r="G283" s="503" t="n">
        <v>2025</v>
      </c>
      <c r="H283" s="503" t="n">
        <v>2026</v>
      </c>
      <c r="I283" s="503" t="n"/>
      <c r="J283" s="503" t="n"/>
      <c r="K283" s="503" t="n"/>
      <c r="L283" s="503" t="n">
        <v>2</v>
      </c>
      <c r="M283" s="503" t="n"/>
      <c r="N283" s="503" t="n"/>
      <c r="O283" s="503" t="n"/>
      <c r="P283" s="503" t="n"/>
      <c r="Q283" s="503" t="n"/>
      <c r="R283" s="503" t="n"/>
      <c r="S283" s="503" t="n"/>
      <c r="T283" s="503" t="n"/>
      <c r="U283" s="503" t="n"/>
      <c r="V283" s="503" t="n"/>
      <c r="W283" s="503" t="n"/>
      <c r="X283" s="503" t="n"/>
      <c r="Y283" s="503" t="n"/>
      <c r="Z283" s="503" t="n"/>
      <c r="AA283" s="503" t="n"/>
      <c r="AB283" s="503" t="n"/>
      <c r="AC283" s="503" t="n"/>
      <c r="AD283" s="503" t="n"/>
      <c r="AE283" s="503" t="n"/>
      <c r="AF283" s="503" t="n"/>
      <c r="AG283" s="503" t="n"/>
      <c r="AH283" s="503" t="n"/>
      <c r="AI283" s="503" t="n"/>
      <c r="AJ283" s="503" t="n"/>
    </row>
    <row r="284">
      <c r="A284" s="503" t="n"/>
      <c r="C284" s="503" t="n"/>
      <c r="D284" s="503" t="inlineStr">
        <is>
          <t>Dan Toumbi</t>
        </is>
      </c>
      <c r="E284" s="495" t="inlineStr">
        <is>
          <t>Tchadoua</t>
        </is>
      </c>
      <c r="F284" s="504" t="inlineStr">
        <is>
          <t>Control</t>
        </is>
      </c>
      <c r="G284" s="504" t="n">
        <v>2025</v>
      </c>
      <c r="H284" s="504" t="n">
        <v>2026</v>
      </c>
      <c r="I284" s="503" t="n"/>
      <c r="J284" s="503" t="inlineStr">
        <is>
          <t>NA</t>
        </is>
      </c>
      <c r="K284" s="503" t="inlineStr">
        <is>
          <t>NA</t>
        </is>
      </c>
      <c r="L284" s="503" t="inlineStr">
        <is>
          <t>NA</t>
        </is>
      </c>
      <c r="M284" s="503" t="n"/>
      <c r="N284" s="503" t="n"/>
      <c r="O284" s="503" t="n"/>
      <c r="P284" s="503" t="n"/>
      <c r="Q284" s="503" t="n"/>
      <c r="R284" s="503" t="n"/>
      <c r="S284" s="503" t="n"/>
      <c r="T284" s="503" t="n"/>
      <c r="U284" s="503" t="n"/>
      <c r="V284" s="503" t="n"/>
      <c r="W284" s="503" t="n"/>
      <c r="X284" s="503" t="n"/>
      <c r="Y284" s="503" t="n"/>
      <c r="Z284" s="503" t="n"/>
      <c r="AA284" s="503" t="n"/>
      <c r="AB284" s="503" t="n"/>
      <c r="AC284" s="503" t="n"/>
      <c r="AD284" s="503" t="n"/>
      <c r="AE284" s="503" t="n"/>
      <c r="AF284" s="503" t="n"/>
      <c r="AG284" s="503" t="n"/>
      <c r="AH284" s="503" t="n"/>
      <c r="AI284" s="503" t="n"/>
      <c r="AJ284" s="503" t="n"/>
    </row>
    <row r="285">
      <c r="A285" s="500" t="n"/>
      <c r="B285" s="497" t="n">
        <v>4</v>
      </c>
      <c r="C285" s="500" t="n"/>
      <c r="D285" s="500" t="inlineStr">
        <is>
          <t>Bini</t>
        </is>
      </c>
      <c r="E285" s="470" t="inlineStr">
        <is>
          <t>Tchadoua</t>
        </is>
      </c>
      <c r="F285" s="500" t="inlineStr">
        <is>
          <t>Control</t>
        </is>
      </c>
      <c r="G285" s="500" t="n">
        <v>2025</v>
      </c>
      <c r="H285" s="500" t="n">
        <v>2026</v>
      </c>
      <c r="I285" s="500" t="n"/>
      <c r="J285" s="500" t="inlineStr">
        <is>
          <t>NA</t>
        </is>
      </c>
      <c r="K285" s="500" t="inlineStr">
        <is>
          <t>NA</t>
        </is>
      </c>
      <c r="L285" s="500" t="inlineStr">
        <is>
          <t>NA</t>
        </is>
      </c>
      <c r="M285" s="500" t="n"/>
      <c r="N285" s="500" t="n"/>
      <c r="O285" s="500" t="n"/>
      <c r="P285" s="500" t="n"/>
      <c r="Q285" s="500" t="n"/>
      <c r="R285" s="500" t="n"/>
      <c r="S285" s="500" t="n"/>
      <c r="T285" s="500" t="n"/>
      <c r="U285" s="500" t="n"/>
      <c r="V285" s="500" t="n"/>
      <c r="W285" s="500" t="n"/>
      <c r="X285" s="500" t="n"/>
      <c r="Y285" s="500" t="n"/>
      <c r="Z285" s="500" t="n"/>
      <c r="AA285" s="500" t="n"/>
      <c r="AB285" s="500" t="n"/>
      <c r="AC285" s="500" t="n"/>
      <c r="AD285" s="500" t="n"/>
      <c r="AE285" s="500" t="n"/>
      <c r="AF285" s="500" t="n"/>
      <c r="AG285" s="500" t="n"/>
      <c r="AH285" s="500" t="n"/>
      <c r="AI285" s="500" t="n"/>
      <c r="AJ285" s="500" t="n"/>
    </row>
    <row r="286">
      <c r="A286" s="500" t="n"/>
      <c r="C286" s="500" t="n"/>
      <c r="D286" s="500" t="inlineStr">
        <is>
          <t>Guidan Magagi</t>
        </is>
      </c>
      <c r="E286" s="495" t="inlineStr">
        <is>
          <t>Tchadoua</t>
        </is>
      </c>
      <c r="F286" s="681" t="inlineStr">
        <is>
          <t>Intervention</t>
        </is>
      </c>
      <c r="G286" s="681" t="n">
        <v>2025</v>
      </c>
      <c r="H286" s="681" t="n">
        <v>2026</v>
      </c>
      <c r="I286" s="500" t="n"/>
      <c r="J286" s="500" t="n"/>
      <c r="K286" s="500" t="n"/>
      <c r="L286" s="500" t="n">
        <v>2</v>
      </c>
      <c r="M286" s="500" t="n"/>
      <c r="N286" s="500" t="n"/>
      <c r="O286" s="500" t="n"/>
      <c r="P286" s="500" t="n"/>
      <c r="Q286" s="500" t="n"/>
      <c r="R286" s="500" t="n"/>
      <c r="S286" s="500" t="n"/>
      <c r="T286" s="500" t="n"/>
      <c r="U286" s="500" t="n"/>
      <c r="V286" s="500" t="n"/>
      <c r="W286" s="500" t="n"/>
      <c r="X286" s="500" t="n"/>
      <c r="Y286" s="500" t="n"/>
      <c r="Z286" s="500" t="n"/>
      <c r="AA286" s="500" t="n"/>
      <c r="AB286" s="500" t="n"/>
      <c r="AC286" s="500" t="n"/>
      <c r="AD286" s="500" t="n"/>
      <c r="AE286" s="500" t="n"/>
      <c r="AF286" s="500" t="n"/>
      <c r="AG286" s="500" t="n"/>
      <c r="AH286" s="500" t="n"/>
      <c r="AI286" s="500" t="n"/>
      <c r="AJ286" s="500" t="n"/>
    </row>
    <row r="287">
      <c r="A287" s="503" t="n"/>
      <c r="B287" s="470" t="n">
        <v>5</v>
      </c>
      <c r="C287" s="503" t="n"/>
      <c r="D287" s="503" t="inlineStr">
        <is>
          <t>Magami</t>
        </is>
      </c>
      <c r="E287" s="470" t="inlineStr">
        <is>
          <t>Tchadoua</t>
        </is>
      </c>
      <c r="F287" s="503" t="inlineStr">
        <is>
          <t>Control</t>
        </is>
      </c>
      <c r="G287" s="503" t="n">
        <v>2025</v>
      </c>
      <c r="H287" s="503" t="n">
        <v>2026</v>
      </c>
      <c r="I287" s="503" t="n"/>
      <c r="J287" s="503" t="inlineStr">
        <is>
          <t>NA</t>
        </is>
      </c>
      <c r="K287" s="503" t="inlineStr">
        <is>
          <t>NA</t>
        </is>
      </c>
      <c r="L287" s="503" t="inlineStr">
        <is>
          <t>NA</t>
        </is>
      </c>
      <c r="M287" s="503" t="n"/>
      <c r="N287" s="503" t="n"/>
      <c r="O287" s="503" t="n"/>
      <c r="P287" s="503" t="n"/>
      <c r="Q287" s="503" t="n"/>
      <c r="R287" s="503" t="n"/>
      <c r="S287" s="503" t="n"/>
      <c r="T287" s="503" t="n"/>
      <c r="U287" s="503" t="n"/>
      <c r="V287" s="503" t="n"/>
      <c r="W287" s="503" t="n"/>
      <c r="X287" s="503" t="n"/>
      <c r="Y287" s="503" t="n"/>
      <c r="Z287" s="503" t="n"/>
      <c r="AA287" s="503" t="n"/>
      <c r="AB287" s="503" t="n"/>
      <c r="AC287" s="503" t="n"/>
      <c r="AD287" s="503" t="n"/>
      <c r="AE287" s="503" t="n"/>
      <c r="AF287" s="503" t="n"/>
      <c r="AG287" s="503" t="n"/>
      <c r="AH287" s="503" t="n"/>
      <c r="AI287" s="503" t="n"/>
      <c r="AJ287" s="503" t="n"/>
    </row>
    <row r="288">
      <c r="A288" s="503" t="n"/>
      <c r="C288" s="503" t="n"/>
      <c r="D288" s="503" t="inlineStr">
        <is>
          <t>Tchadoua Tawalala</t>
        </is>
      </c>
      <c r="E288" s="495" t="inlineStr">
        <is>
          <t>Tchadoua</t>
        </is>
      </c>
      <c r="F288" s="504" t="inlineStr">
        <is>
          <t>Intervention</t>
        </is>
      </c>
      <c r="G288" s="504" t="n">
        <v>2025</v>
      </c>
      <c r="H288" s="504" t="n">
        <v>2026</v>
      </c>
      <c r="I288" s="503" t="n"/>
      <c r="J288" s="503" t="n"/>
      <c r="K288" s="503" t="n"/>
      <c r="L288" s="503" t="n">
        <v>2</v>
      </c>
      <c r="M288" s="503" t="n"/>
      <c r="N288" s="503" t="n"/>
      <c r="O288" s="503" t="n"/>
      <c r="P288" s="503" t="n"/>
      <c r="Q288" s="503" t="n"/>
      <c r="R288" s="503" t="n"/>
      <c r="S288" s="503" t="n"/>
      <c r="T288" s="503" t="n"/>
      <c r="U288" s="503" t="n"/>
      <c r="V288" s="503" t="n"/>
      <c r="W288" s="503" t="n"/>
      <c r="X288" s="503" t="n"/>
      <c r="Y288" s="503" t="n"/>
      <c r="Z288" s="503" t="n"/>
      <c r="AA288" s="503" t="n"/>
      <c r="AB288" s="503" t="n"/>
      <c r="AC288" s="503" t="n"/>
      <c r="AD288" s="503" t="n"/>
      <c r="AE288" s="503" t="n"/>
      <c r="AF288" s="503" t="n"/>
      <c r="AG288" s="503" t="n"/>
      <c r="AH288" s="503" t="n"/>
      <c r="AI288" s="503" t="n"/>
      <c r="AJ288" s="503" t="n"/>
    </row>
    <row r="289">
      <c r="A289" s="500" t="n"/>
      <c r="B289" s="497" t="n">
        <v>6</v>
      </c>
      <c r="C289" s="500" t="n"/>
      <c r="D289" s="500" t="inlineStr">
        <is>
          <t>Gawaro Maddaci</t>
        </is>
      </c>
      <c r="E289" s="470" t="inlineStr">
        <is>
          <t>Tchadoua</t>
        </is>
      </c>
      <c r="F289" s="500" t="inlineStr">
        <is>
          <t>Intervention</t>
        </is>
      </c>
      <c r="G289" s="500" t="n">
        <v>2025</v>
      </c>
      <c r="H289" s="500" t="n">
        <v>2026</v>
      </c>
      <c r="I289" s="500" t="n"/>
      <c r="J289" s="500" t="n"/>
      <c r="K289" s="500" t="n"/>
      <c r="L289" s="500" t="n">
        <v>2</v>
      </c>
      <c r="M289" s="500" t="n"/>
      <c r="N289" s="500" t="n"/>
      <c r="O289" s="500" t="n"/>
      <c r="P289" s="500" t="n"/>
      <c r="Q289" s="500" t="n"/>
      <c r="R289" s="500" t="n"/>
      <c r="S289" s="500" t="n"/>
      <c r="T289" s="500" t="n"/>
      <c r="U289" s="500" t="n"/>
      <c r="V289" s="500" t="n"/>
      <c r="W289" s="500" t="n"/>
      <c r="X289" s="500" t="n"/>
      <c r="Y289" s="500" t="n"/>
      <c r="Z289" s="500" t="n"/>
      <c r="AA289" s="500" t="n"/>
      <c r="AB289" s="500" t="n"/>
      <c r="AC289" s="500" t="n"/>
      <c r="AD289" s="500" t="n"/>
      <c r="AE289" s="500" t="n"/>
      <c r="AF289" s="500" t="n"/>
      <c r="AG289" s="500" t="n"/>
      <c r="AH289" s="500" t="n"/>
      <c r="AI289" s="500" t="n"/>
      <c r="AJ289" s="500" t="n"/>
    </row>
    <row r="290">
      <c r="A290" s="500" t="n"/>
      <c r="C290" s="500" t="n"/>
      <c r="D290" s="500" t="inlineStr">
        <is>
          <t>Wakasso</t>
        </is>
      </c>
      <c r="E290" s="495" t="inlineStr">
        <is>
          <t>Tchadoua</t>
        </is>
      </c>
      <c r="F290" s="681" t="inlineStr">
        <is>
          <t>Control</t>
        </is>
      </c>
      <c r="G290" s="681" t="n">
        <v>2025</v>
      </c>
      <c r="H290" s="681" t="n">
        <v>2026</v>
      </c>
      <c r="I290" s="500" t="n"/>
      <c r="J290" s="500" t="inlineStr">
        <is>
          <t>NA</t>
        </is>
      </c>
      <c r="K290" s="500" t="inlineStr">
        <is>
          <t>NA</t>
        </is>
      </c>
      <c r="L290" s="500" t="inlineStr">
        <is>
          <t>NA</t>
        </is>
      </c>
      <c r="M290" s="500" t="n"/>
      <c r="N290" s="500" t="n"/>
      <c r="O290" s="500" t="n"/>
      <c r="P290" s="500" t="n"/>
      <c r="Q290" s="500" t="n"/>
      <c r="R290" s="500" t="n"/>
      <c r="S290" s="500" t="n"/>
      <c r="T290" s="500" t="n"/>
      <c r="U290" s="500" t="n"/>
      <c r="V290" s="500" t="n"/>
      <c r="W290" s="500" t="n"/>
      <c r="X290" s="500" t="n"/>
      <c r="Y290" s="500" t="n"/>
      <c r="Z290" s="500" t="n"/>
      <c r="AA290" s="500" t="n"/>
      <c r="AB290" s="500" t="n"/>
      <c r="AC290" s="500" t="n"/>
      <c r="AD290" s="500" t="n"/>
      <c r="AE290" s="500" t="n"/>
      <c r="AF290" s="500" t="n"/>
      <c r="AG290" s="500" t="n"/>
      <c r="AH290" s="500" t="n"/>
      <c r="AI290" s="500" t="n"/>
      <c r="AJ290" s="500" t="n"/>
    </row>
    <row r="291">
      <c r="A291" s="503" t="n"/>
      <c r="B291" s="470" t="n">
        <v>7</v>
      </c>
      <c r="C291" s="470" t="n"/>
      <c r="D291" s="470" t="inlineStr">
        <is>
          <t>Guidan Karma</t>
        </is>
      </c>
      <c r="E291" s="470" t="inlineStr">
        <is>
          <t>Tchadoua</t>
        </is>
      </c>
      <c r="F291" s="470" t="inlineStr">
        <is>
          <t>Intervention</t>
        </is>
      </c>
      <c r="G291" s="470" t="n">
        <v>2025</v>
      </c>
      <c r="H291" s="470" t="n">
        <v>2026</v>
      </c>
      <c r="I291" s="470" t="n"/>
      <c r="J291" s="470" t="n"/>
      <c r="K291" s="470" t="n"/>
      <c r="L291" s="470" t="n">
        <v>2</v>
      </c>
      <c r="M291" s="470" t="n"/>
      <c r="N291" s="470" t="n"/>
      <c r="O291" s="470" t="n"/>
      <c r="P291" s="470" t="n"/>
      <c r="Q291" s="470" t="n"/>
      <c r="R291" s="470" t="n"/>
      <c r="S291" s="470" t="n"/>
      <c r="T291" s="470" t="n"/>
      <c r="U291" s="470" t="n"/>
      <c r="V291" s="470" t="n"/>
      <c r="W291" s="470" t="n"/>
      <c r="X291" s="470" t="n"/>
      <c r="Y291" s="470" t="n"/>
      <c r="Z291" s="470" t="n"/>
      <c r="AA291" s="470" t="n"/>
      <c r="AB291" s="470" t="n"/>
      <c r="AC291" s="470" t="n"/>
      <c r="AD291" s="470" t="n"/>
      <c r="AE291" s="470" t="n"/>
      <c r="AF291" s="470" t="n"/>
      <c r="AG291" s="470" t="n"/>
      <c r="AH291" s="470" t="n"/>
      <c r="AI291" s="470" t="n"/>
      <c r="AJ291" s="470" t="n"/>
    </row>
    <row r="292">
      <c r="A292" s="503" t="n"/>
      <c r="C292" s="470" t="n"/>
      <c r="D292" s="470" t="inlineStr">
        <is>
          <t>Guidan Zoudi</t>
        </is>
      </c>
      <c r="E292" s="495" t="inlineStr">
        <is>
          <t>Tchadoua</t>
        </is>
      </c>
      <c r="F292" s="495" t="inlineStr">
        <is>
          <t>Control</t>
        </is>
      </c>
      <c r="G292" s="495" t="n">
        <v>2025</v>
      </c>
      <c r="H292" s="495" t="n">
        <v>2026</v>
      </c>
      <c r="I292" s="470" t="n"/>
      <c r="J292" s="470" t="inlineStr">
        <is>
          <t>NA</t>
        </is>
      </c>
      <c r="K292" s="470" t="inlineStr">
        <is>
          <t>NA</t>
        </is>
      </c>
      <c r="L292" s="470" t="inlineStr">
        <is>
          <t>NA</t>
        </is>
      </c>
      <c r="M292" s="470" t="n"/>
      <c r="N292" s="470" t="n"/>
      <c r="O292" s="470" t="n"/>
      <c r="P292" s="470" t="n"/>
      <c r="Q292" s="470" t="n"/>
      <c r="R292" s="470" t="n"/>
      <c r="S292" s="470" t="n"/>
      <c r="T292" s="470" t="n"/>
      <c r="U292" s="470" t="n"/>
      <c r="V292" s="470" t="n"/>
      <c r="W292" s="470" t="n"/>
      <c r="X292" s="470" t="n"/>
      <c r="Y292" s="470" t="n"/>
      <c r="Z292" s="470" t="n"/>
      <c r="AA292" s="470" t="n"/>
      <c r="AB292" s="470" t="n"/>
      <c r="AC292" s="470" t="n"/>
      <c r="AD292" s="470" t="n"/>
      <c r="AE292" s="470" t="n"/>
      <c r="AF292" s="470" t="n"/>
      <c r="AG292" s="470" t="n"/>
      <c r="AH292" s="470" t="n"/>
      <c r="AI292" s="470" t="n"/>
      <c r="AJ292" s="470" t="n"/>
    </row>
    <row r="293">
      <c r="A293" s="500" t="n"/>
      <c r="B293" s="497" t="n">
        <v>8</v>
      </c>
      <c r="C293" s="497" t="n"/>
      <c r="D293" s="497" t="inlineStr">
        <is>
          <t>Janroua Sedentaire</t>
        </is>
      </c>
      <c r="E293" s="470" t="inlineStr">
        <is>
          <t>Tchadoua</t>
        </is>
      </c>
      <c r="F293" s="497" t="inlineStr">
        <is>
          <t>Intervention</t>
        </is>
      </c>
      <c r="G293" s="497" t="n">
        <v>2025</v>
      </c>
      <c r="H293" s="497" t="n">
        <v>2026</v>
      </c>
      <c r="I293" s="497" t="n"/>
      <c r="J293" s="497" t="n"/>
      <c r="K293" s="497" t="n"/>
      <c r="L293" s="497" t="n">
        <v>2</v>
      </c>
      <c r="M293" s="497" t="n"/>
      <c r="N293" s="497" t="n"/>
      <c r="O293" s="497" t="n"/>
      <c r="P293" s="497" t="n"/>
      <c r="Q293" s="497" t="n"/>
      <c r="R293" s="497" t="n"/>
      <c r="S293" s="497" t="n"/>
      <c r="T293" s="497" t="n"/>
      <c r="U293" s="497" t="n"/>
      <c r="V293" s="497" t="n"/>
      <c r="W293" s="497" t="n"/>
      <c r="X293" s="497" t="n"/>
      <c r="Y293" s="497" t="n"/>
      <c r="Z293" s="497" t="n"/>
      <c r="AA293" s="497" t="n"/>
      <c r="AB293" s="497" t="n"/>
      <c r="AC293" s="497" t="n"/>
      <c r="AD293" s="497" t="n"/>
      <c r="AE293" s="497" t="n"/>
      <c r="AF293" s="497" t="n"/>
      <c r="AG293" s="497" t="n"/>
      <c r="AH293" s="497" t="n"/>
      <c r="AI293" s="497" t="n"/>
      <c r="AJ293" s="497" t="n"/>
    </row>
    <row r="294">
      <c r="A294" s="500" t="n"/>
      <c r="C294" s="497" t="n"/>
      <c r="D294" s="497" t="inlineStr">
        <is>
          <t>Zabon Mousso</t>
        </is>
      </c>
      <c r="E294" s="495" t="inlineStr">
        <is>
          <t>Tchadoua</t>
        </is>
      </c>
      <c r="F294" s="79" t="inlineStr">
        <is>
          <t>Control</t>
        </is>
      </c>
      <c r="G294" s="79" t="n">
        <v>2025</v>
      </c>
      <c r="H294" s="79" t="n">
        <v>2026</v>
      </c>
      <c r="I294" s="497" t="n"/>
      <c r="J294" s="497" t="inlineStr">
        <is>
          <t>NA</t>
        </is>
      </c>
      <c r="K294" s="497" t="inlineStr">
        <is>
          <t>NA</t>
        </is>
      </c>
      <c r="L294" s="497" t="inlineStr">
        <is>
          <t>NA</t>
        </is>
      </c>
      <c r="M294" s="497" t="n"/>
      <c r="N294" s="497" t="n"/>
      <c r="O294" s="497" t="n"/>
      <c r="P294" s="497" t="n"/>
      <c r="Q294" s="497" t="n"/>
      <c r="R294" s="497" t="n"/>
      <c r="S294" s="497" t="n"/>
      <c r="T294" s="497" t="n"/>
      <c r="U294" s="497" t="n"/>
      <c r="V294" s="497" t="n"/>
      <c r="W294" s="497" t="n"/>
      <c r="X294" s="497" t="n"/>
      <c r="Y294" s="497" t="n"/>
      <c r="Z294" s="497" t="n"/>
      <c r="AA294" s="497" t="n"/>
      <c r="AB294" s="497" t="n"/>
      <c r="AC294" s="497" t="n"/>
      <c r="AD294" s="497" t="n"/>
      <c r="AE294" s="497" t="n"/>
      <c r="AF294" s="497" t="n"/>
      <c r="AG294" s="497" t="n"/>
      <c r="AH294" s="497" t="n"/>
      <c r="AI294" s="497" t="n"/>
      <c r="AJ294" s="497" t="n"/>
    </row>
    <row r="295">
      <c r="A295" s="503" t="n"/>
      <c r="B295" s="470" t="n">
        <v>9</v>
      </c>
      <c r="C295" s="470" t="n"/>
      <c r="D295" s="470" t="inlineStr">
        <is>
          <t>Guidan Tambari</t>
        </is>
      </c>
      <c r="E295" s="470" t="inlineStr">
        <is>
          <t>Tchadoua</t>
        </is>
      </c>
      <c r="F295" s="470" t="inlineStr">
        <is>
          <t>Control</t>
        </is>
      </c>
      <c r="G295" s="470" t="n">
        <v>2025</v>
      </c>
      <c r="H295" s="470" t="n">
        <v>2026</v>
      </c>
      <c r="I295" s="470" t="n"/>
      <c r="J295" s="470" t="inlineStr">
        <is>
          <t>NA</t>
        </is>
      </c>
      <c r="K295" s="470" t="inlineStr">
        <is>
          <t>NA</t>
        </is>
      </c>
      <c r="L295" s="470" t="inlineStr">
        <is>
          <t>NA</t>
        </is>
      </c>
      <c r="M295" s="470" t="n"/>
      <c r="N295" s="470" t="n"/>
      <c r="O295" s="470" t="n"/>
      <c r="P295" s="470" t="n"/>
      <c r="Q295" s="470" t="n"/>
      <c r="R295" s="470" t="n"/>
      <c r="S295" s="470" t="n"/>
      <c r="T295" s="470" t="n"/>
      <c r="U295" s="470" t="n"/>
      <c r="V295" s="470" t="n"/>
      <c r="W295" s="470" t="n"/>
      <c r="X295" s="470" t="n"/>
      <c r="Y295" s="470" t="n"/>
      <c r="Z295" s="470" t="n"/>
      <c r="AA295" s="470" t="n"/>
      <c r="AB295" s="470" t="n"/>
      <c r="AC295" s="470" t="n"/>
      <c r="AD295" s="470" t="n"/>
      <c r="AE295" s="470" t="n"/>
      <c r="AF295" s="470" t="n"/>
      <c r="AG295" s="470" t="n"/>
      <c r="AH295" s="470" t="n"/>
      <c r="AI295" s="470" t="n"/>
      <c r="AJ295" s="470" t="n"/>
    </row>
    <row r="296">
      <c r="A296" s="503" t="n"/>
      <c r="C296" s="470" t="n"/>
      <c r="D296" s="470" t="inlineStr">
        <is>
          <t>Zangon Naroua</t>
        </is>
      </c>
      <c r="E296" s="495" t="inlineStr">
        <is>
          <t>Tchadoua</t>
        </is>
      </c>
      <c r="F296" s="495" t="inlineStr">
        <is>
          <t>Intervention</t>
        </is>
      </c>
      <c r="G296" s="495" t="n">
        <v>2025</v>
      </c>
      <c r="H296" s="495" t="n">
        <v>2026</v>
      </c>
      <c r="I296" s="470" t="n"/>
      <c r="J296" s="470" t="n"/>
      <c r="K296" s="470" t="n"/>
      <c r="L296" s="470" t="n">
        <v>2</v>
      </c>
      <c r="M296" s="470" t="n"/>
      <c r="N296" s="470" t="n"/>
      <c r="O296" s="470" t="n"/>
      <c r="P296" s="470" t="n"/>
      <c r="Q296" s="470" t="n"/>
      <c r="R296" s="470" t="n"/>
      <c r="S296" s="470" t="n"/>
      <c r="T296" s="470" t="n"/>
      <c r="U296" s="470" t="n"/>
      <c r="V296" s="470" t="n"/>
      <c r="W296" s="470" t="n"/>
      <c r="X296" s="470" t="n"/>
      <c r="Y296" s="470" t="n"/>
      <c r="Z296" s="470" t="n"/>
      <c r="AA296" s="470" t="n"/>
      <c r="AB296" s="470" t="n"/>
      <c r="AC296" s="470" t="n"/>
      <c r="AD296" s="470" t="n"/>
      <c r="AE296" s="470" t="n"/>
      <c r="AF296" s="470" t="n"/>
      <c r="AG296" s="470" t="n"/>
      <c r="AH296" s="470" t="n"/>
      <c r="AI296" s="470" t="n"/>
      <c r="AJ296" s="470" t="n"/>
    </row>
    <row r="297">
      <c r="A297" s="500" t="n"/>
      <c r="B297" s="497" t="n">
        <v>10</v>
      </c>
      <c r="C297" s="497" t="n"/>
      <c r="D297" s="497" t="inlineStr">
        <is>
          <t>Dan Bouzou</t>
        </is>
      </c>
      <c r="E297" s="470" t="inlineStr">
        <is>
          <t>Tchadoua</t>
        </is>
      </c>
      <c r="F297" s="497" t="inlineStr">
        <is>
          <t>Control</t>
        </is>
      </c>
      <c r="G297" s="497" t="n">
        <v>2025</v>
      </c>
      <c r="H297" s="497" t="n">
        <v>2026</v>
      </c>
      <c r="I297" s="497" t="n"/>
      <c r="J297" s="497" t="inlineStr">
        <is>
          <t>NA</t>
        </is>
      </c>
      <c r="K297" s="497" t="inlineStr">
        <is>
          <t>NA</t>
        </is>
      </c>
      <c r="L297" s="497" t="inlineStr">
        <is>
          <t>NA</t>
        </is>
      </c>
      <c r="M297" s="497" t="n"/>
      <c r="N297" s="497" t="n"/>
      <c r="O297" s="497" t="n"/>
      <c r="P297" s="497" t="n"/>
      <c r="Q297" s="497" t="n"/>
      <c r="R297" s="497" t="n"/>
      <c r="S297" s="497" t="n"/>
      <c r="T297" s="497" t="n"/>
      <c r="U297" s="497" t="n"/>
      <c r="V297" s="497" t="n"/>
      <c r="W297" s="497" t="n"/>
      <c r="X297" s="497" t="n"/>
      <c r="Y297" s="497" t="n"/>
      <c r="Z297" s="497" t="n"/>
      <c r="AA297" s="497" t="n"/>
      <c r="AB297" s="497" t="n"/>
      <c r="AC297" s="497" t="n"/>
      <c r="AD297" s="497" t="n"/>
      <c r="AE297" s="497" t="n"/>
      <c r="AF297" s="497" t="n"/>
      <c r="AG297" s="497" t="n"/>
      <c r="AH297" s="497" t="n"/>
      <c r="AI297" s="497" t="n"/>
      <c r="AJ297" s="497" t="n"/>
    </row>
    <row r="298">
      <c r="A298" s="500" t="n"/>
      <c r="C298" s="497" t="n"/>
      <c r="D298" s="497" t="inlineStr">
        <is>
          <t>Maijanguero</t>
        </is>
      </c>
      <c r="E298" s="495" t="inlineStr">
        <is>
          <t>Tchadoua</t>
        </is>
      </c>
      <c r="F298" s="79" t="inlineStr">
        <is>
          <t>Intervention</t>
        </is>
      </c>
      <c r="G298" s="79" t="n">
        <v>2025</v>
      </c>
      <c r="H298" s="79" t="n">
        <v>2026</v>
      </c>
      <c r="I298" s="497" t="n"/>
      <c r="J298" s="497" t="n"/>
      <c r="K298" s="497" t="n"/>
      <c r="L298" s="497" t="n">
        <v>2</v>
      </c>
      <c r="M298" s="497" t="n"/>
      <c r="N298" s="497" t="n"/>
      <c r="O298" s="497" t="n"/>
      <c r="P298" s="497" t="n"/>
      <c r="Q298" s="497" t="n"/>
      <c r="R298" s="497" t="n"/>
      <c r="S298" s="497" t="n"/>
      <c r="T298" s="497" t="n"/>
      <c r="U298" s="497" t="n"/>
      <c r="V298" s="497" t="n"/>
      <c r="W298" s="497" t="n"/>
      <c r="X298" s="497" t="n"/>
      <c r="Y298" s="497" t="n"/>
      <c r="Z298" s="497" t="n"/>
      <c r="AA298" s="497" t="n"/>
      <c r="AB298" s="497" t="n"/>
      <c r="AC298" s="497" t="n"/>
      <c r="AD298" s="497" t="n"/>
      <c r="AE298" s="497" t="n"/>
      <c r="AF298" s="497" t="n"/>
      <c r="AG298" s="497" t="n"/>
      <c r="AH298" s="497" t="n"/>
      <c r="AI298" s="497" t="n"/>
      <c r="AJ298" s="497" t="n"/>
    </row>
    <row r="299">
      <c r="A299" s="682" t="n"/>
      <c r="B299" s="470" t="n">
        <v>11</v>
      </c>
      <c r="C299" s="470" t="n"/>
      <c r="D299" s="470" t="inlineStr">
        <is>
          <t>Douma 1</t>
        </is>
      </c>
      <c r="E299" s="470" t="inlineStr">
        <is>
          <t>Tchadoua</t>
        </is>
      </c>
      <c r="F299" s="470" t="inlineStr">
        <is>
          <t>Intervention</t>
        </is>
      </c>
      <c r="G299" s="470" t="n">
        <v>2025</v>
      </c>
      <c r="H299" s="470" t="n">
        <v>2026</v>
      </c>
      <c r="I299" s="470" t="n"/>
      <c r="J299" s="470" t="n"/>
      <c r="K299" s="470" t="n"/>
      <c r="L299" s="470" t="n">
        <v>2</v>
      </c>
      <c r="M299" s="470" t="n"/>
      <c r="N299" s="470" t="n"/>
      <c r="O299" s="470" t="n"/>
      <c r="P299" s="470" t="n"/>
      <c r="Q299" s="470" t="n"/>
      <c r="R299" s="470" t="n"/>
      <c r="S299" s="470" t="n"/>
      <c r="T299" s="470" t="n"/>
      <c r="U299" s="470" t="n"/>
      <c r="V299" s="470" t="n"/>
      <c r="W299" s="470" t="n"/>
      <c r="X299" s="470" t="n"/>
      <c r="Y299" s="470" t="n"/>
      <c r="Z299" s="470" t="n"/>
      <c r="AA299" s="470" t="n"/>
      <c r="AB299" s="470" t="n"/>
      <c r="AC299" s="470" t="n"/>
      <c r="AD299" s="470" t="n"/>
      <c r="AE299" s="470" t="n"/>
      <c r="AF299" s="470" t="n"/>
      <c r="AG299" s="470" t="n"/>
      <c r="AH299" s="470" t="n"/>
      <c r="AI299" s="470" t="n"/>
      <c r="AJ299" s="470" t="n"/>
    </row>
    <row r="300">
      <c r="A300" s="682" t="n"/>
      <c r="C300" s="470" t="n"/>
      <c r="D300" s="470" t="inlineStr">
        <is>
          <t>Guidan Koumbe</t>
        </is>
      </c>
      <c r="E300" s="495" t="inlineStr">
        <is>
          <t>Tchadoua</t>
        </is>
      </c>
      <c r="F300" s="495" t="inlineStr">
        <is>
          <t>Control</t>
        </is>
      </c>
      <c r="G300" s="495" t="n">
        <v>2025</v>
      </c>
      <c r="H300" s="495" t="n">
        <v>2026</v>
      </c>
      <c r="I300" s="470" t="n"/>
      <c r="J300" s="470" t="inlineStr">
        <is>
          <t>NA</t>
        </is>
      </c>
      <c r="K300" s="470" t="inlineStr">
        <is>
          <t>NA</t>
        </is>
      </c>
      <c r="L300" s="470" t="inlineStr">
        <is>
          <t>NA</t>
        </is>
      </c>
      <c r="M300" s="470" t="n"/>
      <c r="N300" s="470" t="n"/>
      <c r="O300" s="470" t="n"/>
      <c r="P300" s="470" t="n"/>
      <c r="Q300" s="470" t="n"/>
      <c r="R300" s="470" t="n"/>
      <c r="S300" s="470" t="n"/>
      <c r="T300" s="470" t="n"/>
      <c r="U300" s="470" t="n"/>
      <c r="V300" s="470" t="n"/>
      <c r="W300" s="470" t="n"/>
      <c r="X300" s="470" t="n"/>
      <c r="Y300" s="470" t="n"/>
      <c r="Z300" s="470" t="n"/>
      <c r="AA300" s="470" t="n"/>
      <c r="AB300" s="470" t="n"/>
      <c r="AC300" s="470" t="n"/>
      <c r="AD300" s="470" t="n"/>
      <c r="AE300" s="470" t="n"/>
      <c r="AF300" s="470" t="n"/>
      <c r="AG300" s="470" t="n"/>
      <c r="AH300" s="470" t="n"/>
      <c r="AI300" s="470" t="n"/>
      <c r="AJ300" s="470" t="n"/>
    </row>
    <row r="301">
      <c r="A301" s="683" t="n"/>
      <c r="B301" s="497" t="n">
        <v>12</v>
      </c>
      <c r="C301" s="506" t="n"/>
      <c r="D301" s="506" t="inlineStr">
        <is>
          <t>Kouran Mota</t>
        </is>
      </c>
      <c r="E301" s="470" t="inlineStr">
        <is>
          <t>Tchadoua</t>
        </is>
      </c>
      <c r="F301" s="506" t="inlineStr">
        <is>
          <t>Intervention</t>
        </is>
      </c>
      <c r="G301" s="506" t="n">
        <v>2025</v>
      </c>
      <c r="H301" s="506" t="n">
        <v>2026</v>
      </c>
      <c r="I301" s="506" t="n"/>
      <c r="J301" s="506" t="n"/>
      <c r="K301" s="506" t="n"/>
      <c r="L301" s="497" t="n">
        <v>2</v>
      </c>
      <c r="M301" s="497" t="n"/>
      <c r="N301" s="497" t="n"/>
      <c r="O301" s="497" t="n"/>
      <c r="P301" s="497" t="n"/>
      <c r="Q301" s="497" t="n"/>
      <c r="R301" s="497" t="n"/>
      <c r="S301" s="497" t="n"/>
      <c r="T301" s="497" t="n"/>
      <c r="U301" s="497" t="n"/>
      <c r="V301" s="497" t="n"/>
      <c r="W301" s="497" t="n"/>
      <c r="X301" s="497" t="n"/>
      <c r="Y301" s="497" t="n"/>
      <c r="Z301" s="497" t="n"/>
      <c r="AA301" s="497" t="n"/>
      <c r="AB301" s="497" t="n"/>
      <c r="AC301" s="497" t="n"/>
      <c r="AD301" s="497" t="n"/>
      <c r="AE301" s="497" t="n"/>
      <c r="AF301" s="497" t="n"/>
      <c r="AG301" s="497" t="n"/>
      <c r="AH301" s="497" t="n"/>
      <c r="AI301" s="497" t="n"/>
      <c r="AJ301" s="497" t="n"/>
    </row>
    <row r="302">
      <c r="A302" s="683" t="n"/>
      <c r="C302" s="506" t="n"/>
      <c r="D302" s="506" t="inlineStr">
        <is>
          <t>Chpake</t>
        </is>
      </c>
      <c r="E302" s="495" t="inlineStr">
        <is>
          <t>Tchadoua</t>
        </is>
      </c>
      <c r="F302" s="507" t="inlineStr">
        <is>
          <t>Control</t>
        </is>
      </c>
      <c r="G302" s="507" t="n">
        <v>2025</v>
      </c>
      <c r="H302" s="507" t="n">
        <v>2026</v>
      </c>
      <c r="I302" s="506" t="n"/>
      <c r="J302" s="506" t="inlineStr">
        <is>
          <t>NA</t>
        </is>
      </c>
      <c r="K302" s="506" t="inlineStr">
        <is>
          <t>NA</t>
        </is>
      </c>
      <c r="L302" s="497" t="inlineStr">
        <is>
          <t>NA</t>
        </is>
      </c>
      <c r="M302" s="497" t="n"/>
      <c r="N302" s="497" t="n"/>
      <c r="O302" s="497" t="n"/>
      <c r="P302" s="497" t="n"/>
      <c r="Q302" s="497" t="n"/>
      <c r="R302" s="497" t="n"/>
      <c r="S302" s="497" t="n"/>
      <c r="T302" s="497" t="n"/>
      <c r="U302" s="497" t="n"/>
      <c r="V302" s="497" t="n"/>
      <c r="W302" s="497" t="n"/>
      <c r="X302" s="497" t="n"/>
      <c r="Y302" s="497" t="n"/>
      <c r="Z302" s="497" t="n"/>
      <c r="AA302" s="497" t="n"/>
      <c r="AB302" s="497" t="n"/>
      <c r="AC302" s="497" t="n"/>
      <c r="AD302" s="497" t="n"/>
      <c r="AE302" s="497" t="n"/>
      <c r="AF302" s="497" t="n"/>
      <c r="AG302" s="497" t="n"/>
      <c r="AH302" s="497" t="n"/>
      <c r="AI302" s="497" t="n"/>
      <c r="AJ302" s="497" t="n"/>
    </row>
    <row r="303">
      <c r="A303" s="489" t="n"/>
      <c r="B303" s="489" t="n"/>
      <c r="C303" s="489" t="n"/>
      <c r="D303" s="489" t="n"/>
      <c r="E303" s="489" t="n"/>
      <c r="F303" s="489" t="n"/>
      <c r="G303" s="489" t="n"/>
      <c r="H303" s="489" t="n"/>
      <c r="I303" s="489" t="n"/>
      <c r="J303" s="489" t="n"/>
      <c r="K303" s="489" t="n"/>
      <c r="L303" s="470" t="n"/>
      <c r="M303" s="470" t="n"/>
      <c r="N303" s="470" t="n"/>
      <c r="O303" s="470" t="n"/>
      <c r="P303" s="470" t="n"/>
      <c r="Q303" s="470" t="n"/>
      <c r="R303" s="470" t="n"/>
      <c r="S303" s="470" t="n"/>
      <c r="T303" s="470" t="n"/>
      <c r="U303" s="470" t="n"/>
      <c r="V303" s="470" t="n"/>
      <c r="W303" s="470" t="n"/>
      <c r="X303" s="470" t="n"/>
      <c r="Y303" s="470" t="n"/>
      <c r="Z303" s="470" t="n"/>
      <c r="AA303" s="470" t="n"/>
      <c r="AB303" s="470" t="n"/>
      <c r="AC303" s="470" t="n"/>
      <c r="AD303" s="470" t="n"/>
      <c r="AE303" s="470" t="n"/>
      <c r="AF303" s="470" t="n"/>
      <c r="AG303" s="470" t="n"/>
      <c r="AH303" s="470" t="n"/>
      <c r="AI303" s="470" t="n"/>
      <c r="AJ303" s="470" t="n"/>
    </row>
    <row r="304">
      <c r="A304" s="489" t="n"/>
      <c r="B304" s="489" t="n"/>
      <c r="C304" s="489" t="n"/>
      <c r="D304" s="489" t="n"/>
      <c r="E304" s="489" t="n"/>
      <c r="F304" s="489" t="n"/>
      <c r="G304" s="489" t="n"/>
      <c r="H304" s="489" t="n"/>
      <c r="I304" s="489" t="n"/>
      <c r="J304" s="489" t="n"/>
      <c r="K304" s="489" t="n"/>
      <c r="L304" s="470" t="n"/>
      <c r="M304" s="470" t="n"/>
      <c r="N304" s="470" t="n"/>
      <c r="O304" s="470" t="n"/>
      <c r="P304" s="470" t="n"/>
      <c r="Q304" s="470" t="n"/>
      <c r="R304" s="470" t="n"/>
      <c r="S304" s="470" t="n"/>
      <c r="T304" s="470" t="n"/>
      <c r="U304" s="470" t="n"/>
      <c r="V304" s="470" t="n"/>
      <c r="W304" s="470" t="n"/>
      <c r="X304" s="470" t="n"/>
      <c r="Y304" s="470" t="n"/>
      <c r="Z304" s="470" t="n"/>
      <c r="AA304" s="470" t="n"/>
      <c r="AB304" s="470" t="n"/>
      <c r="AC304" s="470" t="n"/>
      <c r="AD304" s="470" t="n"/>
      <c r="AE304" s="470" t="n"/>
      <c r="AF304" s="470" t="n"/>
      <c r="AG304" s="470" t="n"/>
      <c r="AH304" s="470" t="n"/>
      <c r="AI304" s="470" t="n"/>
      <c r="AJ304" s="470" t="n"/>
    </row>
    <row r="305">
      <c r="A305" s="489" t="n"/>
      <c r="B305" s="489" t="n"/>
      <c r="C305" s="489" t="n"/>
      <c r="D305" s="489" t="n"/>
      <c r="E305" s="489" t="n"/>
      <c r="F305" s="489" t="n"/>
      <c r="G305" s="489" t="n"/>
      <c r="H305" s="489" t="n"/>
      <c r="I305" s="489" t="n"/>
      <c r="J305" s="489" t="n"/>
      <c r="K305" s="489" t="n"/>
      <c r="L305" s="470" t="n"/>
      <c r="M305" s="470" t="n"/>
      <c r="N305" s="470" t="n"/>
      <c r="O305" s="470" t="n"/>
      <c r="P305" s="470" t="n"/>
      <c r="Q305" s="470" t="n"/>
      <c r="R305" s="470" t="n"/>
      <c r="S305" s="470" t="n"/>
      <c r="T305" s="470" t="n"/>
      <c r="U305" s="470" t="n"/>
      <c r="V305" s="470" t="n"/>
      <c r="W305" s="470" t="n"/>
      <c r="X305" s="470" t="n"/>
      <c r="Y305" s="470" t="n"/>
      <c r="Z305" s="470" t="n"/>
      <c r="AA305" s="470" t="n"/>
      <c r="AB305" s="470" t="n"/>
      <c r="AC305" s="470" t="n"/>
      <c r="AD305" s="470" t="n"/>
      <c r="AE305" s="470" t="n"/>
      <c r="AF305" s="470" t="n"/>
      <c r="AG305" s="470" t="n"/>
      <c r="AH305" s="470" t="n"/>
      <c r="AI305" s="470" t="n"/>
      <c r="AJ305" s="470" t="n"/>
    </row>
    <row r="306">
      <c r="A306" s="489" t="n"/>
      <c r="B306" s="489" t="n"/>
      <c r="C306" s="489" t="n"/>
      <c r="D306" s="489" t="n"/>
      <c r="E306" s="489" t="n"/>
      <c r="F306" s="489" t="n"/>
      <c r="G306" s="489" t="n"/>
      <c r="H306" s="489" t="n"/>
      <c r="I306" s="489" t="n"/>
      <c r="J306" s="489" t="n"/>
      <c r="K306" s="489" t="n"/>
      <c r="L306" s="470" t="n"/>
      <c r="M306" s="470" t="n"/>
      <c r="N306" s="470" t="n"/>
      <c r="O306" s="470" t="n"/>
      <c r="P306" s="470" t="n"/>
      <c r="Q306" s="470" t="n"/>
      <c r="R306" s="470" t="n"/>
      <c r="S306" s="470" t="n"/>
      <c r="T306" s="470" t="n"/>
      <c r="U306" s="470" t="n"/>
      <c r="V306" s="470" t="n"/>
      <c r="W306" s="470" t="n"/>
      <c r="X306" s="470" t="n"/>
      <c r="Y306" s="470" t="n"/>
      <c r="Z306" s="470" t="n"/>
      <c r="AA306" s="470" t="n"/>
      <c r="AB306" s="470" t="n"/>
      <c r="AC306" s="470" t="n"/>
      <c r="AD306" s="470" t="n"/>
      <c r="AE306" s="470" t="n"/>
      <c r="AF306" s="470" t="n"/>
      <c r="AG306" s="470" t="n"/>
      <c r="AH306" s="470" t="n"/>
      <c r="AI306" s="470" t="n"/>
      <c r="AJ306" s="470" t="n"/>
    </row>
    <row r="307">
      <c r="A307" s="489" t="n"/>
      <c r="B307" s="489" t="n"/>
      <c r="C307" s="489" t="n"/>
      <c r="D307" s="489" t="n"/>
      <c r="E307" s="489" t="n"/>
      <c r="F307" s="489" t="n"/>
      <c r="G307" s="489" t="n"/>
      <c r="H307" s="489" t="n"/>
      <c r="I307" s="489" t="n"/>
      <c r="J307" s="489" t="n"/>
      <c r="K307" s="489" t="n"/>
      <c r="L307" s="470" t="n"/>
      <c r="M307" s="470" t="n"/>
      <c r="N307" s="470" t="n"/>
      <c r="O307" s="470" t="n"/>
      <c r="P307" s="470" t="n"/>
      <c r="Q307" s="470" t="n"/>
      <c r="R307" s="470" t="n"/>
      <c r="S307" s="470" t="n"/>
      <c r="T307" s="470" t="n"/>
      <c r="U307" s="470" t="n"/>
      <c r="V307" s="470" t="n"/>
      <c r="W307" s="470" t="n"/>
      <c r="X307" s="470" t="n"/>
      <c r="Y307" s="470" t="n"/>
      <c r="Z307" s="470" t="n"/>
      <c r="AA307" s="470" t="n"/>
      <c r="AB307" s="470" t="n"/>
      <c r="AC307" s="470" t="n"/>
      <c r="AD307" s="470" t="n"/>
      <c r="AE307" s="470" t="n"/>
      <c r="AF307" s="470" t="n"/>
      <c r="AG307" s="470" t="n"/>
      <c r="AH307" s="470" t="n"/>
      <c r="AI307" s="470" t="n"/>
      <c r="AJ307" s="470" t="n"/>
    </row>
    <row r="308">
      <c r="A308" s="489" t="n"/>
      <c r="B308" s="489" t="n"/>
      <c r="C308" s="489" t="n"/>
      <c r="D308" s="489" t="n"/>
      <c r="E308" s="489" t="n"/>
      <c r="F308" s="489" t="n"/>
      <c r="G308" s="489" t="n"/>
      <c r="H308" s="489" t="n"/>
      <c r="I308" s="489" t="n"/>
      <c r="J308" s="489" t="n"/>
      <c r="K308" s="489" t="n"/>
      <c r="L308" s="470" t="n"/>
      <c r="M308" s="470" t="n"/>
      <c r="N308" s="470" t="n"/>
      <c r="O308" s="470" t="n"/>
      <c r="P308" s="470" t="n"/>
      <c r="Q308" s="470" t="n"/>
      <c r="R308" s="470" t="n"/>
      <c r="S308" s="470" t="n"/>
      <c r="T308" s="470" t="n"/>
      <c r="U308" s="470" t="n"/>
      <c r="V308" s="470" t="n"/>
      <c r="W308" s="470" t="n"/>
      <c r="X308" s="470" t="n"/>
      <c r="Y308" s="470" t="n"/>
      <c r="Z308" s="470" t="n"/>
      <c r="AA308" s="470" t="n"/>
      <c r="AB308" s="470" t="n"/>
      <c r="AC308" s="470" t="n"/>
      <c r="AD308" s="470" t="n"/>
      <c r="AE308" s="470" t="n"/>
      <c r="AF308" s="470" t="n"/>
      <c r="AG308" s="470" t="n"/>
      <c r="AH308" s="470" t="n"/>
      <c r="AI308" s="470" t="n"/>
      <c r="AJ308" s="470" t="n"/>
    </row>
    <row r="309">
      <c r="A309" s="489" t="n"/>
      <c r="B309" s="489" t="n"/>
      <c r="C309" s="489" t="n"/>
      <c r="D309" s="489" t="n"/>
      <c r="E309" s="489" t="n"/>
      <c r="F309" s="489" t="n"/>
      <c r="G309" s="489" t="n"/>
      <c r="H309" s="489" t="n"/>
      <c r="I309" s="489" t="n"/>
      <c r="J309" s="489" t="n"/>
      <c r="K309" s="489" t="n"/>
      <c r="L309" s="470" t="n"/>
      <c r="M309" s="470" t="n"/>
      <c r="N309" s="470" t="n"/>
      <c r="O309" s="470" t="n"/>
      <c r="P309" s="470" t="n"/>
      <c r="Q309" s="470" t="n"/>
      <c r="R309" s="470" t="n"/>
      <c r="S309" s="470" t="n"/>
      <c r="T309" s="470" t="n"/>
      <c r="U309" s="470" t="n"/>
      <c r="V309" s="470" t="n"/>
      <c r="W309" s="470" t="n"/>
      <c r="X309" s="470" t="n"/>
      <c r="Y309" s="470" t="n"/>
      <c r="Z309" s="470" t="n"/>
      <c r="AA309" s="470" t="n"/>
      <c r="AB309" s="470" t="n"/>
      <c r="AC309" s="470" t="n"/>
      <c r="AD309" s="470" t="n"/>
      <c r="AE309" s="470" t="n"/>
      <c r="AF309" s="470" t="n"/>
      <c r="AG309" s="470" t="n"/>
      <c r="AH309" s="470" t="n"/>
      <c r="AI309" s="470" t="n"/>
      <c r="AJ309" s="470" t="n"/>
    </row>
    <row r="310">
      <c r="A310" s="489" t="n"/>
      <c r="B310" s="489" t="n"/>
      <c r="C310" s="489" t="n"/>
      <c r="D310" s="489" t="n"/>
      <c r="E310" s="489" t="n"/>
      <c r="F310" s="489" t="n"/>
      <c r="G310" s="489" t="n"/>
      <c r="H310" s="489" t="n"/>
      <c r="I310" s="489" t="n"/>
      <c r="J310" s="489" t="n"/>
      <c r="K310" s="489" t="n"/>
      <c r="L310" s="470" t="n"/>
      <c r="M310" s="470" t="n"/>
      <c r="N310" s="470" t="n"/>
      <c r="O310" s="470" t="n"/>
      <c r="P310" s="470" t="n"/>
      <c r="Q310" s="470" t="n"/>
      <c r="R310" s="470" t="n"/>
      <c r="S310" s="470" t="n"/>
      <c r="T310" s="470" t="n"/>
      <c r="U310" s="470" t="n"/>
      <c r="V310" s="470" t="n"/>
      <c r="W310" s="470" t="n"/>
      <c r="X310" s="470" t="n"/>
      <c r="Y310" s="470" t="n"/>
      <c r="Z310" s="470" t="n"/>
      <c r="AA310" s="470" t="n"/>
      <c r="AB310" s="470" t="n"/>
      <c r="AC310" s="470" t="n"/>
      <c r="AD310" s="470" t="n"/>
      <c r="AE310" s="470" t="n"/>
      <c r="AF310" s="470" t="n"/>
      <c r="AG310" s="470" t="n"/>
      <c r="AH310" s="470" t="n"/>
      <c r="AI310" s="470" t="n"/>
      <c r="AJ310" s="470" t="n"/>
    </row>
    <row r="311">
      <c r="A311" s="489" t="n"/>
      <c r="B311" s="489" t="n"/>
      <c r="C311" s="489" t="n"/>
      <c r="D311" s="489" t="n"/>
      <c r="E311" s="489" t="n"/>
      <c r="F311" s="489" t="n"/>
      <c r="G311" s="489" t="n"/>
      <c r="H311" s="489" t="n"/>
      <c r="I311" s="489" t="n"/>
      <c r="J311" s="489" t="n"/>
      <c r="K311" s="489" t="n"/>
      <c r="L311" s="470" t="n"/>
      <c r="M311" s="470" t="n"/>
      <c r="N311" s="470" t="n"/>
      <c r="O311" s="470" t="n"/>
      <c r="P311" s="470" t="n"/>
      <c r="Q311" s="470" t="n"/>
      <c r="R311" s="470" t="n"/>
      <c r="S311" s="470" t="n"/>
      <c r="T311" s="470" t="n"/>
      <c r="U311" s="470" t="n"/>
      <c r="V311" s="470" t="n"/>
      <c r="W311" s="470" t="n"/>
      <c r="X311" s="470" t="n"/>
      <c r="Y311" s="470" t="n"/>
      <c r="Z311" s="470" t="n"/>
      <c r="AA311" s="470" t="n"/>
      <c r="AB311" s="470" t="n"/>
      <c r="AC311" s="470" t="n"/>
      <c r="AD311" s="470" t="n"/>
      <c r="AE311" s="470" t="n"/>
      <c r="AF311" s="470" t="n"/>
      <c r="AG311" s="470" t="n"/>
      <c r="AH311" s="470" t="n"/>
      <c r="AI311" s="470" t="n"/>
      <c r="AJ311" s="470" t="n"/>
    </row>
    <row r="312">
      <c r="A312" s="489" t="n"/>
      <c r="B312" s="489" t="n"/>
      <c r="C312" s="489" t="n"/>
      <c r="D312" s="489" t="n"/>
      <c r="E312" s="489" t="n"/>
      <c r="F312" s="489" t="n"/>
      <c r="G312" s="489" t="n"/>
      <c r="H312" s="489" t="n"/>
      <c r="I312" s="489" t="n"/>
      <c r="J312" s="489" t="n"/>
      <c r="K312" s="489" t="n"/>
      <c r="L312" s="470" t="n"/>
      <c r="M312" s="470" t="n"/>
      <c r="N312" s="470" t="n"/>
      <c r="O312" s="470" t="n"/>
      <c r="P312" s="470" t="n"/>
      <c r="Q312" s="470" t="n"/>
      <c r="R312" s="470" t="n"/>
      <c r="S312" s="470" t="n"/>
      <c r="T312" s="470" t="n"/>
      <c r="U312" s="470" t="n"/>
      <c r="V312" s="470" t="n"/>
      <c r="W312" s="470" t="n"/>
      <c r="X312" s="470" t="n"/>
      <c r="Y312" s="470" t="n"/>
      <c r="Z312" s="470" t="n"/>
      <c r="AA312" s="470" t="n"/>
      <c r="AB312" s="470" t="n"/>
      <c r="AC312" s="470" t="n"/>
      <c r="AD312" s="470" t="n"/>
      <c r="AE312" s="470" t="n"/>
      <c r="AF312" s="470" t="n"/>
      <c r="AG312" s="470" t="n"/>
      <c r="AH312" s="470" t="n"/>
      <c r="AI312" s="470" t="n"/>
      <c r="AJ312" s="470" t="n"/>
    </row>
    <row r="313">
      <c r="A313" s="489" t="n"/>
      <c r="B313" s="489" t="n"/>
      <c r="C313" s="489" t="n"/>
      <c r="D313" s="489" t="n"/>
      <c r="E313" s="489" t="n"/>
      <c r="F313" s="489" t="n"/>
      <c r="G313" s="489" t="n"/>
      <c r="H313" s="489" t="n"/>
      <c r="I313" s="489" t="n"/>
      <c r="J313" s="489" t="n"/>
      <c r="K313" s="489" t="n"/>
      <c r="L313" s="470" t="n"/>
      <c r="M313" s="470" t="n"/>
      <c r="N313" s="470" t="n"/>
      <c r="O313" s="470" t="n"/>
      <c r="P313" s="470" t="n"/>
      <c r="Q313" s="470" t="n"/>
      <c r="R313" s="470" t="n"/>
      <c r="S313" s="470" t="n"/>
      <c r="T313" s="470" t="n"/>
      <c r="U313" s="470" t="n"/>
      <c r="V313" s="470" t="n"/>
      <c r="W313" s="470" t="n"/>
      <c r="X313" s="470" t="n"/>
      <c r="Y313" s="470" t="n"/>
      <c r="Z313" s="470" t="n"/>
      <c r="AA313" s="470" t="n"/>
      <c r="AB313" s="470" t="n"/>
      <c r="AC313" s="470" t="n"/>
      <c r="AD313" s="470" t="n"/>
      <c r="AE313" s="470" t="n"/>
      <c r="AF313" s="470" t="n"/>
      <c r="AG313" s="470" t="n"/>
      <c r="AH313" s="470" t="n"/>
      <c r="AI313" s="470" t="n"/>
      <c r="AJ313" s="470" t="n"/>
    </row>
    <row r="314">
      <c r="A314" s="489" t="n"/>
      <c r="B314" s="489" t="n"/>
      <c r="C314" s="489" t="n"/>
      <c r="D314" s="489" t="n"/>
      <c r="E314" s="489" t="n"/>
      <c r="F314" s="489" t="n"/>
      <c r="G314" s="489" t="n"/>
      <c r="H314" s="489" t="n"/>
      <c r="I314" s="489" t="n"/>
      <c r="J314" s="489" t="n"/>
      <c r="K314" s="489" t="n"/>
      <c r="L314" s="470" t="n"/>
      <c r="M314" s="470" t="n"/>
      <c r="N314" s="470" t="n"/>
      <c r="O314" s="470" t="n"/>
      <c r="P314" s="470" t="n"/>
      <c r="Q314" s="470" t="n"/>
      <c r="R314" s="470" t="n"/>
      <c r="S314" s="470" t="n"/>
      <c r="T314" s="470" t="n"/>
      <c r="U314" s="470" t="n"/>
      <c r="V314" s="470" t="n"/>
      <c r="W314" s="470" t="n"/>
      <c r="X314" s="470" t="n"/>
      <c r="Y314" s="470" t="n"/>
      <c r="Z314" s="470" t="n"/>
      <c r="AA314" s="470" t="n"/>
      <c r="AB314" s="470" t="n"/>
      <c r="AC314" s="470" t="n"/>
      <c r="AD314" s="470" t="n"/>
      <c r="AE314" s="470" t="n"/>
      <c r="AF314" s="470" t="n"/>
      <c r="AG314" s="470" t="n"/>
      <c r="AH314" s="470" t="n"/>
      <c r="AI314" s="470" t="n"/>
      <c r="AJ314" s="470" t="n"/>
    </row>
    <row r="315">
      <c r="A315" s="489" t="n"/>
      <c r="B315" s="489" t="n"/>
      <c r="C315" s="489" t="n"/>
      <c r="D315" s="489" t="n"/>
      <c r="E315" s="489" t="n"/>
      <c r="F315" s="489" t="n"/>
      <c r="G315" s="489" t="n"/>
      <c r="H315" s="489" t="n"/>
      <c r="I315" s="489" t="n"/>
      <c r="J315" s="489" t="n"/>
      <c r="K315" s="489" t="n"/>
      <c r="L315" s="470" t="n"/>
      <c r="M315" s="470" t="n"/>
      <c r="N315" s="470" t="n"/>
      <c r="O315" s="470" t="n"/>
      <c r="P315" s="470" t="n"/>
      <c r="Q315" s="470" t="n"/>
      <c r="R315" s="470" t="n"/>
      <c r="S315" s="470" t="n"/>
      <c r="T315" s="470" t="n"/>
      <c r="U315" s="470" t="n"/>
      <c r="V315" s="470" t="n"/>
      <c r="W315" s="470" t="n"/>
      <c r="X315" s="470" t="n"/>
      <c r="Y315" s="470" t="n"/>
      <c r="Z315" s="470" t="n"/>
      <c r="AA315" s="470" t="n"/>
      <c r="AB315" s="470" t="n"/>
      <c r="AC315" s="470" t="n"/>
      <c r="AD315" s="470" t="n"/>
      <c r="AE315" s="470" t="n"/>
      <c r="AF315" s="470" t="n"/>
      <c r="AG315" s="470" t="n"/>
      <c r="AH315" s="470" t="n"/>
      <c r="AI315" s="470" t="n"/>
      <c r="AJ315" s="470" t="n"/>
    </row>
    <row r="316">
      <c r="A316" s="489" t="n"/>
      <c r="B316" s="489" t="n"/>
      <c r="C316" s="489" t="n"/>
      <c r="D316" s="489" t="n"/>
      <c r="E316" s="489" t="n"/>
      <c r="F316" s="489" t="n"/>
      <c r="G316" s="489" t="n"/>
      <c r="H316" s="489" t="n"/>
      <c r="I316" s="489" t="n"/>
      <c r="J316" s="489" t="n"/>
      <c r="K316" s="489" t="n"/>
      <c r="L316" s="470" t="n"/>
      <c r="M316" s="470" t="n"/>
      <c r="N316" s="470" t="n"/>
      <c r="O316" s="470" t="n"/>
      <c r="P316" s="470" t="n"/>
      <c r="Q316" s="470" t="n"/>
      <c r="R316" s="470" t="n"/>
      <c r="S316" s="470" t="n"/>
      <c r="T316" s="470" t="n"/>
      <c r="U316" s="470" t="n"/>
      <c r="V316" s="470" t="n"/>
      <c r="W316" s="470" t="n"/>
      <c r="X316" s="470" t="n"/>
      <c r="Y316" s="470" t="n"/>
      <c r="Z316" s="470" t="n"/>
      <c r="AA316" s="470" t="n"/>
      <c r="AB316" s="470" t="n"/>
      <c r="AC316" s="470" t="n"/>
      <c r="AD316" s="470" t="n"/>
      <c r="AE316" s="470" t="n"/>
      <c r="AF316" s="470" t="n"/>
      <c r="AG316" s="470" t="n"/>
      <c r="AH316" s="470" t="n"/>
      <c r="AI316" s="470" t="n"/>
      <c r="AJ316" s="470" t="n"/>
    </row>
    <row r="317">
      <c r="A317" s="489" t="n"/>
      <c r="B317" s="489" t="n"/>
      <c r="C317" s="489" t="n"/>
      <c r="D317" s="489" t="n"/>
      <c r="E317" s="489" t="n"/>
      <c r="F317" s="489" t="n"/>
      <c r="G317" s="489" t="n"/>
      <c r="H317" s="489" t="n"/>
      <c r="I317" s="489" t="n"/>
      <c r="J317" s="489" t="n"/>
      <c r="K317" s="489" t="n"/>
      <c r="L317" s="470" t="n"/>
      <c r="M317" s="470" t="n"/>
      <c r="N317" s="470" t="n"/>
      <c r="O317" s="470" t="n"/>
      <c r="P317" s="470" t="n"/>
      <c r="Q317" s="470" t="n"/>
      <c r="R317" s="470" t="n"/>
      <c r="S317" s="470" t="n"/>
      <c r="T317" s="470" t="n"/>
      <c r="U317" s="470" t="n"/>
      <c r="V317" s="470" t="n"/>
      <c r="W317" s="470" t="n"/>
      <c r="X317" s="470" t="n"/>
      <c r="Y317" s="470" t="n"/>
      <c r="Z317" s="470" t="n"/>
      <c r="AA317" s="470" t="n"/>
      <c r="AB317" s="470" t="n"/>
      <c r="AC317" s="470" t="n"/>
      <c r="AD317" s="470" t="n"/>
      <c r="AE317" s="470" t="n"/>
      <c r="AF317" s="470" t="n"/>
      <c r="AG317" s="470" t="n"/>
      <c r="AH317" s="470" t="n"/>
      <c r="AI317" s="470" t="n"/>
      <c r="AJ317" s="470" t="n"/>
    </row>
    <row r="318">
      <c r="A318" s="489" t="n"/>
      <c r="B318" s="489" t="n"/>
      <c r="C318" s="489" t="n"/>
      <c r="D318" s="489" t="n"/>
      <c r="E318" s="489" t="n"/>
      <c r="F318" s="489" t="n"/>
      <c r="G318" s="489" t="n"/>
      <c r="H318" s="489" t="n"/>
      <c r="I318" s="489" t="n"/>
      <c r="J318" s="489" t="n"/>
      <c r="K318" s="489" t="n"/>
      <c r="L318" s="470" t="n"/>
      <c r="M318" s="470" t="n"/>
      <c r="N318" s="470" t="n"/>
      <c r="O318" s="470" t="n"/>
      <c r="P318" s="470" t="n"/>
      <c r="Q318" s="470" t="n"/>
      <c r="R318" s="470" t="n"/>
      <c r="S318" s="470" t="n"/>
      <c r="T318" s="470" t="n"/>
      <c r="U318" s="470" t="n"/>
      <c r="V318" s="470" t="n"/>
      <c r="W318" s="470" t="n"/>
      <c r="X318" s="470" t="n"/>
      <c r="Y318" s="470" t="n"/>
      <c r="Z318" s="470" t="n"/>
      <c r="AA318" s="470" t="n"/>
      <c r="AB318" s="470" t="n"/>
      <c r="AC318" s="470" t="n"/>
      <c r="AD318" s="470" t="n"/>
      <c r="AE318" s="470" t="n"/>
      <c r="AF318" s="470" t="n"/>
      <c r="AG318" s="470" t="n"/>
      <c r="AH318" s="470" t="n"/>
      <c r="AI318" s="470" t="n"/>
      <c r="AJ318" s="470" t="n"/>
    </row>
    <row r="319">
      <c r="A319" s="489" t="n"/>
      <c r="B319" s="489" t="n"/>
      <c r="C319" s="489" t="n"/>
      <c r="D319" s="489" t="n"/>
      <c r="E319" s="489" t="n"/>
      <c r="F319" s="489" t="n"/>
      <c r="G319" s="489" t="n"/>
      <c r="H319" s="489" t="n"/>
      <c r="I319" s="489" t="n"/>
      <c r="J319" s="489" t="n"/>
      <c r="K319" s="489" t="n"/>
      <c r="L319" s="470" t="n"/>
      <c r="M319" s="470" t="n"/>
      <c r="N319" s="470" t="n"/>
      <c r="O319" s="470" t="n"/>
      <c r="P319" s="470" t="n"/>
      <c r="Q319" s="470" t="n"/>
      <c r="R319" s="470" t="n"/>
      <c r="S319" s="470" t="n"/>
      <c r="T319" s="470" t="n"/>
      <c r="U319" s="470" t="n"/>
      <c r="V319" s="470" t="n"/>
      <c r="W319" s="470" t="n"/>
      <c r="X319" s="470" t="n"/>
      <c r="Y319" s="470" t="n"/>
      <c r="Z319" s="470" t="n"/>
      <c r="AA319" s="470" t="n"/>
      <c r="AB319" s="470" t="n"/>
      <c r="AC319" s="470" t="n"/>
      <c r="AD319" s="470" t="n"/>
      <c r="AE319" s="470" t="n"/>
      <c r="AF319" s="470" t="n"/>
      <c r="AG319" s="470" t="n"/>
      <c r="AH319" s="470" t="n"/>
      <c r="AI319" s="470" t="n"/>
      <c r="AJ319" s="470" t="n"/>
    </row>
    <row r="320">
      <c r="A320" s="489" t="n"/>
      <c r="B320" s="489" t="n"/>
      <c r="C320" s="489" t="n"/>
      <c r="D320" s="489" t="n"/>
      <c r="E320" s="489" t="n"/>
      <c r="F320" s="489" t="n"/>
      <c r="G320" s="489" t="n"/>
      <c r="H320" s="489" t="n"/>
      <c r="I320" s="489" t="n"/>
      <c r="J320" s="489" t="n"/>
      <c r="K320" s="489" t="n"/>
      <c r="L320" s="470" t="n"/>
      <c r="M320" s="470" t="n"/>
      <c r="N320" s="470" t="n"/>
      <c r="O320" s="470" t="n"/>
      <c r="P320" s="470" t="n"/>
      <c r="Q320" s="470" t="n"/>
      <c r="R320" s="470" t="n"/>
      <c r="S320" s="470" t="n"/>
      <c r="T320" s="470" t="n"/>
      <c r="U320" s="470" t="n"/>
      <c r="V320" s="470" t="n"/>
      <c r="W320" s="470" t="n"/>
      <c r="X320" s="470" t="n"/>
      <c r="Y320" s="470" t="n"/>
      <c r="Z320" s="470" t="n"/>
      <c r="AA320" s="470" t="n"/>
      <c r="AB320" s="470" t="n"/>
      <c r="AC320" s="470" t="n"/>
      <c r="AD320" s="470" t="n"/>
      <c r="AE320" s="470" t="n"/>
      <c r="AF320" s="470" t="n"/>
      <c r="AG320" s="470" t="n"/>
      <c r="AH320" s="470" t="n"/>
      <c r="AI320" s="470" t="n"/>
      <c r="AJ320" s="470" t="n"/>
    </row>
    <row r="321">
      <c r="A321" s="489" t="n"/>
      <c r="B321" s="489" t="n"/>
      <c r="C321" s="489" t="n"/>
      <c r="D321" s="489" t="n"/>
      <c r="E321" s="489" t="n"/>
      <c r="F321" s="489" t="n"/>
      <c r="G321" s="489" t="n"/>
      <c r="H321" s="489" t="n"/>
      <c r="I321" s="489" t="n"/>
      <c r="J321" s="489" t="n"/>
      <c r="K321" s="489" t="n"/>
      <c r="L321" s="470" t="n"/>
      <c r="M321" s="470" t="n"/>
      <c r="N321" s="470" t="n"/>
      <c r="O321" s="470" t="n"/>
      <c r="P321" s="470" t="n"/>
      <c r="Q321" s="470" t="n"/>
      <c r="R321" s="470" t="n"/>
      <c r="S321" s="470" t="n"/>
      <c r="T321" s="470" t="n"/>
      <c r="U321" s="470" t="n"/>
      <c r="V321" s="470" t="n"/>
      <c r="W321" s="470" t="n"/>
      <c r="X321" s="470" t="n"/>
      <c r="Y321" s="470" t="n"/>
      <c r="Z321" s="470" t="n"/>
      <c r="AA321" s="470" t="n"/>
      <c r="AB321" s="470" t="n"/>
      <c r="AC321" s="470" t="n"/>
      <c r="AD321" s="470" t="n"/>
      <c r="AE321" s="470" t="n"/>
      <c r="AF321" s="470" t="n"/>
      <c r="AG321" s="470" t="n"/>
      <c r="AH321" s="470" t="n"/>
      <c r="AI321" s="470" t="n"/>
      <c r="AJ321" s="470" t="n"/>
    </row>
    <row r="322">
      <c r="A322" s="489" t="n"/>
      <c r="B322" s="489" t="n"/>
      <c r="C322" s="489" t="n"/>
      <c r="D322" s="489" t="n"/>
      <c r="E322" s="489" t="n"/>
      <c r="F322" s="489" t="n"/>
      <c r="G322" s="489" t="n"/>
      <c r="H322" s="489" t="n"/>
      <c r="I322" s="489" t="n"/>
      <c r="J322" s="489" t="n"/>
      <c r="K322" s="489" t="n"/>
      <c r="L322" s="470" t="n"/>
      <c r="M322" s="470" t="n"/>
      <c r="N322" s="470" t="n"/>
      <c r="O322" s="470" t="n"/>
      <c r="P322" s="470" t="n"/>
      <c r="Q322" s="470" t="n"/>
      <c r="R322" s="470" t="n"/>
      <c r="S322" s="470" t="n"/>
      <c r="T322" s="470" t="n"/>
      <c r="U322" s="470" t="n"/>
      <c r="V322" s="470" t="n"/>
      <c r="W322" s="470" t="n"/>
      <c r="X322" s="470" t="n"/>
      <c r="Y322" s="470" t="n"/>
      <c r="Z322" s="470" t="n"/>
      <c r="AA322" s="470" t="n"/>
      <c r="AB322" s="470" t="n"/>
      <c r="AC322" s="470" t="n"/>
      <c r="AD322" s="470" t="n"/>
      <c r="AE322" s="470" t="n"/>
      <c r="AF322" s="470" t="n"/>
      <c r="AG322" s="470" t="n"/>
      <c r="AH322" s="470" t="n"/>
      <c r="AI322" s="470" t="n"/>
      <c r="AJ322" s="470" t="n"/>
    </row>
    <row r="323">
      <c r="A323" s="489" t="n"/>
      <c r="B323" s="489" t="n"/>
      <c r="C323" s="489" t="n"/>
      <c r="D323" s="489" t="n"/>
      <c r="E323" s="489" t="n"/>
      <c r="F323" s="489" t="n"/>
      <c r="G323" s="489" t="n"/>
      <c r="H323" s="489" t="n"/>
      <c r="I323" s="489" t="n"/>
      <c r="J323" s="489" t="n"/>
      <c r="K323" s="489" t="n"/>
      <c r="L323" s="470" t="n"/>
      <c r="M323" s="470" t="n"/>
      <c r="N323" s="470" t="n"/>
      <c r="O323" s="470" t="n"/>
      <c r="P323" s="470" t="n"/>
      <c r="Q323" s="470" t="n"/>
      <c r="R323" s="470" t="n"/>
      <c r="S323" s="470" t="n"/>
      <c r="T323" s="470" t="n"/>
      <c r="U323" s="470" t="n"/>
      <c r="V323" s="470" t="n"/>
      <c r="W323" s="470" t="n"/>
      <c r="X323" s="470" t="n"/>
      <c r="Y323" s="470" t="n"/>
      <c r="Z323" s="470" t="n"/>
      <c r="AA323" s="470" t="n"/>
      <c r="AB323" s="470" t="n"/>
      <c r="AC323" s="470" t="n"/>
      <c r="AD323" s="470" t="n"/>
      <c r="AE323" s="470" t="n"/>
      <c r="AF323" s="470" t="n"/>
      <c r="AG323" s="470" t="n"/>
      <c r="AH323" s="470" t="n"/>
      <c r="AI323" s="470" t="n"/>
      <c r="AJ323" s="470" t="n"/>
    </row>
    <row r="324">
      <c r="A324" s="489" t="n"/>
      <c r="B324" s="489" t="n"/>
      <c r="C324" s="489" t="n"/>
      <c r="D324" s="489" t="n"/>
      <c r="E324" s="489" t="n"/>
      <c r="F324" s="489" t="n"/>
      <c r="G324" s="489" t="n"/>
      <c r="H324" s="489" t="n"/>
      <c r="I324" s="489" t="n"/>
      <c r="J324" s="489" t="n"/>
      <c r="K324" s="489" t="n"/>
      <c r="L324" s="470" t="n"/>
      <c r="M324" s="470" t="n"/>
      <c r="N324" s="470" t="n"/>
      <c r="O324" s="470" t="n"/>
      <c r="P324" s="470" t="n"/>
      <c r="Q324" s="470" t="n"/>
      <c r="R324" s="470" t="n"/>
      <c r="S324" s="470" t="n"/>
      <c r="T324" s="470" t="n"/>
      <c r="U324" s="470" t="n"/>
      <c r="V324" s="470" t="n"/>
      <c r="W324" s="470" t="n"/>
      <c r="X324" s="470" t="n"/>
      <c r="Y324" s="470" t="n"/>
      <c r="Z324" s="470" t="n"/>
      <c r="AA324" s="470" t="n"/>
      <c r="AB324" s="470" t="n"/>
      <c r="AC324" s="470" t="n"/>
      <c r="AD324" s="470" t="n"/>
      <c r="AE324" s="470" t="n"/>
      <c r="AF324" s="470" t="n"/>
      <c r="AG324" s="470" t="n"/>
      <c r="AH324" s="470" t="n"/>
      <c r="AI324" s="470" t="n"/>
      <c r="AJ324" s="470" t="n"/>
    </row>
    <row r="325">
      <c r="A325" s="489" t="n"/>
      <c r="B325" s="489" t="n"/>
      <c r="C325" s="489" t="n"/>
      <c r="D325" s="489" t="n"/>
      <c r="E325" s="489" t="n"/>
      <c r="F325" s="489" t="n"/>
      <c r="G325" s="489" t="n"/>
      <c r="H325" s="489" t="n"/>
      <c r="I325" s="489" t="n"/>
      <c r="J325" s="489" t="n"/>
      <c r="K325" s="489" t="n"/>
      <c r="L325" s="470" t="n"/>
      <c r="M325" s="470" t="n"/>
      <c r="N325" s="470" t="n"/>
      <c r="O325" s="470" t="n"/>
      <c r="P325" s="470" t="n"/>
      <c r="Q325" s="470" t="n"/>
      <c r="R325" s="470" t="n"/>
      <c r="S325" s="470" t="n"/>
      <c r="T325" s="470" t="n"/>
      <c r="U325" s="470" t="n"/>
      <c r="V325" s="470" t="n"/>
      <c r="W325" s="470" t="n"/>
      <c r="X325" s="470" t="n"/>
      <c r="Y325" s="470" t="n"/>
      <c r="Z325" s="470" t="n"/>
      <c r="AA325" s="470" t="n"/>
      <c r="AB325" s="470" t="n"/>
      <c r="AC325" s="470" t="n"/>
      <c r="AD325" s="470" t="n"/>
      <c r="AE325" s="470" t="n"/>
      <c r="AF325" s="470" t="n"/>
      <c r="AG325" s="470" t="n"/>
      <c r="AH325" s="470" t="n"/>
      <c r="AI325" s="470" t="n"/>
      <c r="AJ325" s="470" t="n"/>
    </row>
    <row r="326">
      <c r="A326" s="489" t="n"/>
      <c r="B326" s="489" t="n"/>
      <c r="C326" s="489" t="n"/>
      <c r="D326" s="489" t="n"/>
      <c r="E326" s="489" t="n"/>
      <c r="F326" s="489" t="n"/>
      <c r="G326" s="489" t="n"/>
      <c r="H326" s="489" t="n"/>
      <c r="I326" s="489" t="n"/>
      <c r="J326" s="489" t="n"/>
      <c r="K326" s="489" t="n"/>
      <c r="L326" s="470" t="n"/>
      <c r="M326" s="470" t="n"/>
      <c r="N326" s="470" t="n"/>
      <c r="O326" s="470" t="n"/>
      <c r="P326" s="470" t="n"/>
      <c r="Q326" s="470" t="n"/>
      <c r="R326" s="470" t="n"/>
      <c r="S326" s="470" t="n"/>
      <c r="T326" s="470" t="n"/>
      <c r="U326" s="470" t="n"/>
      <c r="V326" s="470" t="n"/>
      <c r="W326" s="470" t="n"/>
      <c r="X326" s="470" t="n"/>
      <c r="Y326" s="470" t="n"/>
      <c r="Z326" s="470" t="n"/>
      <c r="AA326" s="470" t="n"/>
      <c r="AB326" s="470" t="n"/>
      <c r="AC326" s="470" t="n"/>
      <c r="AD326" s="470" t="n"/>
      <c r="AE326" s="470" t="n"/>
      <c r="AF326" s="470" t="n"/>
      <c r="AG326" s="470" t="n"/>
      <c r="AH326" s="470" t="n"/>
      <c r="AI326" s="470" t="n"/>
      <c r="AJ326" s="470" t="n"/>
    </row>
    <row r="327">
      <c r="A327" s="489" t="n"/>
      <c r="B327" s="489" t="n"/>
      <c r="C327" s="489" t="n"/>
      <c r="D327" s="489" t="n"/>
      <c r="E327" s="489" t="n"/>
      <c r="F327" s="489" t="n"/>
      <c r="G327" s="489" t="n"/>
      <c r="H327" s="489" t="n"/>
      <c r="I327" s="489" t="n"/>
      <c r="J327" s="489" t="n"/>
      <c r="K327" s="489" t="n"/>
      <c r="L327" s="470" t="n"/>
      <c r="M327" s="470" t="n"/>
      <c r="N327" s="470" t="n"/>
      <c r="O327" s="470" t="n"/>
      <c r="P327" s="470" t="n"/>
      <c r="Q327" s="470" t="n"/>
      <c r="R327" s="470" t="n"/>
      <c r="S327" s="470" t="n"/>
      <c r="T327" s="470" t="n"/>
      <c r="U327" s="470" t="n"/>
      <c r="V327" s="470" t="n"/>
      <c r="W327" s="470" t="n"/>
      <c r="X327" s="470" t="n"/>
      <c r="Y327" s="470" t="n"/>
      <c r="Z327" s="470" t="n"/>
      <c r="AA327" s="470" t="n"/>
      <c r="AB327" s="470" t="n"/>
      <c r="AC327" s="470" t="n"/>
      <c r="AD327" s="470" t="n"/>
      <c r="AE327" s="470" t="n"/>
      <c r="AF327" s="470" t="n"/>
      <c r="AG327" s="470" t="n"/>
      <c r="AH327" s="470" t="n"/>
      <c r="AI327" s="470" t="n"/>
      <c r="AJ327" s="470" t="n"/>
    </row>
    <row r="328">
      <c r="A328" s="489" t="n"/>
      <c r="B328" s="489" t="n"/>
      <c r="C328" s="489" t="n"/>
      <c r="D328" s="489" t="n"/>
      <c r="E328" s="489" t="n"/>
      <c r="F328" s="489" t="n"/>
      <c r="G328" s="489" t="n"/>
      <c r="H328" s="489" t="n"/>
      <c r="I328" s="489" t="n"/>
      <c r="J328" s="489" t="n"/>
      <c r="K328" s="489" t="n"/>
      <c r="L328" s="470" t="n"/>
      <c r="M328" s="470" t="n"/>
      <c r="N328" s="470" t="n"/>
      <c r="O328" s="470" t="n"/>
      <c r="P328" s="470" t="n"/>
      <c r="Q328" s="470" t="n"/>
      <c r="R328" s="470" t="n"/>
      <c r="S328" s="470" t="n"/>
      <c r="T328" s="470" t="n"/>
      <c r="U328" s="470" t="n"/>
      <c r="V328" s="470" t="n"/>
      <c r="W328" s="470" t="n"/>
      <c r="X328" s="470" t="n"/>
      <c r="Y328" s="470" t="n"/>
      <c r="Z328" s="470" t="n"/>
      <c r="AA328" s="470" t="n"/>
      <c r="AB328" s="470" t="n"/>
      <c r="AC328" s="470" t="n"/>
      <c r="AD328" s="470" t="n"/>
      <c r="AE328" s="470" t="n"/>
      <c r="AF328" s="470" t="n"/>
      <c r="AG328" s="470" t="n"/>
      <c r="AH328" s="470" t="n"/>
      <c r="AI328" s="470" t="n"/>
      <c r="AJ328" s="470" t="n"/>
    </row>
    <row r="329">
      <c r="A329" s="489" t="n"/>
      <c r="B329" s="489" t="n"/>
      <c r="C329" s="489" t="n"/>
      <c r="D329" s="489" t="n"/>
      <c r="E329" s="489" t="n"/>
      <c r="F329" s="489" t="n"/>
      <c r="G329" s="489" t="n"/>
      <c r="H329" s="489" t="n"/>
      <c r="I329" s="489" t="n"/>
      <c r="J329" s="489" t="n"/>
      <c r="K329" s="489" t="n"/>
      <c r="L329" s="470" t="n"/>
      <c r="M329" s="470" t="n"/>
      <c r="N329" s="470" t="n"/>
      <c r="O329" s="470" t="n"/>
      <c r="P329" s="470" t="n"/>
      <c r="Q329" s="470" t="n"/>
      <c r="R329" s="470" t="n"/>
      <c r="S329" s="470" t="n"/>
      <c r="T329" s="470" t="n"/>
      <c r="U329" s="470" t="n"/>
      <c r="V329" s="470" t="n"/>
      <c r="W329" s="470" t="n"/>
      <c r="X329" s="470" t="n"/>
      <c r="Y329" s="470" t="n"/>
      <c r="Z329" s="470" t="n"/>
      <c r="AA329" s="470" t="n"/>
      <c r="AB329" s="470" t="n"/>
      <c r="AC329" s="470" t="n"/>
      <c r="AD329" s="470" t="n"/>
      <c r="AE329" s="470" t="n"/>
      <c r="AF329" s="470" t="n"/>
      <c r="AG329" s="470" t="n"/>
      <c r="AH329" s="470" t="n"/>
      <c r="AI329" s="470" t="n"/>
      <c r="AJ329" s="470" t="n"/>
    </row>
    <row r="330">
      <c r="A330" s="489" t="n"/>
      <c r="B330" s="489" t="n"/>
      <c r="C330" s="489" t="n"/>
      <c r="D330" s="489" t="n"/>
      <c r="E330" s="489" t="n"/>
      <c r="F330" s="489" t="n"/>
      <c r="G330" s="489" t="n"/>
      <c r="H330" s="489" t="n"/>
      <c r="I330" s="489" t="n"/>
      <c r="J330" s="489" t="n"/>
      <c r="K330" s="489" t="n"/>
      <c r="L330" s="470" t="n"/>
      <c r="M330" s="470" t="n"/>
      <c r="N330" s="470" t="n"/>
      <c r="O330" s="470" t="n"/>
      <c r="P330" s="470" t="n"/>
      <c r="Q330" s="470" t="n"/>
      <c r="R330" s="470" t="n"/>
      <c r="S330" s="470" t="n"/>
      <c r="T330" s="470" t="n"/>
      <c r="U330" s="470" t="n"/>
      <c r="V330" s="470" t="n"/>
      <c r="W330" s="470" t="n"/>
      <c r="X330" s="470" t="n"/>
      <c r="Y330" s="470" t="n"/>
      <c r="Z330" s="470" t="n"/>
      <c r="AA330" s="470" t="n"/>
      <c r="AB330" s="470" t="n"/>
      <c r="AC330" s="470" t="n"/>
      <c r="AD330" s="470" t="n"/>
      <c r="AE330" s="470" t="n"/>
      <c r="AF330" s="470" t="n"/>
      <c r="AG330" s="470" t="n"/>
      <c r="AH330" s="470" t="n"/>
      <c r="AI330" s="470" t="n"/>
      <c r="AJ330" s="470" t="n"/>
    </row>
    <row r="331">
      <c r="A331" s="489" t="n"/>
      <c r="B331" s="489" t="n"/>
      <c r="C331" s="489" t="n"/>
      <c r="D331" s="489" t="n"/>
      <c r="E331" s="489" t="n"/>
      <c r="F331" s="489" t="n"/>
      <c r="G331" s="489" t="n"/>
      <c r="H331" s="489" t="n"/>
      <c r="I331" s="489" t="n"/>
      <c r="J331" s="489" t="n"/>
      <c r="K331" s="489" t="n"/>
      <c r="L331" s="470" t="n"/>
      <c r="M331" s="470" t="n"/>
      <c r="N331" s="470" t="n"/>
      <c r="O331" s="470" t="n"/>
      <c r="P331" s="470" t="n"/>
      <c r="Q331" s="470" t="n"/>
      <c r="R331" s="470" t="n"/>
      <c r="S331" s="470" t="n"/>
      <c r="T331" s="470" t="n"/>
      <c r="U331" s="470" t="n"/>
      <c r="V331" s="470" t="n"/>
      <c r="W331" s="470" t="n"/>
      <c r="X331" s="470" t="n"/>
      <c r="Y331" s="470" t="n"/>
      <c r="Z331" s="470" t="n"/>
      <c r="AA331" s="470" t="n"/>
      <c r="AB331" s="470" t="n"/>
      <c r="AC331" s="470" t="n"/>
      <c r="AD331" s="470" t="n"/>
      <c r="AE331" s="470" t="n"/>
      <c r="AF331" s="470" t="n"/>
      <c r="AG331" s="470" t="n"/>
      <c r="AH331" s="470" t="n"/>
      <c r="AI331" s="470" t="n"/>
      <c r="AJ331" s="470" t="n"/>
    </row>
    <row r="332">
      <c r="A332" s="489" t="n"/>
      <c r="B332" s="489" t="n"/>
      <c r="C332" s="489" t="n"/>
      <c r="D332" s="489" t="n"/>
      <c r="E332" s="489" t="n"/>
      <c r="F332" s="489" t="n"/>
      <c r="G332" s="489" t="n"/>
      <c r="H332" s="489" t="n"/>
      <c r="I332" s="489" t="n"/>
      <c r="J332" s="489" t="n"/>
      <c r="K332" s="489" t="n"/>
      <c r="L332" s="470" t="n"/>
      <c r="M332" s="470" t="n"/>
      <c r="N332" s="470" t="n"/>
      <c r="O332" s="470" t="n"/>
      <c r="P332" s="470" t="n"/>
      <c r="Q332" s="470" t="n"/>
      <c r="R332" s="470" t="n"/>
      <c r="S332" s="470" t="n"/>
      <c r="T332" s="470" t="n"/>
      <c r="U332" s="470" t="n"/>
      <c r="V332" s="470" t="n"/>
      <c r="W332" s="470" t="n"/>
      <c r="X332" s="470" t="n"/>
      <c r="Y332" s="470" t="n"/>
      <c r="Z332" s="470" t="n"/>
      <c r="AA332" s="470" t="n"/>
      <c r="AB332" s="470" t="n"/>
      <c r="AC332" s="470" t="n"/>
      <c r="AD332" s="470" t="n"/>
      <c r="AE332" s="470" t="n"/>
      <c r="AF332" s="470" t="n"/>
      <c r="AG332" s="470" t="n"/>
      <c r="AH332" s="470" t="n"/>
      <c r="AI332" s="470" t="n"/>
      <c r="AJ332" s="470" t="n"/>
    </row>
    <row r="333">
      <c r="A333" s="489" t="n"/>
      <c r="B333" s="489" t="n"/>
      <c r="C333" s="489" t="n"/>
      <c r="D333" s="489" t="n"/>
      <c r="E333" s="489" t="n"/>
      <c r="F333" s="489" t="n"/>
      <c r="G333" s="489" t="n"/>
      <c r="H333" s="489" t="n"/>
      <c r="I333" s="489" t="n"/>
      <c r="J333" s="489" t="n"/>
      <c r="K333" s="489" t="n"/>
      <c r="L333" s="470" t="n"/>
      <c r="M333" s="470" t="n"/>
      <c r="N333" s="470" t="n"/>
      <c r="O333" s="470" t="n"/>
      <c r="P333" s="470" t="n"/>
      <c r="Q333" s="470" t="n"/>
      <c r="R333" s="470" t="n"/>
      <c r="S333" s="470" t="n"/>
      <c r="T333" s="470" t="n"/>
      <c r="U333" s="470" t="n"/>
      <c r="V333" s="470" t="n"/>
      <c r="W333" s="470" t="n"/>
      <c r="X333" s="470" t="n"/>
      <c r="Y333" s="470" t="n"/>
      <c r="Z333" s="470" t="n"/>
      <c r="AA333" s="470" t="n"/>
      <c r="AB333" s="470" t="n"/>
      <c r="AC333" s="470" t="n"/>
      <c r="AD333" s="470" t="n"/>
      <c r="AE333" s="470" t="n"/>
      <c r="AF333" s="470" t="n"/>
      <c r="AG333" s="470" t="n"/>
      <c r="AH333" s="470" t="n"/>
      <c r="AI333" s="470" t="n"/>
      <c r="AJ333" s="470" t="n"/>
    </row>
    <row r="334">
      <c r="A334" s="489" t="n"/>
      <c r="B334" s="489" t="n"/>
      <c r="C334" s="489" t="n"/>
      <c r="D334" s="489" t="n"/>
      <c r="E334" s="489" t="n"/>
      <c r="F334" s="489" t="n"/>
      <c r="G334" s="489" t="n"/>
      <c r="H334" s="489" t="n"/>
      <c r="I334" s="489" t="n"/>
      <c r="J334" s="489" t="n"/>
      <c r="K334" s="489" t="n"/>
      <c r="L334" s="470" t="n"/>
      <c r="M334" s="470" t="n"/>
      <c r="N334" s="470" t="n"/>
      <c r="O334" s="470" t="n"/>
      <c r="P334" s="470" t="n"/>
      <c r="Q334" s="470" t="n"/>
      <c r="R334" s="470" t="n"/>
      <c r="S334" s="470" t="n"/>
      <c r="T334" s="470" t="n"/>
      <c r="U334" s="470" t="n"/>
      <c r="V334" s="470" t="n"/>
      <c r="W334" s="470" t="n"/>
      <c r="X334" s="470" t="n"/>
      <c r="Y334" s="470" t="n"/>
      <c r="Z334" s="470" t="n"/>
      <c r="AA334" s="470" t="n"/>
      <c r="AB334" s="470" t="n"/>
      <c r="AC334" s="470" t="n"/>
      <c r="AD334" s="470" t="n"/>
      <c r="AE334" s="470" t="n"/>
      <c r="AF334" s="470" t="n"/>
      <c r="AG334" s="470" t="n"/>
      <c r="AH334" s="470" t="n"/>
      <c r="AI334" s="470" t="n"/>
      <c r="AJ334" s="470" t="n"/>
    </row>
    <row r="335">
      <c r="A335" s="489" t="n"/>
      <c r="B335" s="489" t="n"/>
      <c r="C335" s="489" t="n"/>
      <c r="D335" s="489" t="n"/>
      <c r="E335" s="489" t="n"/>
      <c r="F335" s="489" t="n"/>
      <c r="G335" s="489" t="n"/>
      <c r="H335" s="489" t="n"/>
      <c r="I335" s="489" t="n"/>
      <c r="J335" s="489" t="n"/>
      <c r="K335" s="489" t="n"/>
      <c r="L335" s="470" t="n"/>
      <c r="M335" s="470" t="n"/>
      <c r="N335" s="470" t="n"/>
      <c r="O335" s="470" t="n"/>
      <c r="P335" s="470" t="n"/>
      <c r="Q335" s="470" t="n"/>
      <c r="R335" s="470" t="n"/>
      <c r="S335" s="470" t="n"/>
      <c r="T335" s="470" t="n"/>
      <c r="U335" s="470" t="n"/>
      <c r="V335" s="470" t="n"/>
      <c r="W335" s="470" t="n"/>
      <c r="X335" s="470" t="n"/>
      <c r="Y335" s="470" t="n"/>
      <c r="Z335" s="470" t="n"/>
      <c r="AA335" s="470" t="n"/>
      <c r="AB335" s="470" t="n"/>
      <c r="AC335" s="470" t="n"/>
      <c r="AD335" s="470" t="n"/>
      <c r="AE335" s="470" t="n"/>
      <c r="AF335" s="470" t="n"/>
      <c r="AG335" s="470" t="n"/>
      <c r="AH335" s="470" t="n"/>
      <c r="AI335" s="470" t="n"/>
      <c r="AJ335" s="470" t="n"/>
    </row>
    <row r="336">
      <c r="A336" s="516" t="n"/>
      <c r="B336" s="516" t="n"/>
      <c r="C336" s="516" t="n"/>
      <c r="D336" s="516" t="n"/>
      <c r="E336" s="516" t="n"/>
      <c r="F336" s="516" t="n"/>
      <c r="G336" s="516" t="n"/>
      <c r="H336" s="516" t="n"/>
      <c r="I336" s="516" t="n"/>
      <c r="J336" s="516" t="n"/>
      <c r="K336" s="516" t="n"/>
    </row>
    <row r="337">
      <c r="A337" s="516" t="n"/>
      <c r="B337" s="516" t="n"/>
      <c r="C337" s="516" t="n"/>
      <c r="D337" s="516" t="n"/>
      <c r="E337" s="516" t="n"/>
      <c r="F337" s="516" t="n"/>
      <c r="G337" s="516" t="n"/>
      <c r="H337" s="516" t="n"/>
      <c r="I337" s="516" t="n"/>
      <c r="J337" s="516" t="n"/>
      <c r="K337" s="516" t="n"/>
    </row>
    <row r="338">
      <c r="A338" s="516" t="n"/>
      <c r="B338" s="516" t="n"/>
      <c r="C338" s="516" t="n"/>
      <c r="D338" s="516" t="n"/>
      <c r="E338" s="516" t="n"/>
      <c r="F338" s="516" t="n"/>
      <c r="G338" s="516" t="n"/>
      <c r="H338" s="516" t="n"/>
      <c r="I338" s="516" t="n"/>
      <c r="J338" s="516" t="n"/>
      <c r="K338" s="516" t="n"/>
    </row>
    <row r="339">
      <c r="A339" s="516" t="n"/>
      <c r="B339" s="516" t="n"/>
      <c r="C339" s="516" t="n"/>
      <c r="D339" s="516" t="n"/>
      <c r="E339" s="516" t="n"/>
      <c r="F339" s="516" t="n"/>
      <c r="G339" s="516" t="n"/>
      <c r="H339" s="516" t="n"/>
      <c r="I339" s="516" t="n"/>
      <c r="J339" s="516" t="n"/>
      <c r="K339" s="516" t="n"/>
    </row>
    <row r="340">
      <c r="A340" s="516" t="n"/>
      <c r="B340" s="516" t="n"/>
      <c r="C340" s="516" t="n"/>
      <c r="D340" s="516" t="n"/>
      <c r="E340" s="516" t="n"/>
      <c r="F340" s="516" t="n"/>
      <c r="G340" s="516" t="n"/>
      <c r="H340" s="516" t="n"/>
      <c r="I340" s="516" t="n"/>
      <c r="J340" s="516" t="n"/>
      <c r="K340" s="516" t="n"/>
    </row>
    <row r="341">
      <c r="A341" s="516" t="n"/>
      <c r="B341" s="516" t="n"/>
      <c r="C341" s="516" t="n"/>
      <c r="D341" s="516" t="n"/>
      <c r="E341" s="516" t="n"/>
      <c r="F341" s="516" t="n"/>
      <c r="G341" s="516" t="n"/>
      <c r="H341" s="516" t="n"/>
      <c r="I341" s="516" t="n"/>
      <c r="J341" s="516" t="n"/>
      <c r="K341" s="516" t="n"/>
    </row>
    <row r="342">
      <c r="A342" s="516" t="n"/>
      <c r="B342" s="516" t="n"/>
      <c r="C342" s="516" t="n"/>
      <c r="D342" s="516" t="n"/>
      <c r="E342" s="516" t="n"/>
      <c r="F342" s="516" t="n"/>
      <c r="G342" s="516" t="n"/>
      <c r="H342" s="516" t="n"/>
      <c r="I342" s="516" t="n"/>
      <c r="J342" s="516" t="n"/>
      <c r="K342" s="516" t="n"/>
    </row>
    <row r="343">
      <c r="A343" s="516" t="n"/>
      <c r="B343" s="516" t="n"/>
      <c r="C343" s="516" t="n"/>
      <c r="D343" s="516" t="n"/>
      <c r="E343" s="516" t="n"/>
      <c r="F343" s="516" t="n"/>
      <c r="G343" s="516" t="n"/>
      <c r="H343" s="516" t="n"/>
      <c r="I343" s="516" t="n"/>
      <c r="J343" s="516" t="n"/>
      <c r="K343" s="516" t="n"/>
    </row>
    <row r="344">
      <c r="A344" s="516" t="n"/>
      <c r="B344" s="516" t="n"/>
      <c r="C344" s="516" t="n"/>
      <c r="D344" s="516" t="n"/>
      <c r="E344" s="516" t="n"/>
      <c r="F344" s="516" t="n"/>
      <c r="G344" s="516" t="n"/>
      <c r="H344" s="516" t="n"/>
      <c r="I344" s="516" t="n"/>
      <c r="J344" s="516" t="n"/>
      <c r="K344" s="516" t="n"/>
    </row>
    <row r="345">
      <c r="A345" s="516" t="n"/>
      <c r="B345" s="516" t="n"/>
      <c r="C345" s="516" t="n"/>
      <c r="D345" s="516" t="n"/>
      <c r="E345" s="516" t="n"/>
      <c r="F345" s="516" t="n"/>
      <c r="G345" s="516" t="n"/>
      <c r="H345" s="516" t="n"/>
      <c r="I345" s="516" t="n"/>
      <c r="J345" s="516" t="n"/>
      <c r="K345" s="516" t="n"/>
    </row>
    <row r="346">
      <c r="A346" s="516" t="n"/>
      <c r="B346" s="516" t="n"/>
      <c r="C346" s="516" t="n"/>
      <c r="D346" s="516" t="n"/>
      <c r="E346" s="516" t="n"/>
      <c r="F346" s="516" t="n"/>
      <c r="G346" s="516" t="n"/>
      <c r="H346" s="516" t="n"/>
      <c r="I346" s="516" t="n"/>
      <c r="J346" s="516" t="n"/>
      <c r="K346" s="516" t="n"/>
    </row>
    <row r="347">
      <c r="A347" s="516" t="n"/>
      <c r="B347" s="516" t="n"/>
      <c r="C347" s="516" t="n"/>
      <c r="D347" s="516" t="n"/>
      <c r="E347" s="516" t="n"/>
      <c r="F347" s="516" t="n"/>
      <c r="G347" s="516" t="n"/>
      <c r="H347" s="516" t="n"/>
      <c r="I347" s="516" t="n"/>
      <c r="J347" s="516" t="n"/>
      <c r="K347" s="516" t="n"/>
    </row>
    <row r="348">
      <c r="A348" s="516" t="n"/>
      <c r="B348" s="516" t="n"/>
      <c r="C348" s="516" t="n"/>
      <c r="D348" s="516" t="n"/>
      <c r="E348" s="516" t="n"/>
      <c r="F348" s="516" t="n"/>
      <c r="G348" s="516" t="n"/>
      <c r="H348" s="516" t="n"/>
      <c r="I348" s="516" t="n"/>
      <c r="J348" s="516" t="n"/>
      <c r="K348" s="516" t="n"/>
    </row>
    <row r="349">
      <c r="A349" s="516" t="n"/>
      <c r="B349" s="516" t="n"/>
      <c r="C349" s="516" t="n"/>
      <c r="D349" s="516" t="n"/>
      <c r="E349" s="516" t="n"/>
      <c r="F349" s="516" t="n"/>
      <c r="G349" s="516" t="n"/>
      <c r="H349" s="516" t="n"/>
      <c r="I349" s="516" t="n"/>
      <c r="J349" s="516" t="n"/>
      <c r="K349" s="516" t="n"/>
    </row>
    <row r="350">
      <c r="A350" s="516" t="n"/>
      <c r="B350" s="516" t="n"/>
      <c r="C350" s="516" t="n"/>
      <c r="D350" s="516" t="n"/>
      <c r="E350" s="516" t="n"/>
      <c r="F350" s="516" t="n"/>
      <c r="G350" s="516" t="n"/>
      <c r="H350" s="516" t="n"/>
      <c r="I350" s="516" t="n"/>
      <c r="J350" s="516" t="n"/>
      <c r="K350" s="516" t="n"/>
    </row>
    <row r="351">
      <c r="A351" s="516" t="n"/>
      <c r="B351" s="516" t="n"/>
      <c r="C351" s="516" t="n"/>
      <c r="D351" s="516" t="n"/>
      <c r="E351" s="516" t="n"/>
      <c r="F351" s="516" t="n"/>
      <c r="G351" s="516" t="n"/>
      <c r="H351" s="516" t="n"/>
      <c r="I351" s="516" t="n"/>
      <c r="J351" s="516" t="n"/>
      <c r="K351" s="516" t="n"/>
    </row>
    <row r="352">
      <c r="A352" s="516" t="n"/>
      <c r="B352" s="516" t="n"/>
      <c r="C352" s="516" t="n"/>
      <c r="D352" s="516" t="n"/>
      <c r="E352" s="516" t="n"/>
      <c r="F352" s="516" t="n"/>
      <c r="G352" s="516" t="n"/>
      <c r="H352" s="516" t="n"/>
      <c r="I352" s="516" t="n"/>
      <c r="J352" s="516" t="n"/>
      <c r="K352" s="516" t="n"/>
    </row>
    <row r="353">
      <c r="A353" s="516" t="n"/>
      <c r="B353" s="516" t="n"/>
      <c r="C353" s="516" t="n"/>
      <c r="D353" s="516" t="n"/>
      <c r="E353" s="516" t="n"/>
      <c r="F353" s="516" t="n"/>
      <c r="G353" s="516" t="n"/>
      <c r="H353" s="516" t="n"/>
      <c r="I353" s="516" t="n"/>
      <c r="J353" s="516" t="n"/>
      <c r="K353" s="516" t="n"/>
    </row>
    <row r="354">
      <c r="A354" s="516" t="n"/>
      <c r="B354" s="516" t="n"/>
      <c r="C354" s="516" t="n"/>
      <c r="D354" s="516" t="n"/>
      <c r="E354" s="516" t="n"/>
      <c r="F354" s="516" t="n"/>
      <c r="G354" s="516" t="n"/>
      <c r="H354" s="516" t="n"/>
      <c r="I354" s="516" t="n"/>
      <c r="J354" s="516" t="n"/>
      <c r="K354" s="516" t="n"/>
    </row>
    <row r="355">
      <c r="A355" s="516" t="n"/>
      <c r="B355" s="516" t="n"/>
      <c r="C355" s="516" t="n"/>
      <c r="D355" s="516" t="n"/>
      <c r="E355" s="516" t="n"/>
      <c r="F355" s="516" t="n"/>
      <c r="G355" s="516" t="n"/>
      <c r="H355" s="516" t="n"/>
      <c r="I355" s="516" t="n"/>
      <c r="J355" s="516" t="n"/>
      <c r="K355" s="516" t="n"/>
    </row>
    <row r="356">
      <c r="A356" s="516" t="n"/>
      <c r="B356" s="516" t="n"/>
      <c r="C356" s="516" t="n"/>
      <c r="D356" s="516" t="n"/>
      <c r="E356" s="516" t="n"/>
      <c r="F356" s="516" t="n"/>
      <c r="G356" s="516" t="n"/>
      <c r="H356" s="516" t="n"/>
      <c r="I356" s="516" t="n"/>
      <c r="J356" s="516" t="n"/>
      <c r="K356" s="516" t="n"/>
    </row>
    <row r="357">
      <c r="A357" s="516" t="n"/>
      <c r="B357" s="516" t="n"/>
      <c r="C357" s="516" t="n"/>
      <c r="D357" s="516" t="n"/>
      <c r="E357" s="516" t="n"/>
      <c r="F357" s="516" t="n"/>
      <c r="G357" s="516" t="n"/>
      <c r="H357" s="516" t="n"/>
      <c r="I357" s="516" t="n"/>
      <c r="J357" s="516" t="n"/>
      <c r="K357" s="516" t="n"/>
    </row>
    <row r="358">
      <c r="A358" s="516" t="n"/>
      <c r="B358" s="516" t="n"/>
      <c r="C358" s="516" t="n"/>
      <c r="D358" s="516" t="n"/>
      <c r="E358" s="516" t="n"/>
      <c r="F358" s="516" t="n"/>
      <c r="G358" s="516" t="n"/>
      <c r="H358" s="516" t="n"/>
      <c r="I358" s="516" t="n"/>
      <c r="J358" s="516" t="n"/>
      <c r="K358" s="516" t="n"/>
    </row>
    <row r="359">
      <c r="A359" s="516" t="n"/>
      <c r="B359" s="516" t="n"/>
      <c r="C359" s="516" t="n"/>
      <c r="D359" s="516" t="n"/>
      <c r="E359" s="516" t="n"/>
      <c r="F359" s="516" t="n"/>
      <c r="G359" s="516" t="n"/>
      <c r="H359" s="516" t="n"/>
      <c r="I359" s="516" t="n"/>
      <c r="J359" s="516" t="n"/>
      <c r="K359" s="516" t="n"/>
    </row>
    <row r="360">
      <c r="A360" s="516" t="n"/>
      <c r="B360" s="516" t="n"/>
      <c r="C360" s="516" t="n"/>
      <c r="D360" s="516" t="n"/>
      <c r="E360" s="516" t="n"/>
      <c r="F360" s="516" t="n"/>
      <c r="G360" s="516" t="n"/>
      <c r="H360" s="516" t="n"/>
      <c r="I360" s="516" t="n"/>
      <c r="J360" s="516" t="n"/>
      <c r="K360" s="516" t="n"/>
    </row>
    <row r="361">
      <c r="A361" s="516" t="n"/>
      <c r="B361" s="516" t="n"/>
      <c r="C361" s="516" t="n"/>
      <c r="D361" s="516" t="n"/>
      <c r="E361" s="516" t="n"/>
      <c r="F361" s="516" t="n"/>
      <c r="G361" s="516" t="n"/>
      <c r="H361" s="516" t="n"/>
      <c r="I361" s="516" t="n"/>
      <c r="J361" s="516" t="n"/>
      <c r="K361" s="516" t="n"/>
    </row>
    <row r="362">
      <c r="A362" s="516" t="n"/>
      <c r="B362" s="516" t="n"/>
      <c r="C362" s="516" t="n"/>
      <c r="D362" s="516" t="n"/>
      <c r="E362" s="516" t="n"/>
      <c r="F362" s="516" t="n"/>
      <c r="G362" s="516" t="n"/>
      <c r="H362" s="516" t="n"/>
      <c r="I362" s="516" t="n"/>
      <c r="J362" s="516" t="n"/>
      <c r="K362" s="516" t="n"/>
    </row>
    <row r="363">
      <c r="A363" s="516" t="n"/>
      <c r="B363" s="516" t="n"/>
      <c r="C363" s="516" t="n"/>
      <c r="D363" s="516" t="n"/>
      <c r="E363" s="516" t="n"/>
      <c r="F363" s="516" t="n"/>
      <c r="G363" s="516" t="n"/>
      <c r="H363" s="516" t="n"/>
      <c r="I363" s="516" t="n"/>
      <c r="J363" s="516" t="n"/>
      <c r="K363" s="516" t="n"/>
    </row>
    <row r="364">
      <c r="A364" s="516" t="n"/>
      <c r="B364" s="516" t="n"/>
      <c r="C364" s="516" t="n"/>
      <c r="D364" s="516" t="n"/>
      <c r="E364" s="516" t="n"/>
      <c r="F364" s="516" t="n"/>
      <c r="G364" s="516" t="n"/>
      <c r="H364" s="516" t="n"/>
      <c r="I364" s="516" t="n"/>
      <c r="J364" s="516" t="n"/>
      <c r="K364" s="516" t="n"/>
    </row>
    <row r="365">
      <c r="A365" s="516" t="n"/>
      <c r="B365" s="516" t="n"/>
      <c r="C365" s="516" t="n"/>
      <c r="D365" s="516" t="n"/>
      <c r="E365" s="516" t="n"/>
      <c r="F365" s="516" t="n"/>
      <c r="G365" s="516" t="n"/>
      <c r="H365" s="516" t="n"/>
      <c r="I365" s="516" t="n"/>
      <c r="J365" s="516" t="n"/>
      <c r="K365" s="516" t="n"/>
    </row>
    <row r="366">
      <c r="A366" s="516" t="n"/>
      <c r="B366" s="516" t="n"/>
      <c r="C366" s="516" t="n"/>
      <c r="D366" s="516" t="n"/>
      <c r="E366" s="516" t="n"/>
      <c r="F366" s="516" t="n"/>
      <c r="G366" s="516" t="n"/>
      <c r="H366" s="516" t="n"/>
      <c r="I366" s="516" t="n"/>
      <c r="J366" s="516" t="n"/>
      <c r="K366" s="516" t="n"/>
    </row>
    <row r="367">
      <c r="A367" s="516" t="n"/>
      <c r="B367" s="516" t="n"/>
      <c r="C367" s="516" t="n"/>
      <c r="D367" s="516" t="n"/>
      <c r="E367" s="516" t="n"/>
      <c r="F367" s="516" t="n"/>
      <c r="G367" s="516" t="n"/>
      <c r="H367" s="516" t="n"/>
      <c r="I367" s="516" t="n"/>
      <c r="J367" s="516" t="n"/>
      <c r="K367" s="516" t="n"/>
    </row>
    <row r="368">
      <c r="A368" s="516" t="n"/>
      <c r="B368" s="516" t="n"/>
      <c r="C368" s="516" t="n"/>
      <c r="D368" s="516" t="n"/>
      <c r="E368" s="516" t="n"/>
      <c r="F368" s="516" t="n"/>
      <c r="G368" s="516" t="n"/>
      <c r="H368" s="516" t="n"/>
      <c r="I368" s="516" t="n"/>
      <c r="J368" s="516" t="n"/>
      <c r="K368" s="516" t="n"/>
    </row>
    <row r="369">
      <c r="A369" s="516" t="n"/>
      <c r="B369" s="516" t="n"/>
      <c r="C369" s="516" t="n"/>
      <c r="D369" s="516" t="n"/>
      <c r="E369" s="516" t="n"/>
      <c r="F369" s="516" t="n"/>
      <c r="G369" s="516" t="n"/>
      <c r="H369" s="516" t="n"/>
      <c r="I369" s="516" t="n"/>
      <c r="J369" s="516" t="n"/>
      <c r="K369" s="516" t="n"/>
    </row>
    <row r="370">
      <c r="A370" s="516" t="n"/>
      <c r="B370" s="516" t="n"/>
      <c r="C370" s="516" t="n"/>
      <c r="D370" s="516" t="n"/>
      <c r="E370" s="516" t="n"/>
      <c r="F370" s="516" t="n"/>
      <c r="G370" s="516" t="n"/>
      <c r="H370" s="516" t="n"/>
      <c r="I370" s="516" t="n"/>
      <c r="J370" s="516" t="n"/>
      <c r="K370" s="516" t="n"/>
    </row>
    <row r="371">
      <c r="A371" s="516" t="n"/>
      <c r="B371" s="516" t="n"/>
      <c r="C371" s="516" t="n"/>
      <c r="D371" s="516" t="n"/>
      <c r="E371" s="516" t="n"/>
      <c r="F371" s="516" t="n"/>
      <c r="G371" s="516" t="n"/>
      <c r="H371" s="516" t="n"/>
      <c r="I371" s="516" t="n"/>
      <c r="J371" s="516" t="n"/>
      <c r="K371" s="516" t="n"/>
    </row>
    <row r="372">
      <c r="A372" s="516" t="n"/>
      <c r="B372" s="516" t="n"/>
      <c r="C372" s="516" t="n"/>
      <c r="D372" s="516" t="n"/>
      <c r="E372" s="516" t="n"/>
      <c r="F372" s="516" t="n"/>
      <c r="G372" s="516" t="n"/>
      <c r="H372" s="516" t="n"/>
      <c r="I372" s="516" t="n"/>
      <c r="J372" s="516" t="n"/>
      <c r="K372" s="516" t="n"/>
    </row>
    <row r="373">
      <c r="A373" s="516" t="n"/>
      <c r="B373" s="516" t="n"/>
      <c r="C373" s="516" t="n"/>
      <c r="D373" s="516" t="n"/>
      <c r="E373" s="516" t="n"/>
      <c r="F373" s="516" t="n"/>
      <c r="G373" s="516" t="n"/>
      <c r="H373" s="516" t="n"/>
      <c r="I373" s="516" t="n"/>
      <c r="J373" s="516" t="n"/>
      <c r="K373" s="516" t="n"/>
    </row>
    <row r="374">
      <c r="A374" s="516" t="n"/>
      <c r="B374" s="516" t="n"/>
      <c r="C374" s="516" t="n"/>
      <c r="D374" s="516" t="n"/>
      <c r="E374" s="516" t="n"/>
      <c r="F374" s="516" t="n"/>
      <c r="G374" s="516" t="n"/>
      <c r="H374" s="516" t="n"/>
      <c r="I374" s="516" t="n"/>
      <c r="J374" s="516" t="n"/>
      <c r="K374" s="516" t="n"/>
    </row>
    <row r="375">
      <c r="A375" s="516" t="n"/>
      <c r="B375" s="516" t="n"/>
      <c r="C375" s="516" t="n"/>
      <c r="D375" s="516" t="n"/>
      <c r="E375" s="516" t="n"/>
      <c r="F375" s="516" t="n"/>
      <c r="G375" s="516" t="n"/>
      <c r="H375" s="516" t="n"/>
      <c r="I375" s="516" t="n"/>
      <c r="J375" s="516" t="n"/>
      <c r="K375" s="516" t="n"/>
    </row>
    <row r="376">
      <c r="A376" s="516" t="n"/>
      <c r="B376" s="516" t="n"/>
      <c r="C376" s="516" t="n"/>
      <c r="D376" s="516" t="n"/>
      <c r="E376" s="516" t="n"/>
      <c r="F376" s="516" t="n"/>
      <c r="G376" s="516" t="n"/>
      <c r="H376" s="516" t="n"/>
      <c r="I376" s="516" t="n"/>
      <c r="J376" s="516" t="n"/>
      <c r="K376" s="516" t="n"/>
    </row>
    <row r="377">
      <c r="A377" s="516" t="n"/>
      <c r="B377" s="516" t="n"/>
      <c r="C377" s="516" t="n"/>
      <c r="D377" s="516" t="n"/>
      <c r="E377" s="516" t="n"/>
      <c r="F377" s="516" t="n"/>
      <c r="G377" s="516" t="n"/>
      <c r="H377" s="516" t="n"/>
      <c r="I377" s="516" t="n"/>
      <c r="J377" s="516" t="n"/>
      <c r="K377" s="516" t="n"/>
    </row>
    <row r="378">
      <c r="A378" s="516" t="n"/>
      <c r="B378" s="516" t="n"/>
      <c r="C378" s="516" t="n"/>
      <c r="D378" s="516" t="n"/>
      <c r="E378" s="516" t="n"/>
      <c r="F378" s="516" t="n"/>
      <c r="G378" s="516" t="n"/>
      <c r="H378" s="516" t="n"/>
      <c r="I378" s="516" t="n"/>
      <c r="J378" s="516" t="n"/>
      <c r="K378" s="516" t="n"/>
    </row>
    <row r="379">
      <c r="A379" s="516" t="n"/>
      <c r="B379" s="516" t="n"/>
      <c r="C379" s="516" t="n"/>
      <c r="D379" s="516" t="n"/>
      <c r="E379" s="516" t="n"/>
      <c r="F379" s="516" t="n"/>
      <c r="G379" s="516" t="n"/>
      <c r="H379" s="516" t="n"/>
      <c r="I379" s="516" t="n"/>
      <c r="J379" s="516" t="n"/>
      <c r="K379" s="516" t="n"/>
    </row>
    <row r="380">
      <c r="A380" s="516" t="n"/>
      <c r="B380" s="516" t="n"/>
      <c r="C380" s="516" t="n"/>
      <c r="D380" s="516" t="n"/>
      <c r="E380" s="516" t="n"/>
      <c r="F380" s="516" t="n"/>
      <c r="G380" s="516" t="n"/>
      <c r="H380" s="516" t="n"/>
      <c r="I380" s="516" t="n"/>
      <c r="J380" s="516" t="n"/>
      <c r="K380" s="516" t="n"/>
    </row>
    <row r="381">
      <c r="A381" s="516" t="n"/>
      <c r="B381" s="516" t="n"/>
      <c r="C381" s="516" t="n"/>
      <c r="D381" s="516" t="n"/>
      <c r="E381" s="516" t="n"/>
      <c r="F381" s="516" t="n"/>
      <c r="G381" s="516" t="n"/>
      <c r="H381" s="516" t="n"/>
      <c r="I381" s="516" t="n"/>
      <c r="J381" s="516" t="n"/>
      <c r="K381" s="516" t="n"/>
    </row>
    <row r="382">
      <c r="A382" s="516" t="n"/>
      <c r="B382" s="516" t="n"/>
      <c r="C382" s="516" t="n"/>
      <c r="D382" s="516" t="n"/>
      <c r="E382" s="516" t="n"/>
      <c r="F382" s="516" t="n"/>
      <c r="G382" s="516" t="n"/>
      <c r="H382" s="516" t="n"/>
      <c r="I382" s="516" t="n"/>
      <c r="J382" s="516" t="n"/>
      <c r="K382" s="516" t="n"/>
    </row>
    <row r="383">
      <c r="A383" s="516" t="n"/>
      <c r="B383" s="516" t="n"/>
      <c r="C383" s="516" t="n"/>
      <c r="D383" s="516" t="n"/>
      <c r="E383" s="516" t="n"/>
      <c r="F383" s="516" t="n"/>
      <c r="G383" s="516" t="n"/>
      <c r="H383" s="516" t="n"/>
      <c r="I383" s="516" t="n"/>
      <c r="J383" s="516" t="n"/>
      <c r="K383" s="516" t="n"/>
    </row>
    <row r="384">
      <c r="A384" s="516" t="n"/>
      <c r="B384" s="516" t="n"/>
      <c r="C384" s="516" t="n"/>
      <c r="D384" s="516" t="n"/>
      <c r="E384" s="516" t="n"/>
      <c r="F384" s="516" t="n"/>
      <c r="G384" s="516" t="n"/>
      <c r="H384" s="516" t="n"/>
      <c r="I384" s="516" t="n"/>
      <c r="J384" s="516" t="n"/>
      <c r="K384" s="516" t="n"/>
    </row>
    <row r="385">
      <c r="A385" s="516" t="n"/>
      <c r="B385" s="516" t="n"/>
      <c r="C385" s="516" t="n"/>
      <c r="D385" s="516" t="n"/>
      <c r="E385" s="516" t="n"/>
      <c r="F385" s="516" t="n"/>
      <c r="G385" s="516" t="n"/>
      <c r="H385" s="516" t="n"/>
      <c r="I385" s="516" t="n"/>
      <c r="J385" s="516" t="n"/>
      <c r="K385" s="516" t="n"/>
    </row>
    <row r="386">
      <c r="A386" s="516" t="n"/>
      <c r="B386" s="516" t="n"/>
      <c r="C386" s="516" t="n"/>
      <c r="D386" s="516" t="n"/>
      <c r="E386" s="516" t="n"/>
      <c r="F386" s="516" t="n"/>
      <c r="G386" s="516" t="n"/>
      <c r="H386" s="516" t="n"/>
      <c r="I386" s="516" t="n"/>
      <c r="J386" s="516" t="n"/>
      <c r="K386" s="516" t="n"/>
    </row>
    <row r="387">
      <c r="A387" s="516" t="n"/>
      <c r="B387" s="516" t="n"/>
      <c r="C387" s="516" t="n"/>
      <c r="D387" s="516" t="n"/>
      <c r="E387" s="516" t="n"/>
      <c r="F387" s="516" t="n"/>
      <c r="G387" s="516" t="n"/>
      <c r="H387" s="516" t="n"/>
      <c r="I387" s="516" t="n"/>
      <c r="J387" s="516" t="n"/>
      <c r="K387" s="516" t="n"/>
    </row>
    <row r="388">
      <c r="A388" s="516" t="n"/>
      <c r="B388" s="516" t="n"/>
      <c r="C388" s="516" t="n"/>
      <c r="D388" s="516" t="n"/>
      <c r="E388" s="516" t="n"/>
      <c r="F388" s="516" t="n"/>
      <c r="G388" s="516" t="n"/>
      <c r="H388" s="516" t="n"/>
      <c r="I388" s="516" t="n"/>
      <c r="J388" s="516" t="n"/>
      <c r="K388" s="516" t="n"/>
    </row>
    <row r="389">
      <c r="A389" s="516" t="n"/>
      <c r="B389" s="516" t="n"/>
      <c r="C389" s="516" t="n"/>
      <c r="D389" s="516" t="n"/>
      <c r="E389" s="516" t="n"/>
      <c r="F389" s="516" t="n"/>
      <c r="G389" s="516" t="n"/>
      <c r="H389" s="516" t="n"/>
      <c r="I389" s="516" t="n"/>
      <c r="J389" s="516" t="n"/>
      <c r="K389" s="516" t="n"/>
    </row>
    <row r="390">
      <c r="A390" s="516" t="n"/>
      <c r="B390" s="516" t="n"/>
      <c r="C390" s="516" t="n"/>
      <c r="D390" s="516" t="n"/>
      <c r="E390" s="516" t="n"/>
      <c r="F390" s="516" t="n"/>
      <c r="G390" s="516" t="n"/>
      <c r="H390" s="516" t="n"/>
      <c r="I390" s="516" t="n"/>
      <c r="J390" s="516" t="n"/>
      <c r="K390" s="516" t="n"/>
    </row>
    <row r="391">
      <c r="A391" s="516" t="n"/>
      <c r="B391" s="516" t="n"/>
      <c r="C391" s="516" t="n"/>
      <c r="D391" s="516" t="n"/>
      <c r="E391" s="516" t="n"/>
      <c r="F391" s="516" t="n"/>
      <c r="G391" s="516" t="n"/>
      <c r="H391" s="516" t="n"/>
      <c r="I391" s="516" t="n"/>
      <c r="J391" s="516" t="n"/>
      <c r="K391" s="516" t="n"/>
    </row>
    <row r="392">
      <c r="A392" s="516" t="n"/>
      <c r="B392" s="516" t="n"/>
      <c r="C392" s="516" t="n"/>
      <c r="D392" s="516" t="n"/>
      <c r="E392" s="516" t="n"/>
      <c r="F392" s="516" t="n"/>
      <c r="G392" s="516" t="n"/>
      <c r="H392" s="516" t="n"/>
      <c r="I392" s="516" t="n"/>
      <c r="J392" s="516" t="n"/>
      <c r="K392" s="516" t="n"/>
    </row>
    <row r="393">
      <c r="A393" s="516" t="n"/>
      <c r="B393" s="516" t="n"/>
      <c r="C393" s="516" t="n"/>
      <c r="D393" s="516" t="n"/>
      <c r="E393" s="516" t="n"/>
      <c r="F393" s="516" t="n"/>
      <c r="G393" s="516" t="n"/>
      <c r="H393" s="516" t="n"/>
      <c r="I393" s="516" t="n"/>
      <c r="J393" s="516" t="n"/>
      <c r="K393" s="516" t="n"/>
    </row>
    <row r="394">
      <c r="A394" s="516" t="n"/>
      <c r="B394" s="516" t="n"/>
      <c r="C394" s="516" t="n"/>
      <c r="D394" s="516" t="n"/>
      <c r="E394" s="516" t="n"/>
      <c r="F394" s="516" t="n"/>
      <c r="G394" s="516" t="n"/>
      <c r="H394" s="516" t="n"/>
      <c r="I394" s="516" t="n"/>
      <c r="J394" s="516" t="n"/>
      <c r="K394" s="516" t="n"/>
    </row>
    <row r="395">
      <c r="A395" s="516" t="n"/>
      <c r="B395" s="516" t="n"/>
      <c r="C395" s="516" t="n"/>
      <c r="D395" s="516" t="n"/>
      <c r="E395" s="516" t="n"/>
      <c r="F395" s="516" t="n"/>
      <c r="G395" s="516" t="n"/>
      <c r="H395" s="516" t="n"/>
      <c r="I395" s="516" t="n"/>
      <c r="J395" s="516" t="n"/>
      <c r="K395" s="516" t="n"/>
    </row>
    <row r="396">
      <c r="A396" s="516" t="n"/>
      <c r="B396" s="516" t="n"/>
      <c r="C396" s="516" t="n"/>
      <c r="D396" s="516" t="n"/>
      <c r="E396" s="516" t="n"/>
      <c r="F396" s="516" t="n"/>
      <c r="G396" s="516" t="n"/>
      <c r="H396" s="516" t="n"/>
      <c r="I396" s="516" t="n"/>
      <c r="J396" s="516" t="n"/>
      <c r="K396" s="516" t="n"/>
    </row>
    <row r="397">
      <c r="A397" s="516" t="n"/>
      <c r="B397" s="516" t="n"/>
      <c r="C397" s="516" t="n"/>
      <c r="D397" s="516" t="n"/>
      <c r="E397" s="516" t="n"/>
      <c r="F397" s="516" t="n"/>
      <c r="G397" s="516" t="n"/>
      <c r="H397" s="516" t="n"/>
      <c r="I397" s="516" t="n"/>
      <c r="J397" s="516" t="n"/>
      <c r="K397" s="516" t="n"/>
    </row>
    <row r="398">
      <c r="A398" s="516" t="n"/>
      <c r="B398" s="516" t="n"/>
      <c r="C398" s="516" t="n"/>
      <c r="D398" s="516" t="n"/>
      <c r="E398" s="516" t="n"/>
      <c r="F398" s="516" t="n"/>
      <c r="G398" s="516" t="n"/>
      <c r="H398" s="516" t="n"/>
      <c r="I398" s="516" t="n"/>
      <c r="J398" s="516" t="n"/>
      <c r="K398" s="516" t="n"/>
    </row>
    <row r="399">
      <c r="A399" s="516" t="n"/>
      <c r="B399" s="516" t="n"/>
      <c r="C399" s="516" t="n"/>
      <c r="D399" s="516" t="n"/>
      <c r="E399" s="516" t="n"/>
      <c r="F399" s="516" t="n"/>
      <c r="G399" s="516" t="n"/>
      <c r="H399" s="516" t="n"/>
      <c r="I399" s="516" t="n"/>
      <c r="J399" s="516" t="n"/>
      <c r="K399" s="516" t="n"/>
    </row>
    <row r="400">
      <c r="A400" s="516" t="n"/>
      <c r="B400" s="516" t="n"/>
      <c r="C400" s="516" t="n"/>
      <c r="D400" s="516" t="n"/>
      <c r="E400" s="516" t="n"/>
      <c r="F400" s="516" t="n"/>
      <c r="G400" s="516" t="n"/>
      <c r="H400" s="516" t="n"/>
      <c r="I400" s="516" t="n"/>
      <c r="J400" s="516" t="n"/>
      <c r="K400" s="516" t="n"/>
    </row>
    <row r="401">
      <c r="A401" s="516" t="n"/>
      <c r="B401" s="516" t="n"/>
      <c r="C401" s="516" t="n"/>
      <c r="D401" s="516" t="n"/>
      <c r="E401" s="516" t="n"/>
      <c r="F401" s="516" t="n"/>
      <c r="G401" s="516" t="n"/>
      <c r="H401" s="516" t="n"/>
      <c r="I401" s="516" t="n"/>
      <c r="J401" s="516" t="n"/>
      <c r="K401" s="516" t="n"/>
    </row>
    <row r="402">
      <c r="A402" s="516" t="n"/>
      <c r="B402" s="516" t="n"/>
      <c r="C402" s="516" t="n"/>
      <c r="D402" s="516" t="n"/>
      <c r="E402" s="516" t="n"/>
      <c r="F402" s="516" t="n"/>
      <c r="G402" s="516" t="n"/>
      <c r="H402" s="516" t="n"/>
      <c r="I402" s="516" t="n"/>
      <c r="J402" s="516" t="n"/>
      <c r="K402" s="516" t="n"/>
    </row>
    <row r="403">
      <c r="A403" s="516" t="n"/>
      <c r="B403" s="516" t="n"/>
      <c r="C403" s="516" t="n"/>
      <c r="D403" s="516" t="n"/>
      <c r="E403" s="516" t="n"/>
      <c r="F403" s="516" t="n"/>
      <c r="G403" s="516" t="n"/>
      <c r="H403" s="516" t="n"/>
      <c r="I403" s="516" t="n"/>
      <c r="J403" s="516" t="n"/>
      <c r="K403" s="516" t="n"/>
    </row>
    <row r="404">
      <c r="A404" s="516" t="n"/>
      <c r="B404" s="516" t="n"/>
      <c r="C404" s="516" t="n"/>
      <c r="D404" s="516" t="n"/>
      <c r="E404" s="516" t="n"/>
      <c r="F404" s="516" t="n"/>
      <c r="G404" s="516" t="n"/>
      <c r="H404" s="516" t="n"/>
      <c r="I404" s="516" t="n"/>
      <c r="J404" s="516" t="n"/>
      <c r="K404" s="516" t="n"/>
    </row>
    <row r="405">
      <c r="A405" s="516" t="n"/>
      <c r="B405" s="516" t="n"/>
      <c r="C405" s="516" t="n"/>
      <c r="D405" s="516" t="n"/>
      <c r="E405" s="516" t="n"/>
      <c r="F405" s="516" t="n"/>
      <c r="G405" s="516" t="n"/>
      <c r="H405" s="516" t="n"/>
      <c r="I405" s="516" t="n"/>
      <c r="J405" s="516" t="n"/>
      <c r="K405" s="516" t="n"/>
    </row>
    <row r="406">
      <c r="A406" s="516" t="n"/>
      <c r="B406" s="516" t="n"/>
      <c r="C406" s="516" t="n"/>
      <c r="D406" s="516" t="n"/>
      <c r="E406" s="516" t="n"/>
      <c r="F406" s="516" t="n"/>
      <c r="G406" s="516" t="n"/>
      <c r="H406" s="516" t="n"/>
      <c r="I406" s="516" t="n"/>
      <c r="J406" s="516" t="n"/>
      <c r="K406" s="516" t="n"/>
    </row>
    <row r="407">
      <c r="A407" s="516" t="n"/>
      <c r="B407" s="516" t="n"/>
      <c r="C407" s="516" t="n"/>
      <c r="D407" s="516" t="n"/>
      <c r="E407" s="516" t="n"/>
      <c r="F407" s="516" t="n"/>
      <c r="G407" s="516" t="n"/>
      <c r="H407" s="516" t="n"/>
      <c r="I407" s="516" t="n"/>
      <c r="J407" s="516" t="n"/>
      <c r="K407" s="516" t="n"/>
    </row>
    <row r="408">
      <c r="A408" s="516" t="n"/>
      <c r="B408" s="516" t="n"/>
      <c r="C408" s="516" t="n"/>
      <c r="D408" s="516" t="n"/>
      <c r="E408" s="516" t="n"/>
      <c r="F408" s="516" t="n"/>
      <c r="G408" s="516" t="n"/>
      <c r="H408" s="516" t="n"/>
      <c r="I408" s="516" t="n"/>
      <c r="J408" s="516" t="n"/>
      <c r="K408" s="516" t="n"/>
    </row>
    <row r="409">
      <c r="A409" s="516" t="n"/>
      <c r="B409" s="516" t="n"/>
      <c r="C409" s="516" t="n"/>
      <c r="D409" s="516" t="n"/>
      <c r="E409" s="516" t="n"/>
      <c r="F409" s="516" t="n"/>
      <c r="G409" s="516" t="n"/>
      <c r="H409" s="516" t="n"/>
      <c r="I409" s="516" t="n"/>
      <c r="J409" s="516" t="n"/>
      <c r="K409" s="516" t="n"/>
    </row>
    <row r="410">
      <c r="A410" s="516" t="n"/>
      <c r="B410" s="516" t="n"/>
      <c r="C410" s="516" t="n"/>
      <c r="D410" s="516" t="n"/>
      <c r="E410" s="516" t="n"/>
      <c r="F410" s="516" t="n"/>
      <c r="G410" s="516" t="n"/>
      <c r="H410" s="516" t="n"/>
      <c r="I410" s="516" t="n"/>
      <c r="J410" s="516" t="n"/>
      <c r="K410" s="516" t="n"/>
    </row>
    <row r="411">
      <c r="A411" s="516" t="n"/>
      <c r="B411" s="516" t="n"/>
      <c r="C411" s="516" t="n"/>
      <c r="D411" s="516" t="n"/>
      <c r="E411" s="516" t="n"/>
      <c r="F411" s="516" t="n"/>
      <c r="G411" s="516" t="n"/>
      <c r="H411" s="516" t="n"/>
      <c r="I411" s="516" t="n"/>
      <c r="J411" s="516" t="n"/>
      <c r="K411" s="516" t="n"/>
    </row>
    <row r="412">
      <c r="A412" s="516" t="n"/>
      <c r="B412" s="516" t="n"/>
      <c r="C412" s="516" t="n"/>
      <c r="D412" s="516" t="n"/>
      <c r="E412" s="516" t="n"/>
      <c r="F412" s="516" t="n"/>
      <c r="G412" s="516" t="n"/>
      <c r="H412" s="516" t="n"/>
      <c r="I412" s="516" t="n"/>
      <c r="J412" s="516" t="n"/>
      <c r="K412" s="516" t="n"/>
    </row>
    <row r="413">
      <c r="A413" s="516" t="n"/>
      <c r="B413" s="516" t="n"/>
      <c r="C413" s="516" t="n"/>
      <c r="D413" s="516" t="n"/>
      <c r="E413" s="516" t="n"/>
      <c r="F413" s="516" t="n"/>
      <c r="G413" s="516" t="n"/>
      <c r="H413" s="516" t="n"/>
      <c r="I413" s="516" t="n"/>
      <c r="J413" s="516" t="n"/>
      <c r="K413" s="516" t="n"/>
    </row>
    <row r="414">
      <c r="A414" s="516" t="n"/>
      <c r="B414" s="516" t="n"/>
      <c r="C414" s="516" t="n"/>
      <c r="D414" s="516" t="n"/>
      <c r="E414" s="516" t="n"/>
      <c r="F414" s="516" t="n"/>
      <c r="G414" s="516" t="n"/>
      <c r="H414" s="516" t="n"/>
      <c r="I414" s="516" t="n"/>
      <c r="J414" s="516" t="n"/>
      <c r="K414" s="516" t="n"/>
    </row>
    <row r="415">
      <c r="A415" s="516" t="n"/>
      <c r="B415" s="516" t="n"/>
      <c r="C415" s="516" t="n"/>
      <c r="D415" s="516" t="n"/>
      <c r="E415" s="516" t="n"/>
      <c r="F415" s="516" t="n"/>
      <c r="G415" s="516" t="n"/>
      <c r="H415" s="516" t="n"/>
      <c r="I415" s="516" t="n"/>
      <c r="J415" s="516" t="n"/>
      <c r="K415" s="516" t="n"/>
    </row>
    <row r="416">
      <c r="A416" s="516" t="n"/>
      <c r="B416" s="516" t="n"/>
      <c r="C416" s="516" t="n"/>
      <c r="D416" s="516" t="n"/>
      <c r="E416" s="516" t="n"/>
      <c r="F416" s="516" t="n"/>
      <c r="G416" s="516" t="n"/>
      <c r="H416" s="516" t="n"/>
      <c r="I416" s="516" t="n"/>
      <c r="J416" s="516" t="n"/>
      <c r="K416" s="516" t="n"/>
    </row>
    <row r="417">
      <c r="A417" s="516" t="n"/>
      <c r="B417" s="516" t="n"/>
      <c r="C417" s="516" t="n"/>
      <c r="D417" s="516" t="n"/>
      <c r="E417" s="516" t="n"/>
      <c r="F417" s="516" t="n"/>
      <c r="G417" s="516" t="n"/>
      <c r="H417" s="516" t="n"/>
      <c r="I417" s="516" t="n"/>
      <c r="J417" s="516" t="n"/>
      <c r="K417" s="516" t="n"/>
    </row>
    <row r="418">
      <c r="A418" s="516" t="n"/>
      <c r="B418" s="516" t="n"/>
      <c r="C418" s="516" t="n"/>
      <c r="D418" s="516" t="n"/>
      <c r="E418" s="516" t="n"/>
      <c r="F418" s="516" t="n"/>
      <c r="G418" s="516" t="n"/>
      <c r="H418" s="516" t="n"/>
      <c r="I418" s="516" t="n"/>
      <c r="J418" s="516" t="n"/>
      <c r="K418" s="516" t="n"/>
    </row>
    <row r="419">
      <c r="A419" s="516" t="n"/>
      <c r="B419" s="516" t="n"/>
      <c r="C419" s="516" t="n"/>
      <c r="D419" s="516" t="n"/>
      <c r="E419" s="516" t="n"/>
      <c r="F419" s="516" t="n"/>
      <c r="G419" s="516" t="n"/>
      <c r="H419" s="516" t="n"/>
      <c r="I419" s="516" t="n"/>
      <c r="J419" s="516" t="n"/>
      <c r="K419" s="516" t="n"/>
    </row>
    <row r="420">
      <c r="A420" s="516" t="n"/>
      <c r="B420" s="516" t="n"/>
      <c r="C420" s="516" t="n"/>
      <c r="D420" s="516" t="n"/>
      <c r="E420" s="516" t="n"/>
      <c r="F420" s="516" t="n"/>
      <c r="G420" s="516" t="n"/>
      <c r="H420" s="516" t="n"/>
      <c r="I420" s="516" t="n"/>
      <c r="J420" s="516" t="n"/>
      <c r="K420" s="516" t="n"/>
    </row>
    <row r="421">
      <c r="A421" s="516" t="n"/>
      <c r="B421" s="516" t="n"/>
      <c r="C421" s="516" t="n"/>
      <c r="D421" s="516" t="n"/>
      <c r="E421" s="516" t="n"/>
      <c r="F421" s="516" t="n"/>
      <c r="G421" s="516" t="n"/>
      <c r="H421" s="516" t="n"/>
      <c r="I421" s="516" t="n"/>
      <c r="J421" s="516" t="n"/>
      <c r="K421" s="516" t="n"/>
    </row>
    <row r="422">
      <c r="A422" s="516" t="n"/>
      <c r="B422" s="516" t="n"/>
      <c r="C422" s="516" t="n"/>
      <c r="D422" s="516" t="n"/>
      <c r="E422" s="516" t="n"/>
      <c r="F422" s="516" t="n"/>
      <c r="G422" s="516" t="n"/>
      <c r="H422" s="516" t="n"/>
      <c r="I422" s="516" t="n"/>
      <c r="J422" s="516" t="n"/>
      <c r="K422" s="516" t="n"/>
    </row>
    <row r="423">
      <c r="A423" s="516" t="n"/>
      <c r="B423" s="516" t="n"/>
      <c r="C423" s="516" t="n"/>
      <c r="D423" s="516" t="n"/>
      <c r="E423" s="516" t="n"/>
      <c r="F423" s="516" t="n"/>
      <c r="G423" s="516" t="n"/>
      <c r="H423" s="516" t="n"/>
      <c r="I423" s="516" t="n"/>
      <c r="J423" s="516" t="n"/>
      <c r="K423" s="516" t="n"/>
    </row>
    <row r="424">
      <c r="A424" s="516" t="n"/>
      <c r="B424" s="516" t="n"/>
      <c r="C424" s="516" t="n"/>
      <c r="D424" s="516" t="n"/>
      <c r="E424" s="516" t="n"/>
      <c r="F424" s="516" t="n"/>
      <c r="G424" s="516" t="n"/>
      <c r="H424" s="516" t="n"/>
      <c r="I424" s="516" t="n"/>
      <c r="J424" s="516" t="n"/>
      <c r="K424" s="516" t="n"/>
    </row>
    <row r="425">
      <c r="A425" s="516" t="n"/>
      <c r="B425" s="516" t="n"/>
      <c r="C425" s="516" t="n"/>
      <c r="D425" s="516" t="n"/>
      <c r="E425" s="516" t="n"/>
      <c r="F425" s="516" t="n"/>
      <c r="G425" s="516" t="n"/>
      <c r="H425" s="516" t="n"/>
      <c r="I425" s="516" t="n"/>
      <c r="J425" s="516" t="n"/>
      <c r="K425" s="516" t="n"/>
    </row>
    <row r="426">
      <c r="A426" s="516" t="n"/>
      <c r="B426" s="516" t="n"/>
      <c r="C426" s="516" t="n"/>
      <c r="D426" s="516" t="n"/>
      <c r="E426" s="516" t="n"/>
      <c r="F426" s="516" t="n"/>
      <c r="G426" s="516" t="n"/>
      <c r="H426" s="516" t="n"/>
      <c r="I426" s="516" t="n"/>
      <c r="J426" s="516" t="n"/>
      <c r="K426" s="516" t="n"/>
    </row>
    <row r="427">
      <c r="A427" s="516" t="n"/>
      <c r="B427" s="516" t="n"/>
      <c r="C427" s="516" t="n"/>
      <c r="D427" s="516" t="n"/>
      <c r="E427" s="516" t="n"/>
      <c r="F427" s="516" t="n"/>
      <c r="G427" s="516" t="n"/>
      <c r="H427" s="516" t="n"/>
      <c r="I427" s="516" t="n"/>
      <c r="J427" s="516" t="n"/>
      <c r="K427" s="516" t="n"/>
    </row>
    <row r="428">
      <c r="A428" s="516" t="n"/>
      <c r="B428" s="516" t="n"/>
      <c r="C428" s="516" t="n"/>
      <c r="D428" s="516" t="n"/>
      <c r="E428" s="516" t="n"/>
      <c r="F428" s="516" t="n"/>
      <c r="G428" s="516" t="n"/>
      <c r="H428" s="516" t="n"/>
      <c r="I428" s="516" t="n"/>
      <c r="J428" s="516" t="n"/>
      <c r="K428" s="516" t="n"/>
    </row>
    <row r="429">
      <c r="A429" s="516" t="n"/>
      <c r="B429" s="516" t="n"/>
      <c r="C429" s="516" t="n"/>
      <c r="D429" s="516" t="n"/>
      <c r="E429" s="516" t="n"/>
      <c r="F429" s="516" t="n"/>
      <c r="G429" s="516" t="n"/>
      <c r="H429" s="516" t="n"/>
      <c r="I429" s="516" t="n"/>
      <c r="J429" s="516" t="n"/>
      <c r="K429" s="516" t="n"/>
    </row>
    <row r="430">
      <c r="A430" s="516" t="n"/>
      <c r="B430" s="516" t="n"/>
      <c r="C430" s="516" t="n"/>
      <c r="D430" s="516" t="n"/>
      <c r="E430" s="516" t="n"/>
      <c r="F430" s="516" t="n"/>
      <c r="G430" s="516" t="n"/>
      <c r="H430" s="516" t="n"/>
      <c r="I430" s="516" t="n"/>
      <c r="J430" s="516" t="n"/>
      <c r="K430" s="516" t="n"/>
    </row>
    <row r="431">
      <c r="A431" s="516" t="n"/>
      <c r="B431" s="516" t="n"/>
      <c r="C431" s="516" t="n"/>
      <c r="D431" s="516" t="n"/>
      <c r="E431" s="516" t="n"/>
      <c r="F431" s="516" t="n"/>
      <c r="G431" s="516" t="n"/>
      <c r="H431" s="516" t="n"/>
      <c r="I431" s="516" t="n"/>
      <c r="J431" s="516" t="n"/>
      <c r="K431" s="516" t="n"/>
    </row>
    <row r="432">
      <c r="A432" s="516" t="n"/>
      <c r="B432" s="516" t="n"/>
      <c r="C432" s="516" t="n"/>
      <c r="D432" s="516" t="n"/>
      <c r="E432" s="516" t="n"/>
      <c r="F432" s="516" t="n"/>
      <c r="G432" s="516" t="n"/>
      <c r="H432" s="516" t="n"/>
      <c r="I432" s="516" t="n"/>
      <c r="J432" s="516" t="n"/>
      <c r="K432" s="516" t="n"/>
    </row>
    <row r="433">
      <c r="A433" s="516" t="n"/>
      <c r="B433" s="516" t="n"/>
      <c r="C433" s="516" t="n"/>
      <c r="D433" s="516" t="n"/>
      <c r="E433" s="516" t="n"/>
      <c r="F433" s="516" t="n"/>
      <c r="G433" s="516" t="n"/>
      <c r="H433" s="516" t="n"/>
      <c r="I433" s="516" t="n"/>
      <c r="J433" s="516" t="n"/>
      <c r="K433" s="516" t="n"/>
    </row>
    <row r="434">
      <c r="A434" s="516" t="n"/>
      <c r="B434" s="516" t="n"/>
      <c r="C434" s="516" t="n"/>
      <c r="D434" s="516" t="n"/>
      <c r="E434" s="516" t="n"/>
      <c r="F434" s="516" t="n"/>
      <c r="G434" s="516" t="n"/>
      <c r="H434" s="516" t="n"/>
      <c r="I434" s="516" t="n"/>
      <c r="J434" s="516" t="n"/>
      <c r="K434" s="516" t="n"/>
    </row>
    <row r="435">
      <c r="A435" s="516" t="n"/>
      <c r="B435" s="516" t="n"/>
      <c r="C435" s="516" t="n"/>
      <c r="D435" s="516" t="n"/>
      <c r="E435" s="516" t="n"/>
      <c r="F435" s="516" t="n"/>
      <c r="G435" s="516" t="n"/>
      <c r="H435" s="516" t="n"/>
      <c r="I435" s="516" t="n"/>
      <c r="J435" s="516" t="n"/>
      <c r="K435" s="516" t="n"/>
    </row>
    <row r="436">
      <c r="A436" s="516" t="n"/>
      <c r="B436" s="516" t="n"/>
      <c r="C436" s="516" t="n"/>
      <c r="D436" s="516" t="n"/>
      <c r="E436" s="516" t="n"/>
      <c r="F436" s="516" t="n"/>
      <c r="G436" s="516" t="n"/>
      <c r="H436" s="516" t="n"/>
      <c r="I436" s="516" t="n"/>
      <c r="J436" s="516" t="n"/>
      <c r="K436" s="516" t="n"/>
    </row>
    <row r="437">
      <c r="A437" s="516" t="n"/>
      <c r="B437" s="516" t="n"/>
      <c r="C437" s="516" t="n"/>
      <c r="D437" s="516" t="n"/>
      <c r="E437" s="516" t="n"/>
      <c r="F437" s="516" t="n"/>
      <c r="G437" s="516" t="n"/>
      <c r="H437" s="516" t="n"/>
      <c r="I437" s="516" t="n"/>
      <c r="J437" s="516" t="n"/>
      <c r="K437" s="516" t="n"/>
    </row>
    <row r="438">
      <c r="A438" s="516" t="n"/>
      <c r="B438" s="516" t="n"/>
      <c r="C438" s="516" t="n"/>
      <c r="D438" s="516" t="n"/>
      <c r="E438" s="516" t="n"/>
      <c r="F438" s="516" t="n"/>
      <c r="G438" s="516" t="n"/>
      <c r="H438" s="516" t="n"/>
      <c r="I438" s="516" t="n"/>
      <c r="J438" s="516" t="n"/>
      <c r="K438" s="516" t="n"/>
    </row>
    <row r="439">
      <c r="A439" s="516" t="n"/>
      <c r="B439" s="516" t="n"/>
      <c r="C439" s="516" t="n"/>
      <c r="D439" s="516" t="n"/>
      <c r="E439" s="516" t="n"/>
      <c r="F439" s="516" t="n"/>
      <c r="G439" s="516" t="n"/>
      <c r="H439" s="516" t="n"/>
      <c r="I439" s="516" t="n"/>
      <c r="J439" s="516" t="n"/>
      <c r="K439" s="516" t="n"/>
    </row>
    <row r="440">
      <c r="A440" s="516" t="n"/>
      <c r="B440" s="516" t="n"/>
      <c r="C440" s="516" t="n"/>
      <c r="D440" s="516" t="n"/>
      <c r="E440" s="516" t="n"/>
      <c r="F440" s="516" t="n"/>
      <c r="G440" s="516" t="n"/>
      <c r="H440" s="516" t="n"/>
      <c r="I440" s="516" t="n"/>
      <c r="J440" s="516" t="n"/>
      <c r="K440" s="516" t="n"/>
    </row>
    <row r="441">
      <c r="A441" s="516" t="n"/>
      <c r="B441" s="516" t="n"/>
      <c r="C441" s="516" t="n"/>
      <c r="D441" s="516" t="n"/>
      <c r="E441" s="516" t="n"/>
      <c r="F441" s="516" t="n"/>
      <c r="G441" s="516" t="n"/>
      <c r="H441" s="516" t="n"/>
      <c r="I441" s="516" t="n"/>
      <c r="J441" s="516" t="n"/>
      <c r="K441" s="516" t="n"/>
    </row>
    <row r="442">
      <c r="A442" s="516" t="n"/>
      <c r="B442" s="516" t="n"/>
      <c r="C442" s="516" t="n"/>
      <c r="D442" s="516" t="n"/>
      <c r="E442" s="516" t="n"/>
      <c r="F442" s="516" t="n"/>
      <c r="G442" s="516" t="n"/>
      <c r="H442" s="516" t="n"/>
      <c r="I442" s="516" t="n"/>
      <c r="J442" s="516" t="n"/>
      <c r="K442" s="516" t="n"/>
    </row>
    <row r="443">
      <c r="A443" s="516" t="n"/>
      <c r="B443" s="516" t="n"/>
      <c r="C443" s="516" t="n"/>
      <c r="D443" s="516" t="n"/>
      <c r="E443" s="516" t="n"/>
      <c r="F443" s="516" t="n"/>
      <c r="G443" s="516" t="n"/>
      <c r="H443" s="516" t="n"/>
      <c r="I443" s="516" t="n"/>
      <c r="J443" s="516" t="n"/>
      <c r="K443" s="516" t="n"/>
    </row>
    <row r="444">
      <c r="A444" s="516" t="n"/>
      <c r="B444" s="516" t="n"/>
      <c r="C444" s="516" t="n"/>
      <c r="D444" s="516" t="n"/>
      <c r="E444" s="516" t="n"/>
      <c r="F444" s="516" t="n"/>
      <c r="G444" s="516" t="n"/>
      <c r="H444" s="516" t="n"/>
      <c r="I444" s="516" t="n"/>
      <c r="J444" s="516" t="n"/>
      <c r="K444" s="516" t="n"/>
    </row>
    <row r="445">
      <c r="A445" s="516" t="n"/>
      <c r="B445" s="516" t="n"/>
      <c r="C445" s="516" t="n"/>
      <c r="D445" s="516" t="n"/>
      <c r="E445" s="516" t="n"/>
      <c r="F445" s="516" t="n"/>
      <c r="G445" s="516" t="n"/>
      <c r="H445" s="516" t="n"/>
      <c r="I445" s="516" t="n"/>
      <c r="J445" s="516" t="n"/>
      <c r="K445" s="516" t="n"/>
    </row>
    <row r="446">
      <c r="A446" s="516" t="n"/>
      <c r="B446" s="516" t="n"/>
      <c r="C446" s="516" t="n"/>
      <c r="D446" s="516" t="n"/>
      <c r="E446" s="516" t="n"/>
      <c r="F446" s="516" t="n"/>
      <c r="G446" s="516" t="n"/>
      <c r="H446" s="516" t="n"/>
      <c r="I446" s="516" t="n"/>
      <c r="J446" s="516" t="n"/>
      <c r="K446" s="516" t="n"/>
    </row>
    <row r="447">
      <c r="A447" s="516" t="n"/>
      <c r="B447" s="516" t="n"/>
      <c r="C447" s="516" t="n"/>
      <c r="D447" s="516" t="n"/>
      <c r="E447" s="516" t="n"/>
      <c r="F447" s="516" t="n"/>
      <c r="G447" s="516" t="n"/>
      <c r="H447" s="516" t="n"/>
      <c r="I447" s="516" t="n"/>
      <c r="J447" s="516" t="n"/>
      <c r="K447" s="516" t="n"/>
    </row>
    <row r="448">
      <c r="A448" s="516" t="n"/>
      <c r="B448" s="516" t="n"/>
      <c r="C448" s="516" t="n"/>
      <c r="D448" s="516" t="n"/>
      <c r="E448" s="516" t="n"/>
      <c r="F448" s="516" t="n"/>
      <c r="G448" s="516" t="n"/>
      <c r="H448" s="516" t="n"/>
      <c r="I448" s="516" t="n"/>
      <c r="J448" s="516" t="n"/>
      <c r="K448" s="516" t="n"/>
    </row>
    <row r="449">
      <c r="A449" s="516" t="n"/>
      <c r="B449" s="516" t="n"/>
      <c r="C449" s="516" t="n"/>
      <c r="D449" s="516" t="n"/>
      <c r="E449" s="516" t="n"/>
      <c r="F449" s="516" t="n"/>
      <c r="G449" s="516" t="n"/>
      <c r="H449" s="516" t="n"/>
      <c r="I449" s="516" t="n"/>
      <c r="J449" s="516" t="n"/>
      <c r="K449" s="516" t="n"/>
    </row>
    <row r="450">
      <c r="A450" s="516" t="n"/>
      <c r="B450" s="516" t="n"/>
      <c r="C450" s="516" t="n"/>
      <c r="D450" s="516" t="n"/>
      <c r="E450" s="516" t="n"/>
      <c r="F450" s="516" t="n"/>
      <c r="G450" s="516" t="n"/>
      <c r="H450" s="516" t="n"/>
      <c r="I450" s="516" t="n"/>
      <c r="J450" s="516" t="n"/>
      <c r="K450" s="516" t="n"/>
    </row>
    <row r="451">
      <c r="A451" s="516" t="n"/>
      <c r="B451" s="516" t="n"/>
      <c r="C451" s="516" t="n"/>
      <c r="D451" s="516" t="n"/>
      <c r="E451" s="516" t="n"/>
      <c r="F451" s="516" t="n"/>
      <c r="G451" s="516" t="n"/>
      <c r="H451" s="516" t="n"/>
      <c r="I451" s="516" t="n"/>
      <c r="J451" s="516" t="n"/>
      <c r="K451" s="516" t="n"/>
    </row>
    <row r="452">
      <c r="A452" s="516" t="n"/>
      <c r="B452" s="516" t="n"/>
      <c r="C452" s="516" t="n"/>
      <c r="D452" s="516" t="n"/>
      <c r="E452" s="516" t="n"/>
      <c r="F452" s="516" t="n"/>
      <c r="G452" s="516" t="n"/>
      <c r="H452" s="516" t="n"/>
      <c r="I452" s="516" t="n"/>
      <c r="J452" s="516" t="n"/>
      <c r="K452" s="516" t="n"/>
    </row>
    <row r="453">
      <c r="A453" s="516" t="n"/>
      <c r="B453" s="516" t="n"/>
      <c r="C453" s="516" t="n"/>
      <c r="D453" s="516" t="n"/>
      <c r="E453" s="516" t="n"/>
      <c r="F453" s="516" t="n"/>
      <c r="G453" s="516" t="n"/>
      <c r="H453" s="516" t="n"/>
      <c r="I453" s="516" t="n"/>
      <c r="J453" s="516" t="n"/>
      <c r="K453" s="516" t="n"/>
    </row>
    <row r="454">
      <c r="A454" s="516" t="n"/>
      <c r="B454" s="516" t="n"/>
      <c r="C454" s="516" t="n"/>
      <c r="D454" s="516" t="n"/>
      <c r="E454" s="516" t="n"/>
      <c r="F454" s="516" t="n"/>
      <c r="G454" s="516" t="n"/>
      <c r="H454" s="516" t="n"/>
      <c r="I454" s="516" t="n"/>
      <c r="J454" s="516" t="n"/>
      <c r="K454" s="516" t="n"/>
    </row>
    <row r="455">
      <c r="A455" s="516" t="n"/>
      <c r="B455" s="516" t="n"/>
      <c r="C455" s="516" t="n"/>
      <c r="D455" s="516" t="n"/>
      <c r="E455" s="516" t="n"/>
      <c r="F455" s="516" t="n"/>
      <c r="G455" s="516" t="n"/>
      <c r="H455" s="516" t="n"/>
      <c r="I455" s="516" t="n"/>
      <c r="J455" s="516" t="n"/>
      <c r="K455" s="516" t="n"/>
    </row>
    <row r="456">
      <c r="A456" s="516" t="n"/>
      <c r="B456" s="516" t="n"/>
      <c r="C456" s="516" t="n"/>
      <c r="D456" s="516" t="n"/>
      <c r="E456" s="516" t="n"/>
      <c r="F456" s="516" t="n"/>
      <c r="G456" s="516" t="n"/>
      <c r="H456" s="516" t="n"/>
      <c r="I456" s="516" t="n"/>
      <c r="J456" s="516" t="n"/>
      <c r="K456" s="516" t="n"/>
    </row>
    <row r="457">
      <c r="A457" s="516" t="n"/>
      <c r="B457" s="516" t="n"/>
      <c r="C457" s="516" t="n"/>
      <c r="D457" s="516" t="n"/>
      <c r="E457" s="516" t="n"/>
      <c r="F457" s="516" t="n"/>
      <c r="G457" s="516" t="n"/>
      <c r="H457" s="516" t="n"/>
      <c r="I457" s="516" t="n"/>
      <c r="J457" s="516" t="n"/>
      <c r="K457" s="516" t="n"/>
    </row>
    <row r="458">
      <c r="A458" s="516" t="n"/>
      <c r="B458" s="516" t="n"/>
      <c r="C458" s="516" t="n"/>
      <c r="D458" s="516" t="n"/>
      <c r="E458" s="516" t="n"/>
      <c r="F458" s="516" t="n"/>
      <c r="G458" s="516" t="n"/>
      <c r="H458" s="516" t="n"/>
      <c r="I458" s="516" t="n"/>
      <c r="J458" s="516" t="n"/>
      <c r="K458" s="516" t="n"/>
    </row>
    <row r="459">
      <c r="A459" s="516" t="n"/>
      <c r="B459" s="516" t="n"/>
      <c r="C459" s="516" t="n"/>
      <c r="D459" s="516" t="n"/>
      <c r="E459" s="516" t="n"/>
      <c r="F459" s="516" t="n"/>
      <c r="G459" s="516" t="n"/>
      <c r="H459" s="516" t="n"/>
      <c r="I459" s="516" t="n"/>
      <c r="J459" s="516" t="n"/>
      <c r="K459" s="516" t="n"/>
    </row>
    <row r="460">
      <c r="A460" s="516" t="n"/>
      <c r="B460" s="516" t="n"/>
      <c r="C460" s="516" t="n"/>
      <c r="D460" s="516" t="n"/>
      <c r="E460" s="516" t="n"/>
      <c r="F460" s="516" t="n"/>
      <c r="G460" s="516" t="n"/>
      <c r="H460" s="516" t="n"/>
      <c r="I460" s="516" t="n"/>
      <c r="J460" s="516" t="n"/>
      <c r="K460" s="516" t="n"/>
    </row>
    <row r="461">
      <c r="A461" s="516" t="n"/>
      <c r="B461" s="516" t="n"/>
      <c r="C461" s="516" t="n"/>
      <c r="D461" s="516" t="n"/>
      <c r="E461" s="516" t="n"/>
      <c r="F461" s="516" t="n"/>
      <c r="G461" s="516" t="n"/>
      <c r="H461" s="516" t="n"/>
      <c r="I461" s="516" t="n"/>
      <c r="J461" s="516" t="n"/>
      <c r="K461" s="516" t="n"/>
    </row>
    <row r="462">
      <c r="A462" s="516" t="n"/>
      <c r="B462" s="516" t="n"/>
      <c r="C462" s="516" t="n"/>
      <c r="D462" s="516" t="n"/>
      <c r="E462" s="516" t="n"/>
      <c r="F462" s="516" t="n"/>
      <c r="G462" s="516" t="n"/>
      <c r="H462" s="516" t="n"/>
      <c r="I462" s="516" t="n"/>
      <c r="J462" s="516" t="n"/>
      <c r="K462" s="516" t="n"/>
    </row>
    <row r="463">
      <c r="A463" s="516" t="n"/>
      <c r="B463" s="516" t="n"/>
      <c r="C463" s="516" t="n"/>
      <c r="D463" s="516" t="n"/>
      <c r="E463" s="516" t="n"/>
      <c r="F463" s="516" t="n"/>
      <c r="G463" s="516" t="n"/>
      <c r="H463" s="516" t="n"/>
      <c r="I463" s="516" t="n"/>
      <c r="J463" s="516" t="n"/>
      <c r="K463" s="516" t="n"/>
    </row>
    <row r="464">
      <c r="A464" s="516" t="n"/>
      <c r="B464" s="516" t="n"/>
      <c r="C464" s="516" t="n"/>
      <c r="D464" s="516" t="n"/>
      <c r="E464" s="516" t="n"/>
      <c r="F464" s="516" t="n"/>
      <c r="G464" s="516" t="n"/>
      <c r="H464" s="516" t="n"/>
      <c r="I464" s="516" t="n"/>
      <c r="J464" s="516" t="n"/>
      <c r="K464" s="516" t="n"/>
    </row>
    <row r="465">
      <c r="A465" s="516" t="n"/>
      <c r="B465" s="516" t="n"/>
      <c r="C465" s="516" t="n"/>
      <c r="D465" s="516" t="n"/>
      <c r="E465" s="516" t="n"/>
      <c r="F465" s="516" t="n"/>
      <c r="G465" s="516" t="n"/>
      <c r="H465" s="516" t="n"/>
      <c r="I465" s="516" t="n"/>
      <c r="J465" s="516" t="n"/>
      <c r="K465" s="516" t="n"/>
    </row>
    <row r="466">
      <c r="A466" s="516" t="n"/>
      <c r="B466" s="516" t="n"/>
      <c r="C466" s="516" t="n"/>
      <c r="D466" s="516" t="n"/>
      <c r="E466" s="516" t="n"/>
      <c r="F466" s="516" t="n"/>
      <c r="G466" s="516" t="n"/>
      <c r="H466" s="516" t="n"/>
      <c r="I466" s="516" t="n"/>
      <c r="J466" s="516" t="n"/>
      <c r="K466" s="516" t="n"/>
    </row>
    <row r="467">
      <c r="A467" s="516" t="n"/>
      <c r="B467" s="516" t="n"/>
      <c r="C467" s="516" t="n"/>
      <c r="D467" s="516" t="n"/>
      <c r="E467" s="516" t="n"/>
      <c r="F467" s="516" t="n"/>
      <c r="G467" s="516" t="n"/>
      <c r="H467" s="516" t="n"/>
      <c r="I467" s="516" t="n"/>
      <c r="J467" s="516" t="n"/>
      <c r="K467" s="516" t="n"/>
    </row>
    <row r="468">
      <c r="A468" s="516" t="n"/>
      <c r="B468" s="516" t="n"/>
      <c r="C468" s="516" t="n"/>
      <c r="D468" s="516" t="n"/>
      <c r="E468" s="516" t="n"/>
      <c r="F468" s="516" t="n"/>
      <c r="G468" s="516" t="n"/>
      <c r="H468" s="516" t="n"/>
      <c r="I468" s="516" t="n"/>
      <c r="J468" s="516" t="n"/>
      <c r="K468" s="516" t="n"/>
    </row>
    <row r="469">
      <c r="A469" s="516" t="n"/>
      <c r="B469" s="516" t="n"/>
      <c r="C469" s="516" t="n"/>
      <c r="D469" s="516" t="n"/>
      <c r="E469" s="516" t="n"/>
      <c r="F469" s="516" t="n"/>
      <c r="G469" s="516" t="n"/>
      <c r="H469" s="516" t="n"/>
      <c r="I469" s="516" t="n"/>
      <c r="J469" s="516" t="n"/>
      <c r="K469" s="516" t="n"/>
    </row>
    <row r="470">
      <c r="A470" s="516" t="n"/>
      <c r="B470" s="516" t="n"/>
      <c r="C470" s="516" t="n"/>
      <c r="D470" s="516" t="n"/>
      <c r="E470" s="516" t="n"/>
      <c r="F470" s="516" t="n"/>
      <c r="G470" s="516" t="n"/>
      <c r="H470" s="516" t="n"/>
      <c r="I470" s="516" t="n"/>
      <c r="J470" s="516" t="n"/>
      <c r="K470" s="516" t="n"/>
    </row>
    <row r="471">
      <c r="A471" s="516" t="n"/>
      <c r="B471" s="516" t="n"/>
      <c r="C471" s="516" t="n"/>
      <c r="D471" s="516" t="n"/>
      <c r="E471" s="516" t="n"/>
      <c r="F471" s="516" t="n"/>
      <c r="G471" s="516" t="n"/>
      <c r="H471" s="516" t="n"/>
      <c r="I471" s="516" t="n"/>
      <c r="J471" s="516" t="n"/>
      <c r="K471" s="516" t="n"/>
    </row>
    <row r="472">
      <c r="A472" s="516" t="n"/>
      <c r="B472" s="516" t="n"/>
      <c r="C472" s="516" t="n"/>
      <c r="D472" s="516" t="n"/>
      <c r="E472" s="516" t="n"/>
      <c r="F472" s="516" t="n"/>
      <c r="G472" s="516" t="n"/>
      <c r="H472" s="516" t="n"/>
      <c r="I472" s="516" t="n"/>
      <c r="J472" s="516" t="n"/>
      <c r="K472" s="516" t="n"/>
    </row>
    <row r="473">
      <c r="A473" s="516" t="n"/>
      <c r="B473" s="516" t="n"/>
      <c r="C473" s="516" t="n"/>
      <c r="D473" s="516" t="n"/>
      <c r="E473" s="516" t="n"/>
      <c r="F473" s="516" t="n"/>
      <c r="G473" s="516" t="n"/>
      <c r="H473" s="516" t="n"/>
      <c r="I473" s="516" t="n"/>
      <c r="J473" s="516" t="n"/>
      <c r="K473" s="516" t="n"/>
    </row>
    <row r="474">
      <c r="A474" s="516" t="n"/>
      <c r="B474" s="516" t="n"/>
      <c r="C474" s="516" t="n"/>
      <c r="D474" s="516" t="n"/>
      <c r="E474" s="516" t="n"/>
      <c r="F474" s="516" t="n"/>
      <c r="G474" s="516" t="n"/>
      <c r="H474" s="516" t="n"/>
      <c r="I474" s="516" t="n"/>
      <c r="J474" s="516" t="n"/>
      <c r="K474" s="516" t="n"/>
    </row>
    <row r="475">
      <c r="A475" s="516" t="n"/>
      <c r="B475" s="516" t="n"/>
      <c r="C475" s="516" t="n"/>
      <c r="D475" s="516" t="n"/>
      <c r="E475" s="516" t="n"/>
      <c r="F475" s="516" t="n"/>
      <c r="G475" s="516" t="n"/>
      <c r="H475" s="516" t="n"/>
      <c r="I475" s="516" t="n"/>
      <c r="J475" s="516" t="n"/>
      <c r="K475" s="516" t="n"/>
    </row>
    <row r="476">
      <c r="A476" s="516" t="n"/>
      <c r="B476" s="516" t="n"/>
      <c r="C476" s="516" t="n"/>
      <c r="D476" s="516" t="n"/>
      <c r="E476" s="516" t="n"/>
      <c r="F476" s="516" t="n"/>
      <c r="G476" s="516" t="n"/>
      <c r="H476" s="516" t="n"/>
      <c r="I476" s="516" t="n"/>
      <c r="J476" s="516" t="n"/>
      <c r="K476" s="516" t="n"/>
    </row>
    <row r="477">
      <c r="A477" s="516" t="n"/>
      <c r="B477" s="516" t="n"/>
      <c r="C477" s="516" t="n"/>
      <c r="D477" s="516" t="n"/>
      <c r="E477" s="516" t="n"/>
      <c r="F477" s="516" t="n"/>
      <c r="G477" s="516" t="n"/>
      <c r="H477" s="516" t="n"/>
      <c r="I477" s="516" t="n"/>
      <c r="J477" s="516" t="n"/>
      <c r="K477" s="516" t="n"/>
    </row>
    <row r="478">
      <c r="A478" s="516" t="n"/>
      <c r="B478" s="516" t="n"/>
      <c r="C478" s="516" t="n"/>
      <c r="D478" s="516" t="n"/>
      <c r="E478" s="516" t="n"/>
      <c r="F478" s="516" t="n"/>
      <c r="G478" s="516" t="n"/>
      <c r="H478" s="516" t="n"/>
      <c r="I478" s="516" t="n"/>
      <c r="J478" s="516" t="n"/>
      <c r="K478" s="516" t="n"/>
    </row>
    <row r="479">
      <c r="A479" s="516" t="n"/>
      <c r="B479" s="516" t="n"/>
      <c r="C479" s="516" t="n"/>
      <c r="D479" s="516" t="n"/>
      <c r="E479" s="516" t="n"/>
      <c r="F479" s="516" t="n"/>
      <c r="G479" s="516" t="n"/>
      <c r="H479" s="516" t="n"/>
      <c r="I479" s="516" t="n"/>
      <c r="J479" s="516" t="n"/>
      <c r="K479" s="516" t="n"/>
    </row>
    <row r="480">
      <c r="A480" s="516" t="n"/>
      <c r="B480" s="516" t="n"/>
      <c r="C480" s="516" t="n"/>
      <c r="D480" s="516" t="n"/>
      <c r="E480" s="516" t="n"/>
      <c r="F480" s="516" t="n"/>
      <c r="G480" s="516" t="n"/>
      <c r="H480" s="516" t="n"/>
      <c r="I480" s="516" t="n"/>
      <c r="J480" s="516" t="n"/>
      <c r="K480" s="516" t="n"/>
    </row>
    <row r="481">
      <c r="A481" s="516" t="n"/>
      <c r="B481" s="516" t="n"/>
      <c r="C481" s="516" t="n"/>
      <c r="D481" s="516" t="n"/>
      <c r="E481" s="516" t="n"/>
      <c r="F481" s="516" t="n"/>
      <c r="G481" s="516" t="n"/>
      <c r="H481" s="516" t="n"/>
      <c r="I481" s="516" t="n"/>
      <c r="J481" s="516" t="n"/>
      <c r="K481" s="516" t="n"/>
    </row>
    <row r="482">
      <c r="A482" s="516" t="n"/>
      <c r="B482" s="516" t="n"/>
      <c r="C482" s="516" t="n"/>
      <c r="D482" s="516" t="n"/>
      <c r="E482" s="516" t="n"/>
      <c r="F482" s="516" t="n"/>
      <c r="G482" s="516" t="n"/>
      <c r="H482" s="516" t="n"/>
      <c r="I482" s="516" t="n"/>
      <c r="J482" s="516" t="n"/>
      <c r="K482" s="516" t="n"/>
    </row>
    <row r="483">
      <c r="A483" s="516" t="n"/>
      <c r="B483" s="516" t="n"/>
      <c r="C483" s="516" t="n"/>
      <c r="D483" s="516" t="n"/>
      <c r="E483" s="516" t="n"/>
      <c r="F483" s="516" t="n"/>
      <c r="G483" s="516" t="n"/>
      <c r="H483" s="516" t="n"/>
      <c r="I483" s="516" t="n"/>
      <c r="J483" s="516" t="n"/>
      <c r="K483" s="516" t="n"/>
    </row>
    <row r="484">
      <c r="A484" s="516" t="n"/>
      <c r="B484" s="516" t="n"/>
      <c r="C484" s="516" t="n"/>
      <c r="D484" s="516" t="n"/>
      <c r="E484" s="516" t="n"/>
      <c r="F484" s="516" t="n"/>
      <c r="G484" s="516" t="n"/>
      <c r="H484" s="516" t="n"/>
      <c r="I484" s="516" t="n"/>
      <c r="J484" s="516" t="n"/>
      <c r="K484" s="516" t="n"/>
    </row>
    <row r="485">
      <c r="A485" s="516" t="n"/>
      <c r="B485" s="516" t="n"/>
      <c r="C485" s="516" t="n"/>
      <c r="D485" s="516" t="n"/>
      <c r="E485" s="516" t="n"/>
      <c r="F485" s="516" t="n"/>
      <c r="G485" s="516" t="n"/>
      <c r="H485" s="516" t="n"/>
      <c r="I485" s="516" t="n"/>
      <c r="J485" s="516" t="n"/>
      <c r="K485" s="516" t="n"/>
    </row>
    <row r="486">
      <c r="A486" s="516" t="n"/>
      <c r="B486" s="516" t="n"/>
      <c r="C486" s="516" t="n"/>
      <c r="D486" s="516" t="n"/>
      <c r="E486" s="516" t="n"/>
      <c r="F486" s="516" t="n"/>
      <c r="G486" s="516" t="n"/>
      <c r="H486" s="516" t="n"/>
      <c r="I486" s="516" t="n"/>
      <c r="J486" s="516" t="n"/>
      <c r="K486" s="516" t="n"/>
    </row>
    <row r="487">
      <c r="A487" s="516" t="n"/>
      <c r="B487" s="516" t="n"/>
      <c r="C487" s="516" t="n"/>
      <c r="D487" s="516" t="n"/>
      <c r="E487" s="516" t="n"/>
      <c r="F487" s="516" t="n"/>
      <c r="G487" s="516" t="n"/>
      <c r="H487" s="516" t="n"/>
      <c r="I487" s="516" t="n"/>
      <c r="J487" s="516" t="n"/>
      <c r="K487" s="516" t="n"/>
    </row>
    <row r="488">
      <c r="A488" s="516" t="n"/>
      <c r="B488" s="516" t="n"/>
      <c r="C488" s="516" t="n"/>
      <c r="D488" s="516" t="n"/>
      <c r="E488" s="516" t="n"/>
      <c r="F488" s="516" t="n"/>
      <c r="G488" s="516" t="n"/>
      <c r="H488" s="516" t="n"/>
      <c r="I488" s="516" t="n"/>
      <c r="J488" s="516" t="n"/>
      <c r="K488" s="516" t="n"/>
    </row>
    <row r="489">
      <c r="A489" s="516" t="n"/>
      <c r="B489" s="516" t="n"/>
      <c r="C489" s="516" t="n"/>
      <c r="D489" s="516" t="n"/>
      <c r="E489" s="516" t="n"/>
      <c r="F489" s="516" t="n"/>
      <c r="G489" s="516" t="n"/>
      <c r="H489" s="516" t="n"/>
      <c r="I489" s="516" t="n"/>
      <c r="J489" s="516" t="n"/>
      <c r="K489" s="516" t="n"/>
    </row>
    <row r="490">
      <c r="A490" s="516" t="n"/>
      <c r="B490" s="516" t="n"/>
      <c r="C490" s="516" t="n"/>
      <c r="D490" s="516" t="n"/>
      <c r="E490" s="516" t="n"/>
      <c r="F490" s="516" t="n"/>
      <c r="G490" s="516" t="n"/>
      <c r="H490" s="516" t="n"/>
      <c r="I490" s="516" t="n"/>
      <c r="J490" s="516" t="n"/>
      <c r="K490" s="516" t="n"/>
    </row>
    <row r="491">
      <c r="A491" s="516" t="n"/>
      <c r="B491" s="516" t="n"/>
      <c r="C491" s="516" t="n"/>
      <c r="D491" s="516" t="n"/>
      <c r="E491" s="516" t="n"/>
      <c r="F491" s="516" t="n"/>
      <c r="G491" s="516" t="n"/>
      <c r="H491" s="516" t="n"/>
      <c r="I491" s="516" t="n"/>
      <c r="J491" s="516" t="n"/>
      <c r="K491" s="516" t="n"/>
    </row>
    <row r="492">
      <c r="A492" s="516" t="n"/>
      <c r="B492" s="516" t="n"/>
      <c r="C492" s="516" t="n"/>
      <c r="D492" s="516" t="n"/>
      <c r="E492" s="516" t="n"/>
      <c r="F492" s="516" t="n"/>
      <c r="G492" s="516" t="n"/>
      <c r="H492" s="516" t="n"/>
      <c r="I492" s="516" t="n"/>
      <c r="J492" s="516" t="n"/>
      <c r="K492" s="516" t="n"/>
    </row>
    <row r="493">
      <c r="A493" s="516" t="n"/>
      <c r="B493" s="516" t="n"/>
      <c r="C493" s="516" t="n"/>
      <c r="D493" s="516" t="n"/>
      <c r="E493" s="516" t="n"/>
      <c r="F493" s="516" t="n"/>
      <c r="G493" s="516" t="n"/>
      <c r="H493" s="516" t="n"/>
      <c r="I493" s="516" t="n"/>
      <c r="J493" s="516" t="n"/>
      <c r="K493" s="516" t="n"/>
    </row>
    <row r="494">
      <c r="A494" s="516" t="n"/>
      <c r="B494" s="516" t="n"/>
      <c r="C494" s="516" t="n"/>
      <c r="D494" s="516" t="n"/>
      <c r="E494" s="516" t="n"/>
      <c r="F494" s="516" t="n"/>
      <c r="G494" s="516" t="n"/>
      <c r="H494" s="516" t="n"/>
      <c r="I494" s="516" t="n"/>
      <c r="J494" s="516" t="n"/>
      <c r="K494" s="516" t="n"/>
    </row>
    <row r="495">
      <c r="A495" s="516" t="n"/>
      <c r="B495" s="516" t="n"/>
      <c r="C495" s="516" t="n"/>
      <c r="D495" s="516" t="n"/>
      <c r="E495" s="516" t="n"/>
      <c r="F495" s="516" t="n"/>
      <c r="G495" s="516" t="n"/>
      <c r="H495" s="516" t="n"/>
      <c r="I495" s="516" t="n"/>
      <c r="J495" s="516" t="n"/>
      <c r="K495" s="516" t="n"/>
    </row>
    <row r="496">
      <c r="A496" s="516" t="n"/>
      <c r="B496" s="516" t="n"/>
      <c r="C496" s="516" t="n"/>
      <c r="D496" s="516" t="n"/>
      <c r="E496" s="516" t="n"/>
      <c r="F496" s="516" t="n"/>
      <c r="G496" s="516" t="n"/>
      <c r="H496" s="516" t="n"/>
      <c r="I496" s="516" t="n"/>
      <c r="J496" s="516" t="n"/>
      <c r="K496" s="516" t="n"/>
    </row>
    <row r="497">
      <c r="A497" s="516" t="n"/>
      <c r="B497" s="516" t="n"/>
      <c r="C497" s="516" t="n"/>
      <c r="D497" s="516" t="n"/>
      <c r="E497" s="516" t="n"/>
      <c r="F497" s="516" t="n"/>
      <c r="G497" s="516" t="n"/>
      <c r="H497" s="516" t="n"/>
      <c r="I497" s="516" t="n"/>
      <c r="J497" s="516" t="n"/>
      <c r="K497" s="516" t="n"/>
    </row>
    <row r="498">
      <c r="A498" s="516" t="n"/>
      <c r="B498" s="516" t="n"/>
      <c r="C498" s="516" t="n"/>
      <c r="D498" s="516" t="n"/>
      <c r="E498" s="516" t="n"/>
      <c r="F498" s="516" t="n"/>
      <c r="G498" s="516" t="n"/>
      <c r="H498" s="516" t="n"/>
      <c r="I498" s="516" t="n"/>
      <c r="J498" s="516" t="n"/>
      <c r="K498" s="516" t="n"/>
    </row>
    <row r="499">
      <c r="A499" s="516" t="n"/>
      <c r="B499" s="516" t="n"/>
      <c r="C499" s="516" t="n"/>
      <c r="D499" s="516" t="n"/>
      <c r="E499" s="516" t="n"/>
      <c r="F499" s="516" t="n"/>
      <c r="G499" s="516" t="n"/>
      <c r="H499" s="516" t="n"/>
      <c r="I499" s="516" t="n"/>
      <c r="J499" s="516" t="n"/>
      <c r="K499" s="516" t="n"/>
    </row>
    <row r="500">
      <c r="A500" s="516" t="n"/>
      <c r="B500" s="516" t="n"/>
      <c r="C500" s="516" t="n"/>
      <c r="D500" s="516" t="n"/>
      <c r="E500" s="516" t="n"/>
      <c r="F500" s="516" t="n"/>
      <c r="G500" s="516" t="n"/>
      <c r="H500" s="516" t="n"/>
      <c r="I500" s="516" t="n"/>
      <c r="J500" s="516" t="n"/>
      <c r="K500" s="516" t="n"/>
    </row>
    <row r="501">
      <c r="A501" s="516" t="n"/>
      <c r="B501" s="516" t="n"/>
      <c r="C501" s="516" t="n"/>
      <c r="D501" s="516" t="n"/>
      <c r="E501" s="516" t="n"/>
      <c r="F501" s="516" t="n"/>
      <c r="G501" s="516" t="n"/>
      <c r="H501" s="516" t="n"/>
      <c r="I501" s="516" t="n"/>
      <c r="J501" s="516" t="n"/>
      <c r="K501" s="516" t="n"/>
    </row>
    <row r="502">
      <c r="A502" s="516" t="n"/>
      <c r="B502" s="516" t="n"/>
      <c r="C502" s="516" t="n"/>
      <c r="D502" s="516" t="n"/>
      <c r="E502" s="516" t="n"/>
      <c r="F502" s="516" t="n"/>
      <c r="G502" s="516" t="n"/>
      <c r="H502" s="516" t="n"/>
      <c r="I502" s="516" t="n"/>
      <c r="J502" s="516" t="n"/>
      <c r="K502" s="516" t="n"/>
    </row>
    <row r="503">
      <c r="A503" s="516" t="n"/>
      <c r="B503" s="516" t="n"/>
      <c r="C503" s="516" t="n"/>
      <c r="D503" s="516" t="n"/>
      <c r="E503" s="516" t="n"/>
      <c r="F503" s="516" t="n"/>
      <c r="G503" s="516" t="n"/>
      <c r="H503" s="516" t="n"/>
      <c r="I503" s="516" t="n"/>
      <c r="J503" s="516" t="n"/>
      <c r="K503" s="516" t="n"/>
    </row>
    <row r="504">
      <c r="A504" s="516" t="n"/>
      <c r="B504" s="516" t="n"/>
      <c r="C504" s="516" t="n"/>
      <c r="D504" s="516" t="n"/>
      <c r="E504" s="516" t="n"/>
      <c r="F504" s="516" t="n"/>
      <c r="G504" s="516" t="n"/>
      <c r="H504" s="516" t="n"/>
      <c r="I504" s="516" t="n"/>
      <c r="J504" s="516" t="n"/>
      <c r="K504" s="516" t="n"/>
    </row>
    <row r="505">
      <c r="A505" s="516" t="n"/>
      <c r="B505" s="516" t="n"/>
      <c r="C505" s="516" t="n"/>
      <c r="D505" s="516" t="n"/>
      <c r="E505" s="516" t="n"/>
      <c r="F505" s="516" t="n"/>
      <c r="G505" s="516" t="n"/>
      <c r="H505" s="516" t="n"/>
      <c r="I505" s="516" t="n"/>
      <c r="J505" s="516" t="n"/>
      <c r="K505" s="516" t="n"/>
    </row>
    <row r="506">
      <c r="A506" s="516" t="n"/>
      <c r="B506" s="516" t="n"/>
      <c r="C506" s="516" t="n"/>
      <c r="D506" s="516" t="n"/>
      <c r="E506" s="516" t="n"/>
      <c r="F506" s="516" t="n"/>
      <c r="G506" s="516" t="n"/>
      <c r="H506" s="516" t="n"/>
      <c r="I506" s="516" t="n"/>
      <c r="J506" s="516" t="n"/>
      <c r="K506" s="516" t="n"/>
    </row>
    <row r="507">
      <c r="A507" s="516" t="n"/>
      <c r="B507" s="516" t="n"/>
      <c r="C507" s="516" t="n"/>
      <c r="D507" s="516" t="n"/>
      <c r="E507" s="516" t="n"/>
      <c r="F507" s="516" t="n"/>
      <c r="G507" s="516" t="n"/>
      <c r="H507" s="516" t="n"/>
      <c r="I507" s="516" t="n"/>
      <c r="J507" s="516" t="n"/>
      <c r="K507" s="516" t="n"/>
    </row>
    <row r="508">
      <c r="A508" s="516" t="n"/>
      <c r="B508" s="516" t="n"/>
      <c r="C508" s="516" t="n"/>
      <c r="D508" s="516" t="n"/>
      <c r="E508" s="516" t="n"/>
      <c r="F508" s="516" t="n"/>
      <c r="G508" s="516" t="n"/>
      <c r="H508" s="516" t="n"/>
      <c r="I508" s="516" t="n"/>
      <c r="J508" s="516" t="n"/>
      <c r="K508" s="516" t="n"/>
    </row>
    <row r="509">
      <c r="A509" s="516" t="n"/>
      <c r="B509" s="516" t="n"/>
      <c r="C509" s="516" t="n"/>
      <c r="D509" s="516" t="n"/>
      <c r="E509" s="516" t="n"/>
      <c r="F509" s="516" t="n"/>
      <c r="G509" s="516" t="n"/>
      <c r="H509" s="516" t="n"/>
      <c r="I509" s="516" t="n"/>
      <c r="J509" s="516" t="n"/>
      <c r="K509" s="516" t="n"/>
    </row>
    <row r="510">
      <c r="A510" s="516" t="n"/>
      <c r="B510" s="516" t="n"/>
      <c r="C510" s="516" t="n"/>
      <c r="D510" s="516" t="n"/>
      <c r="E510" s="516" t="n"/>
      <c r="F510" s="516" t="n"/>
      <c r="G510" s="516" t="n"/>
      <c r="H510" s="516" t="n"/>
      <c r="I510" s="516" t="n"/>
      <c r="J510" s="516" t="n"/>
      <c r="K510" s="516" t="n"/>
    </row>
    <row r="511">
      <c r="A511" s="516" t="n"/>
      <c r="B511" s="516" t="n"/>
      <c r="C511" s="516" t="n"/>
      <c r="D511" s="516" t="n"/>
      <c r="E511" s="516" t="n"/>
      <c r="F511" s="516" t="n"/>
      <c r="G511" s="516" t="n"/>
      <c r="H511" s="516" t="n"/>
      <c r="I511" s="516" t="n"/>
      <c r="J511" s="516" t="n"/>
      <c r="K511" s="516" t="n"/>
    </row>
    <row r="512">
      <c r="A512" s="516" t="n"/>
      <c r="B512" s="516" t="n"/>
      <c r="C512" s="516" t="n"/>
      <c r="D512" s="516" t="n"/>
      <c r="E512" s="516" t="n"/>
      <c r="F512" s="516" t="n"/>
      <c r="G512" s="516" t="n"/>
      <c r="H512" s="516" t="n"/>
      <c r="I512" s="516" t="n"/>
      <c r="J512" s="516" t="n"/>
      <c r="K512" s="516" t="n"/>
    </row>
    <row r="513">
      <c r="A513" s="516" t="n"/>
      <c r="B513" s="516" t="n"/>
      <c r="C513" s="516" t="n"/>
      <c r="D513" s="516" t="n"/>
      <c r="E513" s="516" t="n"/>
      <c r="F513" s="516" t="n"/>
      <c r="G513" s="516" t="n"/>
      <c r="H513" s="516" t="n"/>
      <c r="I513" s="516" t="n"/>
      <c r="J513" s="516" t="n"/>
      <c r="K513" s="516" t="n"/>
    </row>
    <row r="514">
      <c r="A514" s="516" t="n"/>
      <c r="B514" s="516" t="n"/>
      <c r="C514" s="516" t="n"/>
      <c r="D514" s="516" t="n"/>
      <c r="E514" s="516" t="n"/>
      <c r="F514" s="516" t="n"/>
      <c r="G514" s="516" t="n"/>
      <c r="H514" s="516" t="n"/>
      <c r="I514" s="516" t="n"/>
      <c r="J514" s="516" t="n"/>
      <c r="K514" s="516" t="n"/>
    </row>
    <row r="515">
      <c r="A515" s="516" t="n"/>
      <c r="B515" s="516" t="n"/>
      <c r="C515" s="516" t="n"/>
      <c r="D515" s="516" t="n"/>
      <c r="E515" s="516" t="n"/>
      <c r="F515" s="516" t="n"/>
      <c r="G515" s="516" t="n"/>
      <c r="H515" s="516" t="n"/>
      <c r="I515" s="516" t="n"/>
      <c r="J515" s="516" t="n"/>
      <c r="K515" s="516" t="n"/>
    </row>
    <row r="516">
      <c r="A516" s="516" t="n"/>
      <c r="B516" s="516" t="n"/>
      <c r="C516" s="516" t="n"/>
      <c r="D516" s="516" t="n"/>
      <c r="E516" s="516" t="n"/>
      <c r="F516" s="516" t="n"/>
      <c r="G516" s="516" t="n"/>
      <c r="H516" s="516" t="n"/>
      <c r="I516" s="516" t="n"/>
      <c r="J516" s="516" t="n"/>
      <c r="K516" s="516" t="n"/>
    </row>
    <row r="517">
      <c r="A517" s="516" t="n"/>
      <c r="B517" s="516" t="n"/>
      <c r="C517" s="516" t="n"/>
      <c r="D517" s="516" t="n"/>
      <c r="E517" s="516" t="n"/>
      <c r="F517" s="516" t="n"/>
      <c r="G517" s="516" t="n"/>
      <c r="H517" s="516" t="n"/>
      <c r="I517" s="516" t="n"/>
      <c r="J517" s="516" t="n"/>
      <c r="K517" s="516" t="n"/>
    </row>
    <row r="518">
      <c r="A518" s="516" t="n"/>
      <c r="B518" s="516" t="n"/>
      <c r="C518" s="516" t="n"/>
      <c r="D518" s="516" t="n"/>
      <c r="E518" s="516" t="n"/>
      <c r="F518" s="516" t="n"/>
      <c r="G518" s="516" t="n"/>
      <c r="H518" s="516" t="n"/>
      <c r="I518" s="516" t="n"/>
      <c r="J518" s="516" t="n"/>
      <c r="K518" s="516" t="n"/>
    </row>
    <row r="519">
      <c r="A519" s="516" t="n"/>
      <c r="B519" s="516" t="n"/>
      <c r="C519" s="516" t="n"/>
      <c r="D519" s="516" t="n"/>
      <c r="E519" s="516" t="n"/>
      <c r="F519" s="516" t="n"/>
      <c r="G519" s="516" t="n"/>
      <c r="H519" s="516" t="n"/>
      <c r="I519" s="516" t="n"/>
      <c r="J519" s="516" t="n"/>
      <c r="K519" s="516" t="n"/>
    </row>
    <row r="520">
      <c r="A520" s="516" t="n"/>
      <c r="B520" s="516" t="n"/>
      <c r="C520" s="516" t="n"/>
      <c r="D520" s="516" t="n"/>
      <c r="E520" s="516" t="n"/>
      <c r="F520" s="516" t="n"/>
      <c r="G520" s="516" t="n"/>
      <c r="H520" s="516" t="n"/>
      <c r="I520" s="516" t="n"/>
      <c r="J520" s="516" t="n"/>
      <c r="K520" s="516" t="n"/>
    </row>
    <row r="521">
      <c r="A521" s="516" t="n"/>
      <c r="B521" s="516" t="n"/>
      <c r="C521" s="516" t="n"/>
      <c r="D521" s="516" t="n"/>
      <c r="E521" s="516" t="n"/>
      <c r="F521" s="516" t="n"/>
      <c r="G521" s="516" t="n"/>
      <c r="H521" s="516" t="n"/>
      <c r="I521" s="516" t="n"/>
      <c r="J521" s="516" t="n"/>
      <c r="K521" s="516" t="n"/>
    </row>
    <row r="522">
      <c r="A522" s="516" t="n"/>
      <c r="B522" s="516" t="n"/>
      <c r="C522" s="516" t="n"/>
      <c r="D522" s="516" t="n"/>
      <c r="E522" s="516" t="n"/>
      <c r="F522" s="516" t="n"/>
      <c r="G522" s="516" t="n"/>
      <c r="H522" s="516" t="n"/>
      <c r="I522" s="516" t="n"/>
      <c r="J522" s="516" t="n"/>
      <c r="K522" s="516" t="n"/>
    </row>
    <row r="523">
      <c r="A523" s="516" t="n"/>
      <c r="B523" s="516" t="n"/>
      <c r="C523" s="516" t="n"/>
      <c r="D523" s="516" t="n"/>
      <c r="E523" s="516" t="n"/>
      <c r="F523" s="516" t="n"/>
      <c r="G523" s="516" t="n"/>
      <c r="H523" s="516" t="n"/>
      <c r="I523" s="516" t="n"/>
      <c r="J523" s="516" t="n"/>
      <c r="K523" s="516" t="n"/>
    </row>
    <row r="524">
      <c r="A524" s="516" t="n"/>
      <c r="B524" s="516" t="n"/>
      <c r="C524" s="516" t="n"/>
      <c r="D524" s="516" t="n"/>
      <c r="E524" s="516" t="n"/>
      <c r="F524" s="516" t="n"/>
      <c r="G524" s="516" t="n"/>
      <c r="H524" s="516" t="n"/>
      <c r="I524" s="516" t="n"/>
      <c r="J524" s="516" t="n"/>
      <c r="K524" s="516" t="n"/>
    </row>
    <row r="525">
      <c r="A525" s="516" t="n"/>
      <c r="B525" s="516" t="n"/>
      <c r="C525" s="516" t="n"/>
      <c r="D525" s="516" t="n"/>
      <c r="E525" s="516" t="n"/>
      <c r="F525" s="516" t="n"/>
      <c r="G525" s="516" t="n"/>
      <c r="H525" s="516" t="n"/>
      <c r="I525" s="516" t="n"/>
      <c r="J525" s="516" t="n"/>
      <c r="K525" s="516" t="n"/>
    </row>
    <row r="526">
      <c r="A526" s="516" t="n"/>
      <c r="B526" s="516" t="n"/>
      <c r="C526" s="516" t="n"/>
      <c r="D526" s="516" t="n"/>
      <c r="E526" s="516" t="n"/>
      <c r="F526" s="516" t="n"/>
      <c r="G526" s="516" t="n"/>
      <c r="H526" s="516" t="n"/>
      <c r="I526" s="516" t="n"/>
      <c r="J526" s="516" t="n"/>
      <c r="K526" s="516" t="n"/>
    </row>
    <row r="527">
      <c r="A527" s="516" t="n"/>
      <c r="B527" s="516" t="n"/>
      <c r="C527" s="516" t="n"/>
      <c r="D527" s="516" t="n"/>
      <c r="E527" s="516" t="n"/>
      <c r="F527" s="516" t="n"/>
      <c r="G527" s="516" t="n"/>
      <c r="H527" s="516" t="n"/>
      <c r="I527" s="516" t="n"/>
      <c r="J527" s="516" t="n"/>
      <c r="K527" s="516" t="n"/>
    </row>
    <row r="528">
      <c r="A528" s="516" t="n"/>
      <c r="B528" s="516" t="n"/>
      <c r="C528" s="516" t="n"/>
      <c r="D528" s="516" t="n"/>
      <c r="E528" s="516" t="n"/>
      <c r="F528" s="516" t="n"/>
      <c r="G528" s="516" t="n"/>
      <c r="H528" s="516" t="n"/>
      <c r="I528" s="516" t="n"/>
      <c r="J528" s="516" t="n"/>
      <c r="K528" s="516" t="n"/>
    </row>
    <row r="529">
      <c r="A529" s="516" t="n"/>
      <c r="B529" s="516" t="n"/>
      <c r="C529" s="516" t="n"/>
      <c r="D529" s="516" t="n"/>
      <c r="E529" s="516" t="n"/>
      <c r="F529" s="516" t="n"/>
      <c r="G529" s="516" t="n"/>
      <c r="H529" s="516" t="n"/>
      <c r="I529" s="516" t="n"/>
      <c r="J529" s="516" t="n"/>
      <c r="K529" s="516" t="n"/>
    </row>
    <row r="530">
      <c r="A530" s="516" t="n"/>
      <c r="B530" s="516" t="n"/>
      <c r="C530" s="516" t="n"/>
      <c r="D530" s="516" t="n"/>
      <c r="E530" s="516" t="n"/>
      <c r="F530" s="516" t="n"/>
      <c r="G530" s="516" t="n"/>
      <c r="H530" s="516" t="n"/>
      <c r="I530" s="516" t="n"/>
      <c r="J530" s="516" t="n"/>
      <c r="K530" s="516" t="n"/>
    </row>
    <row r="531">
      <c r="A531" s="516" t="n"/>
      <c r="B531" s="516" t="n"/>
      <c r="C531" s="516" t="n"/>
      <c r="D531" s="516" t="n"/>
      <c r="E531" s="516" t="n"/>
      <c r="F531" s="516" t="n"/>
      <c r="G531" s="516" t="n"/>
      <c r="H531" s="516" t="n"/>
      <c r="I531" s="516" t="n"/>
      <c r="J531" s="516" t="n"/>
      <c r="K531" s="516" t="n"/>
    </row>
    <row r="532">
      <c r="A532" s="516" t="n"/>
      <c r="B532" s="516" t="n"/>
      <c r="C532" s="516" t="n"/>
      <c r="D532" s="516" t="n"/>
      <c r="E532" s="516" t="n"/>
      <c r="F532" s="516" t="n"/>
      <c r="G532" s="516" t="n"/>
      <c r="H532" s="516" t="n"/>
      <c r="I532" s="516" t="n"/>
      <c r="J532" s="516" t="n"/>
      <c r="K532" s="516" t="n"/>
    </row>
    <row r="533">
      <c r="A533" s="516" t="n"/>
      <c r="B533" s="516" t="n"/>
      <c r="C533" s="516" t="n"/>
      <c r="D533" s="516" t="n"/>
      <c r="E533" s="516" t="n"/>
      <c r="F533" s="516" t="n"/>
      <c r="G533" s="516" t="n"/>
      <c r="H533" s="516" t="n"/>
      <c r="I533" s="516" t="n"/>
      <c r="J533" s="516" t="n"/>
      <c r="K533" s="516" t="n"/>
    </row>
    <row r="534">
      <c r="A534" s="516" t="n"/>
      <c r="B534" s="516" t="n"/>
      <c r="C534" s="516" t="n"/>
      <c r="D534" s="516" t="n"/>
      <c r="E534" s="516" t="n"/>
      <c r="F534" s="516" t="n"/>
      <c r="G534" s="516" t="n"/>
      <c r="H534" s="516" t="n"/>
      <c r="I534" s="516" t="n"/>
      <c r="J534" s="516" t="n"/>
      <c r="K534" s="516" t="n"/>
    </row>
    <row r="535">
      <c r="A535" s="516" t="n"/>
      <c r="B535" s="516" t="n"/>
      <c r="C535" s="516" t="n"/>
      <c r="D535" s="516" t="n"/>
      <c r="E535" s="516" t="n"/>
      <c r="F535" s="516" t="n"/>
      <c r="G535" s="516" t="n"/>
      <c r="H535" s="516" t="n"/>
      <c r="I535" s="516" t="n"/>
      <c r="J535" s="516" t="n"/>
      <c r="K535" s="516" t="n"/>
    </row>
    <row r="536">
      <c r="A536" s="516" t="n"/>
      <c r="B536" s="516" t="n"/>
      <c r="C536" s="516" t="n"/>
      <c r="D536" s="516" t="n"/>
      <c r="E536" s="516" t="n"/>
      <c r="F536" s="516" t="n"/>
      <c r="G536" s="516" t="n"/>
      <c r="H536" s="516" t="n"/>
      <c r="I536" s="516" t="n"/>
      <c r="J536" s="516" t="n"/>
      <c r="K536" s="516" t="n"/>
    </row>
    <row r="537">
      <c r="A537" s="516" t="n"/>
      <c r="B537" s="516" t="n"/>
      <c r="C537" s="516" t="n"/>
      <c r="D537" s="516" t="n"/>
      <c r="E537" s="516" t="n"/>
      <c r="F537" s="516" t="n"/>
      <c r="G537" s="516" t="n"/>
      <c r="H537" s="516" t="n"/>
      <c r="I537" s="516" t="n"/>
      <c r="J537" s="516" t="n"/>
      <c r="K537" s="516" t="n"/>
    </row>
    <row r="538">
      <c r="A538" s="516" t="n"/>
      <c r="B538" s="516" t="n"/>
      <c r="C538" s="516" t="n"/>
      <c r="D538" s="516" t="n"/>
      <c r="E538" s="516" t="n"/>
      <c r="F538" s="516" t="n"/>
      <c r="G538" s="516" t="n"/>
      <c r="H538" s="516" t="n"/>
      <c r="I538" s="516" t="n"/>
      <c r="J538" s="516" t="n"/>
      <c r="K538" s="516" t="n"/>
    </row>
    <row r="539">
      <c r="A539" s="516" t="n"/>
      <c r="B539" s="516" t="n"/>
      <c r="C539" s="516" t="n"/>
      <c r="D539" s="516" t="n"/>
      <c r="E539" s="516" t="n"/>
      <c r="F539" s="516" t="n"/>
      <c r="G539" s="516" t="n"/>
      <c r="H539" s="516" t="n"/>
      <c r="I539" s="516" t="n"/>
      <c r="J539" s="516" t="n"/>
      <c r="K539" s="516" t="n"/>
    </row>
    <row r="540">
      <c r="A540" s="516" t="n"/>
      <c r="B540" s="516" t="n"/>
      <c r="C540" s="516" t="n"/>
      <c r="D540" s="516" t="n"/>
      <c r="E540" s="516" t="n"/>
      <c r="F540" s="516" t="n"/>
      <c r="G540" s="516" t="n"/>
      <c r="H540" s="516" t="n"/>
      <c r="I540" s="516" t="n"/>
      <c r="J540" s="516" t="n"/>
      <c r="K540" s="516" t="n"/>
    </row>
    <row r="541">
      <c r="A541" s="516" t="n"/>
      <c r="B541" s="516" t="n"/>
      <c r="C541" s="516" t="n"/>
      <c r="D541" s="516" t="n"/>
      <c r="E541" s="516" t="n"/>
      <c r="F541" s="516" t="n"/>
      <c r="G541" s="516" t="n"/>
      <c r="H541" s="516" t="n"/>
      <c r="I541" s="516" t="n"/>
      <c r="J541" s="516" t="n"/>
      <c r="K541" s="516" t="n"/>
    </row>
    <row r="542">
      <c r="A542" s="516" t="n"/>
      <c r="B542" s="516" t="n"/>
      <c r="C542" s="516" t="n"/>
      <c r="D542" s="516" t="n"/>
      <c r="E542" s="516" t="n"/>
      <c r="F542" s="516" t="n"/>
      <c r="G542" s="516" t="n"/>
      <c r="H542" s="516" t="n"/>
      <c r="I542" s="516" t="n"/>
      <c r="J542" s="516" t="n"/>
      <c r="K542" s="516" t="n"/>
    </row>
    <row r="543">
      <c r="A543" s="516" t="n"/>
      <c r="B543" s="516" t="n"/>
      <c r="C543" s="516" t="n"/>
      <c r="D543" s="516" t="n"/>
      <c r="E543" s="516" t="n"/>
      <c r="F543" s="516" t="n"/>
      <c r="G543" s="516" t="n"/>
      <c r="H543" s="516" t="n"/>
      <c r="I543" s="516" t="n"/>
      <c r="J543" s="516" t="n"/>
      <c r="K543" s="516" t="n"/>
    </row>
    <row r="544">
      <c r="A544" s="516" t="n"/>
      <c r="B544" s="516" t="n"/>
      <c r="C544" s="516" t="n"/>
      <c r="D544" s="516" t="n"/>
      <c r="E544" s="516" t="n"/>
      <c r="F544" s="516" t="n"/>
      <c r="G544" s="516" t="n"/>
      <c r="H544" s="516" t="n"/>
      <c r="I544" s="516" t="n"/>
      <c r="J544" s="516" t="n"/>
      <c r="K544" s="516" t="n"/>
    </row>
    <row r="545">
      <c r="A545" s="516" t="n"/>
      <c r="B545" s="516" t="n"/>
      <c r="C545" s="516" t="n"/>
      <c r="D545" s="516" t="n"/>
      <c r="E545" s="516" t="n"/>
      <c r="F545" s="516" t="n"/>
      <c r="G545" s="516" t="n"/>
      <c r="H545" s="516" t="n"/>
      <c r="I545" s="516" t="n"/>
      <c r="J545" s="516" t="n"/>
      <c r="K545" s="516" t="n"/>
    </row>
    <row r="546">
      <c r="A546" s="516" t="n"/>
      <c r="B546" s="516" t="n"/>
      <c r="C546" s="516" t="n"/>
      <c r="D546" s="516" t="n"/>
      <c r="E546" s="516" t="n"/>
      <c r="F546" s="516" t="n"/>
      <c r="G546" s="516" t="n"/>
      <c r="H546" s="516" t="n"/>
      <c r="I546" s="516" t="n"/>
      <c r="J546" s="516" t="n"/>
      <c r="K546" s="516" t="n"/>
    </row>
    <row r="547">
      <c r="A547" s="516" t="n"/>
      <c r="B547" s="516" t="n"/>
      <c r="C547" s="516" t="n"/>
      <c r="D547" s="516" t="n"/>
      <c r="E547" s="516" t="n"/>
      <c r="F547" s="516" t="n"/>
      <c r="G547" s="516" t="n"/>
      <c r="H547" s="516" t="n"/>
      <c r="I547" s="516" t="n"/>
      <c r="J547" s="516" t="n"/>
      <c r="K547" s="516" t="n"/>
    </row>
    <row r="548">
      <c r="A548" s="516" t="n"/>
      <c r="B548" s="516" t="n"/>
      <c r="C548" s="516" t="n"/>
      <c r="D548" s="516" t="n"/>
      <c r="E548" s="516" t="n"/>
      <c r="F548" s="516" t="n"/>
      <c r="G548" s="516" t="n"/>
      <c r="H548" s="516" t="n"/>
      <c r="I548" s="516" t="n"/>
      <c r="J548" s="516" t="n"/>
      <c r="K548" s="516" t="n"/>
    </row>
    <row r="549">
      <c r="A549" s="516" t="n"/>
      <c r="B549" s="516" t="n"/>
      <c r="C549" s="516" t="n"/>
      <c r="D549" s="516" t="n"/>
      <c r="E549" s="516" t="n"/>
      <c r="F549" s="516" t="n"/>
      <c r="G549" s="516" t="n"/>
      <c r="H549" s="516" t="n"/>
      <c r="I549" s="516" t="n"/>
      <c r="J549" s="516" t="n"/>
      <c r="K549" s="516" t="n"/>
    </row>
    <row r="550">
      <c r="A550" s="516" t="n"/>
      <c r="B550" s="516" t="n"/>
      <c r="C550" s="516" t="n"/>
      <c r="D550" s="516" t="n"/>
      <c r="E550" s="516" t="n"/>
      <c r="F550" s="516" t="n"/>
      <c r="G550" s="516" t="n"/>
      <c r="H550" s="516" t="n"/>
      <c r="I550" s="516" t="n"/>
      <c r="J550" s="516" t="n"/>
      <c r="K550" s="516" t="n"/>
    </row>
    <row r="551">
      <c r="A551" s="516" t="n"/>
      <c r="B551" s="516" t="n"/>
      <c r="C551" s="516" t="n"/>
      <c r="D551" s="516" t="n"/>
      <c r="E551" s="516" t="n"/>
      <c r="F551" s="516" t="n"/>
      <c r="G551" s="516" t="n"/>
      <c r="H551" s="516" t="n"/>
      <c r="I551" s="516" t="n"/>
      <c r="J551" s="516" t="n"/>
      <c r="K551" s="516" t="n"/>
    </row>
    <row r="552">
      <c r="A552" s="516" t="n"/>
      <c r="B552" s="516" t="n"/>
      <c r="C552" s="516" t="n"/>
      <c r="D552" s="516" t="n"/>
      <c r="E552" s="516" t="n"/>
      <c r="F552" s="516" t="n"/>
      <c r="G552" s="516" t="n"/>
      <c r="H552" s="516" t="n"/>
      <c r="I552" s="516" t="n"/>
      <c r="J552" s="516" t="n"/>
      <c r="K552" s="516" t="n"/>
    </row>
    <row r="553">
      <c r="A553" s="516" t="n"/>
      <c r="B553" s="516" t="n"/>
      <c r="C553" s="516" t="n"/>
      <c r="D553" s="516" t="n"/>
      <c r="E553" s="516" t="n"/>
      <c r="F553" s="516" t="n"/>
      <c r="G553" s="516" t="n"/>
      <c r="H553" s="516" t="n"/>
      <c r="I553" s="516" t="n"/>
      <c r="J553" s="516" t="n"/>
      <c r="K553" s="516" t="n"/>
    </row>
    <row r="554">
      <c r="A554" s="516" t="n"/>
      <c r="B554" s="516" t="n"/>
      <c r="C554" s="516" t="n"/>
      <c r="D554" s="516" t="n"/>
      <c r="E554" s="516" t="n"/>
      <c r="F554" s="516" t="n"/>
      <c r="G554" s="516" t="n"/>
      <c r="H554" s="516" t="n"/>
      <c r="I554" s="516" t="n"/>
      <c r="J554" s="516" t="n"/>
      <c r="K554" s="516" t="n"/>
    </row>
    <row r="555">
      <c r="A555" s="516" t="n"/>
      <c r="B555" s="516" t="n"/>
      <c r="C555" s="516" t="n"/>
      <c r="D555" s="516" t="n"/>
      <c r="E555" s="516" t="n"/>
      <c r="F555" s="516" t="n"/>
      <c r="G555" s="516" t="n"/>
      <c r="H555" s="516" t="n"/>
      <c r="I555" s="516" t="n"/>
      <c r="J555" s="516" t="n"/>
      <c r="K555" s="516" t="n"/>
    </row>
    <row r="556">
      <c r="A556" s="516" t="n"/>
      <c r="B556" s="516" t="n"/>
      <c r="C556" s="516" t="n"/>
      <c r="D556" s="516" t="n"/>
      <c r="E556" s="516" t="n"/>
      <c r="F556" s="516" t="n"/>
      <c r="G556" s="516" t="n"/>
      <c r="H556" s="516" t="n"/>
      <c r="I556" s="516" t="n"/>
      <c r="J556" s="516" t="n"/>
      <c r="K556" s="516" t="n"/>
    </row>
    <row r="557">
      <c r="A557" s="516" t="n"/>
      <c r="B557" s="516" t="n"/>
      <c r="C557" s="516" t="n"/>
      <c r="D557" s="516" t="n"/>
      <c r="E557" s="516" t="n"/>
      <c r="F557" s="516" t="n"/>
      <c r="G557" s="516" t="n"/>
      <c r="H557" s="516" t="n"/>
      <c r="I557" s="516" t="n"/>
      <c r="J557" s="516" t="n"/>
      <c r="K557" s="516" t="n"/>
    </row>
    <row r="558">
      <c r="A558" s="516" t="n"/>
      <c r="B558" s="516" t="n"/>
      <c r="C558" s="516" t="n"/>
      <c r="D558" s="516" t="n"/>
      <c r="E558" s="516" t="n"/>
      <c r="F558" s="516" t="n"/>
      <c r="G558" s="516" t="n"/>
      <c r="H558" s="516" t="n"/>
      <c r="I558" s="516" t="n"/>
      <c r="J558" s="516" t="n"/>
      <c r="K558" s="516" t="n"/>
    </row>
    <row r="559">
      <c r="A559" s="516" t="n"/>
      <c r="B559" s="516" t="n"/>
      <c r="C559" s="516" t="n"/>
      <c r="D559" s="516" t="n"/>
      <c r="E559" s="516" t="n"/>
      <c r="F559" s="516" t="n"/>
      <c r="G559" s="516" t="n"/>
      <c r="H559" s="516" t="n"/>
      <c r="I559" s="516" t="n"/>
      <c r="J559" s="516" t="n"/>
      <c r="K559" s="516" t="n"/>
    </row>
    <row r="560">
      <c r="A560" s="516" t="n"/>
      <c r="B560" s="516" t="n"/>
      <c r="C560" s="516" t="n"/>
      <c r="D560" s="516" t="n"/>
      <c r="E560" s="516" t="n"/>
      <c r="F560" s="516" t="n"/>
      <c r="G560" s="516" t="n"/>
      <c r="H560" s="516" t="n"/>
      <c r="I560" s="516" t="n"/>
      <c r="J560" s="516" t="n"/>
      <c r="K560" s="516" t="n"/>
    </row>
    <row r="561">
      <c r="A561" s="516" t="n"/>
      <c r="B561" s="516" t="n"/>
      <c r="C561" s="516" t="n"/>
      <c r="D561" s="516" t="n"/>
      <c r="E561" s="516" t="n"/>
      <c r="F561" s="516" t="n"/>
      <c r="G561" s="516" t="n"/>
      <c r="H561" s="516" t="n"/>
      <c r="I561" s="516" t="n"/>
      <c r="J561" s="516" t="n"/>
      <c r="K561" s="516" t="n"/>
    </row>
    <row r="562">
      <c r="A562" s="516" t="n"/>
      <c r="B562" s="516" t="n"/>
      <c r="C562" s="516" t="n"/>
      <c r="D562" s="516" t="n"/>
      <c r="E562" s="516" t="n"/>
      <c r="F562" s="516" t="n"/>
      <c r="G562" s="516" t="n"/>
      <c r="H562" s="516" t="n"/>
      <c r="I562" s="516" t="n"/>
      <c r="J562" s="516" t="n"/>
      <c r="K562" s="516" t="n"/>
    </row>
    <row r="563">
      <c r="A563" s="516" t="n"/>
      <c r="B563" s="516" t="n"/>
      <c r="C563" s="516" t="n"/>
      <c r="D563" s="516" t="n"/>
      <c r="E563" s="516" t="n"/>
      <c r="F563" s="516" t="n"/>
      <c r="G563" s="516" t="n"/>
      <c r="H563" s="516" t="n"/>
      <c r="I563" s="516" t="n"/>
      <c r="J563" s="516" t="n"/>
      <c r="K563" s="516" t="n"/>
    </row>
    <row r="564">
      <c r="A564" s="516" t="n"/>
      <c r="B564" s="516" t="n"/>
      <c r="C564" s="516" t="n"/>
      <c r="D564" s="516" t="n"/>
      <c r="E564" s="516" t="n"/>
      <c r="F564" s="516" t="n"/>
      <c r="G564" s="516" t="n"/>
      <c r="H564" s="516" t="n"/>
      <c r="I564" s="516" t="n"/>
      <c r="J564" s="516" t="n"/>
      <c r="K564" s="516" t="n"/>
    </row>
    <row r="565">
      <c r="A565" s="516" t="n"/>
      <c r="B565" s="516" t="n"/>
      <c r="C565" s="516" t="n"/>
      <c r="D565" s="516" t="n"/>
      <c r="E565" s="516" t="n"/>
      <c r="F565" s="516" t="n"/>
      <c r="G565" s="516" t="n"/>
      <c r="H565" s="516" t="n"/>
      <c r="I565" s="516" t="n"/>
      <c r="J565" s="516" t="n"/>
      <c r="K565" s="516" t="n"/>
    </row>
    <row r="566">
      <c r="A566" s="516" t="n"/>
      <c r="B566" s="516" t="n"/>
      <c r="C566" s="516" t="n"/>
      <c r="D566" s="516" t="n"/>
      <c r="E566" s="516" t="n"/>
      <c r="F566" s="516" t="n"/>
      <c r="G566" s="516" t="n"/>
      <c r="H566" s="516" t="n"/>
      <c r="I566" s="516" t="n"/>
      <c r="J566" s="516" t="n"/>
      <c r="K566" s="516" t="n"/>
    </row>
    <row r="567">
      <c r="A567" s="516" t="n"/>
      <c r="B567" s="516" t="n"/>
      <c r="C567" s="516" t="n"/>
      <c r="D567" s="516" t="n"/>
      <c r="E567" s="516" t="n"/>
      <c r="F567" s="516" t="n"/>
      <c r="G567" s="516" t="n"/>
      <c r="H567" s="516" t="n"/>
      <c r="I567" s="516" t="n"/>
      <c r="J567" s="516" t="n"/>
      <c r="K567" s="516" t="n"/>
    </row>
    <row r="568">
      <c r="A568" s="516" t="n"/>
      <c r="B568" s="516" t="n"/>
      <c r="C568" s="516" t="n"/>
      <c r="D568" s="516" t="n"/>
      <c r="E568" s="516" t="n"/>
      <c r="F568" s="516" t="n"/>
      <c r="G568" s="516" t="n"/>
      <c r="H568" s="516" t="n"/>
      <c r="I568" s="516" t="n"/>
      <c r="J568" s="516" t="n"/>
      <c r="K568" s="516" t="n"/>
    </row>
    <row r="569">
      <c r="A569" s="516" t="n"/>
      <c r="B569" s="516" t="n"/>
      <c r="C569" s="516" t="n"/>
      <c r="D569" s="516" t="n"/>
      <c r="E569" s="516" t="n"/>
      <c r="F569" s="516" t="n"/>
      <c r="G569" s="516" t="n"/>
      <c r="H569" s="516" t="n"/>
      <c r="I569" s="516" t="n"/>
      <c r="J569" s="516" t="n"/>
      <c r="K569" s="516" t="n"/>
    </row>
    <row r="570">
      <c r="A570" s="516" t="n"/>
      <c r="B570" s="516" t="n"/>
      <c r="C570" s="516" t="n"/>
      <c r="D570" s="516" t="n"/>
      <c r="E570" s="516" t="n"/>
      <c r="F570" s="516" t="n"/>
      <c r="G570" s="516" t="n"/>
      <c r="H570" s="516" t="n"/>
      <c r="I570" s="516" t="n"/>
      <c r="J570" s="516" t="n"/>
      <c r="K570" s="516" t="n"/>
    </row>
    <row r="571">
      <c r="A571" s="516" t="n"/>
      <c r="B571" s="516" t="n"/>
      <c r="C571" s="516" t="n"/>
      <c r="D571" s="516" t="n"/>
      <c r="E571" s="516" t="n"/>
      <c r="F571" s="516" t="n"/>
      <c r="G571" s="516" t="n"/>
      <c r="H571" s="516" t="n"/>
      <c r="I571" s="516" t="n"/>
      <c r="J571" s="516" t="n"/>
      <c r="K571" s="516" t="n"/>
    </row>
    <row r="572">
      <c r="A572" s="516" t="n"/>
      <c r="B572" s="516" t="n"/>
      <c r="C572" s="516" t="n"/>
      <c r="D572" s="516" t="n"/>
      <c r="E572" s="516" t="n"/>
      <c r="F572" s="516" t="n"/>
      <c r="G572" s="516" t="n"/>
      <c r="H572" s="516" t="n"/>
      <c r="I572" s="516" t="n"/>
      <c r="J572" s="516" t="n"/>
      <c r="K572" s="516" t="n"/>
    </row>
    <row r="573">
      <c r="A573" s="516" t="n"/>
      <c r="B573" s="516" t="n"/>
      <c r="C573" s="516" t="n"/>
      <c r="D573" s="516" t="n"/>
      <c r="E573" s="516" t="n"/>
      <c r="F573" s="516" t="n"/>
      <c r="G573" s="516" t="n"/>
      <c r="H573" s="516" t="n"/>
      <c r="I573" s="516" t="n"/>
      <c r="J573" s="516" t="n"/>
      <c r="K573" s="516" t="n"/>
    </row>
    <row r="574">
      <c r="A574" s="516" t="n"/>
      <c r="B574" s="516" t="n"/>
      <c r="C574" s="516" t="n"/>
      <c r="D574" s="516" t="n"/>
      <c r="E574" s="516" t="n"/>
      <c r="F574" s="516" t="n"/>
      <c r="G574" s="516" t="n"/>
      <c r="H574" s="516" t="n"/>
      <c r="I574" s="516" t="n"/>
      <c r="J574" s="516" t="n"/>
      <c r="K574" s="516" t="n"/>
    </row>
    <row r="575">
      <c r="A575" s="516" t="n"/>
      <c r="B575" s="516" t="n"/>
      <c r="C575" s="516" t="n"/>
      <c r="D575" s="516" t="n"/>
      <c r="E575" s="516" t="n"/>
      <c r="F575" s="516" t="n"/>
      <c r="G575" s="516" t="n"/>
      <c r="H575" s="516" t="n"/>
      <c r="I575" s="516" t="n"/>
      <c r="J575" s="516" t="n"/>
      <c r="K575" s="516" t="n"/>
    </row>
    <row r="576">
      <c r="A576" s="516" t="n"/>
      <c r="B576" s="516" t="n"/>
      <c r="C576" s="516" t="n"/>
      <c r="D576" s="516" t="n"/>
      <c r="E576" s="516" t="n"/>
      <c r="F576" s="516" t="n"/>
      <c r="G576" s="516" t="n"/>
      <c r="H576" s="516" t="n"/>
      <c r="I576" s="516" t="n"/>
      <c r="J576" s="516" t="n"/>
      <c r="K576" s="516" t="n"/>
    </row>
    <row r="577">
      <c r="A577" s="516" t="n"/>
      <c r="B577" s="516" t="n"/>
      <c r="C577" s="516" t="n"/>
      <c r="D577" s="516" t="n"/>
      <c r="E577" s="516" t="n"/>
      <c r="F577" s="516" t="n"/>
      <c r="G577" s="516" t="n"/>
      <c r="H577" s="516" t="n"/>
      <c r="I577" s="516" t="n"/>
      <c r="J577" s="516" t="n"/>
      <c r="K577" s="516" t="n"/>
    </row>
    <row r="578">
      <c r="A578" s="516" t="n"/>
      <c r="B578" s="516" t="n"/>
      <c r="C578" s="516" t="n"/>
      <c r="D578" s="516" t="n"/>
      <c r="E578" s="516" t="n"/>
      <c r="F578" s="516" t="n"/>
      <c r="G578" s="516" t="n"/>
      <c r="H578" s="516" t="n"/>
      <c r="I578" s="516" t="n"/>
      <c r="J578" s="516" t="n"/>
      <c r="K578" s="516" t="n"/>
    </row>
    <row r="579">
      <c r="A579" s="516" t="n"/>
      <c r="B579" s="516" t="n"/>
      <c r="C579" s="516" t="n"/>
      <c r="D579" s="516" t="n"/>
      <c r="E579" s="516" t="n"/>
      <c r="F579" s="516" t="n"/>
      <c r="G579" s="516" t="n"/>
      <c r="H579" s="516" t="n"/>
      <c r="I579" s="516" t="n"/>
      <c r="J579" s="516" t="n"/>
      <c r="K579" s="516" t="n"/>
    </row>
    <row r="580">
      <c r="A580" s="516" t="n"/>
      <c r="B580" s="516" t="n"/>
      <c r="C580" s="516" t="n"/>
      <c r="D580" s="516" t="n"/>
      <c r="E580" s="516" t="n"/>
      <c r="F580" s="516" t="n"/>
      <c r="G580" s="516" t="n"/>
      <c r="H580" s="516" t="n"/>
      <c r="I580" s="516" t="n"/>
      <c r="J580" s="516" t="n"/>
      <c r="K580" s="516" t="n"/>
    </row>
    <row r="581">
      <c r="A581" s="516" t="n"/>
      <c r="B581" s="516" t="n"/>
      <c r="C581" s="516" t="n"/>
      <c r="D581" s="516" t="n"/>
      <c r="E581" s="516" t="n"/>
      <c r="F581" s="516" t="n"/>
      <c r="G581" s="516" t="n"/>
      <c r="H581" s="516" t="n"/>
      <c r="I581" s="516" t="n"/>
      <c r="J581" s="516" t="n"/>
      <c r="K581" s="516" t="n"/>
    </row>
    <row r="582">
      <c r="A582" s="516" t="n"/>
      <c r="B582" s="516" t="n"/>
      <c r="C582" s="516" t="n"/>
      <c r="D582" s="516" t="n"/>
      <c r="E582" s="516" t="n"/>
      <c r="F582" s="516" t="n"/>
      <c r="G582" s="516" t="n"/>
      <c r="H582" s="516" t="n"/>
      <c r="I582" s="516" t="n"/>
      <c r="J582" s="516" t="n"/>
      <c r="K582" s="516" t="n"/>
    </row>
    <row r="583">
      <c r="A583" s="516" t="n"/>
      <c r="B583" s="516" t="n"/>
      <c r="C583" s="516" t="n"/>
      <c r="D583" s="516" t="n"/>
      <c r="E583" s="516" t="n"/>
      <c r="F583" s="516" t="n"/>
      <c r="G583" s="516" t="n"/>
      <c r="H583" s="516" t="n"/>
      <c r="I583" s="516" t="n"/>
      <c r="J583" s="516" t="n"/>
      <c r="K583" s="516" t="n"/>
    </row>
    <row r="584">
      <c r="A584" s="516" t="n"/>
      <c r="B584" s="516" t="n"/>
      <c r="C584" s="516" t="n"/>
      <c r="D584" s="516" t="n"/>
      <c r="E584" s="516" t="n"/>
      <c r="F584" s="516" t="n"/>
      <c r="G584" s="516" t="n"/>
      <c r="H584" s="516" t="n"/>
      <c r="I584" s="516" t="n"/>
      <c r="J584" s="516" t="n"/>
      <c r="K584" s="516" t="n"/>
    </row>
    <row r="585">
      <c r="A585" s="516" t="n"/>
      <c r="B585" s="516" t="n"/>
      <c r="C585" s="516" t="n"/>
      <c r="D585" s="516" t="n"/>
      <c r="E585" s="516" t="n"/>
      <c r="F585" s="516" t="n"/>
      <c r="G585" s="516" t="n"/>
      <c r="H585" s="516" t="n"/>
      <c r="I585" s="516" t="n"/>
      <c r="J585" s="516" t="n"/>
      <c r="K585" s="516" t="n"/>
    </row>
    <row r="586">
      <c r="A586" s="516" t="n"/>
      <c r="B586" s="516" t="n"/>
      <c r="C586" s="516" t="n"/>
      <c r="D586" s="516" t="n"/>
      <c r="E586" s="516" t="n"/>
      <c r="F586" s="516" t="n"/>
      <c r="G586" s="516" t="n"/>
      <c r="H586" s="516" t="n"/>
      <c r="I586" s="516" t="n"/>
      <c r="J586" s="516" t="n"/>
      <c r="K586" s="516" t="n"/>
    </row>
    <row r="587">
      <c r="A587" s="516" t="n"/>
      <c r="B587" s="516" t="n"/>
      <c r="C587" s="516" t="n"/>
      <c r="D587" s="516" t="n"/>
      <c r="E587" s="516" t="n"/>
      <c r="F587" s="516" t="n"/>
      <c r="G587" s="516" t="n"/>
      <c r="H587" s="516" t="n"/>
      <c r="I587" s="516" t="n"/>
      <c r="J587" s="516" t="n"/>
      <c r="K587" s="516" t="n"/>
    </row>
    <row r="588">
      <c r="A588" s="516" t="n"/>
      <c r="B588" s="516" t="n"/>
      <c r="C588" s="516" t="n"/>
      <c r="D588" s="516" t="n"/>
      <c r="E588" s="516" t="n"/>
      <c r="F588" s="516" t="n"/>
      <c r="G588" s="516" t="n"/>
      <c r="H588" s="516" t="n"/>
      <c r="I588" s="516" t="n"/>
      <c r="J588" s="516" t="n"/>
      <c r="K588" s="516" t="n"/>
    </row>
    <row r="589">
      <c r="A589" s="516" t="n"/>
      <c r="B589" s="516" t="n"/>
      <c r="C589" s="516" t="n"/>
      <c r="D589" s="516" t="n"/>
      <c r="E589" s="516" t="n"/>
      <c r="F589" s="516" t="n"/>
      <c r="G589" s="516" t="n"/>
      <c r="H589" s="516" t="n"/>
      <c r="I589" s="516" t="n"/>
      <c r="J589" s="516" t="n"/>
      <c r="K589" s="516" t="n"/>
    </row>
    <row r="590">
      <c r="A590" s="516" t="n"/>
      <c r="B590" s="516" t="n"/>
      <c r="C590" s="516" t="n"/>
      <c r="D590" s="516" t="n"/>
      <c r="E590" s="516" t="n"/>
      <c r="F590" s="516" t="n"/>
      <c r="G590" s="516" t="n"/>
      <c r="H590" s="516" t="n"/>
      <c r="I590" s="516" t="n"/>
      <c r="J590" s="516" t="n"/>
      <c r="K590" s="516" t="n"/>
    </row>
    <row r="591">
      <c r="A591" s="516" t="n"/>
      <c r="B591" s="516" t="n"/>
      <c r="C591" s="516" t="n"/>
      <c r="D591" s="516" t="n"/>
      <c r="E591" s="516" t="n"/>
      <c r="F591" s="516" t="n"/>
      <c r="G591" s="516" t="n"/>
      <c r="H591" s="516" t="n"/>
      <c r="I591" s="516" t="n"/>
      <c r="J591" s="516" t="n"/>
      <c r="K591" s="516" t="n"/>
    </row>
    <row r="592">
      <c r="A592" s="516" t="n"/>
      <c r="B592" s="516" t="n"/>
      <c r="C592" s="516" t="n"/>
      <c r="D592" s="516" t="n"/>
      <c r="E592" s="516" t="n"/>
      <c r="F592" s="516" t="n"/>
      <c r="G592" s="516" t="n"/>
      <c r="H592" s="516" t="n"/>
      <c r="I592" s="516" t="n"/>
      <c r="J592" s="516" t="n"/>
      <c r="K592" s="516" t="n"/>
    </row>
    <row r="593">
      <c r="A593" s="516" t="n"/>
      <c r="B593" s="516" t="n"/>
      <c r="C593" s="516" t="n"/>
      <c r="D593" s="516" t="n"/>
      <c r="E593" s="516" t="n"/>
      <c r="F593" s="516" t="n"/>
      <c r="G593" s="516" t="n"/>
      <c r="H593" s="516" t="n"/>
      <c r="I593" s="516" t="n"/>
      <c r="J593" s="516" t="n"/>
      <c r="K593" s="516" t="n"/>
    </row>
    <row r="594">
      <c r="A594" s="516" t="n"/>
      <c r="B594" s="516" t="n"/>
      <c r="C594" s="516" t="n"/>
      <c r="D594" s="516" t="n"/>
      <c r="E594" s="516" t="n"/>
      <c r="F594" s="516" t="n"/>
      <c r="G594" s="516" t="n"/>
      <c r="H594" s="516" t="n"/>
      <c r="I594" s="516" t="n"/>
      <c r="J594" s="516" t="n"/>
      <c r="K594" s="516" t="n"/>
    </row>
    <row r="595">
      <c r="A595" s="516" t="n"/>
      <c r="B595" s="516" t="n"/>
      <c r="C595" s="516" t="n"/>
      <c r="D595" s="516" t="n"/>
      <c r="E595" s="516" t="n"/>
      <c r="F595" s="516" t="n"/>
      <c r="G595" s="516" t="n"/>
      <c r="H595" s="516" t="n"/>
      <c r="I595" s="516" t="n"/>
      <c r="J595" s="516" t="n"/>
      <c r="K595" s="516" t="n"/>
    </row>
    <row r="596">
      <c r="A596" s="516" t="n"/>
      <c r="B596" s="516" t="n"/>
      <c r="C596" s="516" t="n"/>
      <c r="D596" s="516" t="n"/>
      <c r="E596" s="516" t="n"/>
      <c r="F596" s="516" t="n"/>
      <c r="G596" s="516" t="n"/>
      <c r="H596" s="516" t="n"/>
      <c r="I596" s="516" t="n"/>
      <c r="J596" s="516" t="n"/>
      <c r="K596" s="516" t="n"/>
    </row>
    <row r="597">
      <c r="A597" s="516" t="n"/>
      <c r="B597" s="516" t="n"/>
      <c r="C597" s="516" t="n"/>
      <c r="D597" s="516" t="n"/>
      <c r="E597" s="516" t="n"/>
      <c r="F597" s="516" t="n"/>
      <c r="G597" s="516" t="n"/>
      <c r="H597" s="516" t="n"/>
      <c r="I597" s="516" t="n"/>
      <c r="J597" s="516" t="n"/>
      <c r="K597" s="516" t="n"/>
    </row>
    <row r="598">
      <c r="A598" s="516" t="n"/>
      <c r="B598" s="516" t="n"/>
      <c r="C598" s="516" t="n"/>
      <c r="D598" s="516" t="n"/>
      <c r="E598" s="516" t="n"/>
      <c r="F598" s="516" t="n"/>
      <c r="G598" s="516" t="n"/>
      <c r="H598" s="516" t="n"/>
      <c r="I598" s="516" t="n"/>
      <c r="J598" s="516" t="n"/>
      <c r="K598" s="516" t="n"/>
    </row>
    <row r="599">
      <c r="A599" s="516" t="n"/>
      <c r="B599" s="516" t="n"/>
      <c r="C599" s="516" t="n"/>
      <c r="D599" s="516" t="n"/>
      <c r="E599" s="516" t="n"/>
      <c r="F599" s="516" t="n"/>
      <c r="G599" s="516" t="n"/>
      <c r="H599" s="516" t="n"/>
      <c r="I599" s="516" t="n"/>
      <c r="J599" s="516" t="n"/>
      <c r="K599" s="516" t="n"/>
    </row>
    <row r="600">
      <c r="A600" s="516" t="n"/>
      <c r="B600" s="516" t="n"/>
      <c r="C600" s="516" t="n"/>
      <c r="D600" s="516" t="n"/>
      <c r="E600" s="516" t="n"/>
      <c r="F600" s="516" t="n"/>
      <c r="G600" s="516" t="n"/>
      <c r="H600" s="516" t="n"/>
      <c r="I600" s="516" t="n"/>
      <c r="J600" s="516" t="n"/>
      <c r="K600" s="516" t="n"/>
    </row>
    <row r="601">
      <c r="A601" s="516" t="n"/>
      <c r="B601" s="516" t="n"/>
      <c r="C601" s="516" t="n"/>
      <c r="D601" s="516" t="n"/>
      <c r="E601" s="516" t="n"/>
      <c r="F601" s="516" t="n"/>
      <c r="G601" s="516" t="n"/>
      <c r="H601" s="516" t="n"/>
      <c r="I601" s="516" t="n"/>
      <c r="J601" s="516" t="n"/>
      <c r="K601" s="516" t="n"/>
    </row>
    <row r="602">
      <c r="A602" s="516" t="n"/>
      <c r="B602" s="516" t="n"/>
      <c r="C602" s="516" t="n"/>
      <c r="D602" s="516" t="n"/>
      <c r="E602" s="516" t="n"/>
      <c r="F602" s="516" t="n"/>
      <c r="G602" s="516" t="n"/>
      <c r="H602" s="516" t="n"/>
      <c r="I602" s="516" t="n"/>
      <c r="J602" s="516" t="n"/>
      <c r="K602" s="516" t="n"/>
    </row>
    <row r="603">
      <c r="A603" s="516" t="n"/>
      <c r="B603" s="516" t="n"/>
      <c r="C603" s="516" t="n"/>
      <c r="D603" s="516" t="n"/>
      <c r="E603" s="516" t="n"/>
      <c r="F603" s="516" t="n"/>
      <c r="G603" s="516" t="n"/>
      <c r="H603" s="516" t="n"/>
      <c r="I603" s="516" t="n"/>
      <c r="J603" s="516" t="n"/>
      <c r="K603" s="516" t="n"/>
    </row>
    <row r="604">
      <c r="A604" s="516" t="n"/>
      <c r="B604" s="516" t="n"/>
      <c r="C604" s="516" t="n"/>
      <c r="D604" s="516" t="n"/>
      <c r="E604" s="516" t="n"/>
      <c r="F604" s="516" t="n"/>
      <c r="G604" s="516" t="n"/>
      <c r="H604" s="516" t="n"/>
      <c r="I604" s="516" t="n"/>
      <c r="J604" s="516" t="n"/>
      <c r="K604" s="516" t="n"/>
    </row>
    <row r="605">
      <c r="A605" s="516" t="n"/>
      <c r="B605" s="516" t="n"/>
      <c r="C605" s="516" t="n"/>
      <c r="D605" s="516" t="n"/>
      <c r="E605" s="516" t="n"/>
      <c r="F605" s="516" t="n"/>
      <c r="G605" s="516" t="n"/>
      <c r="H605" s="516" t="n"/>
      <c r="I605" s="516" t="n"/>
      <c r="J605" s="516" t="n"/>
      <c r="K605" s="516" t="n"/>
    </row>
    <row r="606">
      <c r="A606" s="516" t="n"/>
      <c r="B606" s="516" t="n"/>
      <c r="C606" s="516" t="n"/>
      <c r="D606" s="516" t="n"/>
      <c r="E606" s="516" t="n"/>
      <c r="F606" s="516" t="n"/>
      <c r="G606" s="516" t="n"/>
      <c r="H606" s="516" t="n"/>
      <c r="I606" s="516" t="n"/>
      <c r="J606" s="516" t="n"/>
      <c r="K606" s="516" t="n"/>
    </row>
    <row r="607">
      <c r="A607" s="516" t="n"/>
      <c r="B607" s="516" t="n"/>
      <c r="C607" s="516" t="n"/>
      <c r="D607" s="516" t="n"/>
      <c r="E607" s="516" t="n"/>
      <c r="F607" s="516" t="n"/>
      <c r="G607" s="516" t="n"/>
      <c r="H607" s="516" t="n"/>
      <c r="I607" s="516" t="n"/>
      <c r="J607" s="516" t="n"/>
      <c r="K607" s="516" t="n"/>
    </row>
    <row r="608">
      <c r="A608" s="516" t="n"/>
      <c r="B608" s="516" t="n"/>
      <c r="C608" s="516" t="n"/>
      <c r="D608" s="516" t="n"/>
      <c r="E608" s="516" t="n"/>
      <c r="F608" s="516" t="n"/>
      <c r="G608" s="516" t="n"/>
      <c r="H608" s="516" t="n"/>
      <c r="I608" s="516" t="n"/>
      <c r="J608" s="516" t="n"/>
      <c r="K608" s="516" t="n"/>
    </row>
    <row r="609">
      <c r="A609" s="516" t="n"/>
      <c r="B609" s="516" t="n"/>
      <c r="C609" s="516" t="n"/>
      <c r="D609" s="516" t="n"/>
      <c r="E609" s="516" t="n"/>
      <c r="F609" s="516" t="n"/>
      <c r="G609" s="516" t="n"/>
      <c r="H609" s="516" t="n"/>
      <c r="I609" s="516" t="n"/>
      <c r="J609" s="516" t="n"/>
      <c r="K609" s="516" t="n"/>
    </row>
    <row r="610">
      <c r="A610" s="516" t="n"/>
      <c r="B610" s="516" t="n"/>
      <c r="C610" s="516" t="n"/>
      <c r="D610" s="516" t="n"/>
      <c r="E610" s="516" t="n"/>
      <c r="F610" s="516" t="n"/>
      <c r="G610" s="516" t="n"/>
      <c r="H610" s="516" t="n"/>
      <c r="I610" s="516" t="n"/>
      <c r="J610" s="516" t="n"/>
      <c r="K610" s="516" t="n"/>
    </row>
    <row r="611">
      <c r="A611" s="516" t="n"/>
      <c r="B611" s="516" t="n"/>
      <c r="C611" s="516" t="n"/>
      <c r="D611" s="516" t="n"/>
      <c r="E611" s="516" t="n"/>
      <c r="F611" s="516" t="n"/>
      <c r="G611" s="516" t="n"/>
      <c r="H611" s="516" t="n"/>
      <c r="I611" s="516" t="n"/>
      <c r="J611" s="516" t="n"/>
      <c r="K611" s="516" t="n"/>
    </row>
    <row r="612">
      <c r="A612" s="516" t="n"/>
      <c r="B612" s="516" t="n"/>
      <c r="C612" s="516" t="n"/>
      <c r="D612" s="516" t="n"/>
      <c r="E612" s="516" t="n"/>
      <c r="F612" s="516" t="n"/>
      <c r="G612" s="516" t="n"/>
      <c r="H612" s="516" t="n"/>
      <c r="I612" s="516" t="n"/>
      <c r="J612" s="516" t="n"/>
      <c r="K612" s="516" t="n"/>
    </row>
    <row r="613">
      <c r="A613" s="516" t="n"/>
      <c r="B613" s="516" t="n"/>
      <c r="C613" s="516" t="n"/>
      <c r="D613" s="516" t="n"/>
      <c r="E613" s="516" t="n"/>
      <c r="F613" s="516" t="n"/>
      <c r="G613" s="516" t="n"/>
      <c r="H613" s="516" t="n"/>
      <c r="I613" s="516" t="n"/>
      <c r="J613" s="516" t="n"/>
      <c r="K613" s="516" t="n"/>
    </row>
    <row r="614">
      <c r="A614" s="516" t="n"/>
      <c r="B614" s="516" t="n"/>
      <c r="C614" s="516" t="n"/>
      <c r="D614" s="516" t="n"/>
      <c r="E614" s="516" t="n"/>
      <c r="F614" s="516" t="n"/>
      <c r="G614" s="516" t="n"/>
      <c r="H614" s="516" t="n"/>
      <c r="I614" s="516" t="n"/>
      <c r="J614" s="516" t="n"/>
      <c r="K614" s="516" t="n"/>
    </row>
    <row r="615">
      <c r="A615" s="516" t="n"/>
      <c r="B615" s="516" t="n"/>
      <c r="C615" s="516" t="n"/>
      <c r="D615" s="516" t="n"/>
      <c r="E615" s="516" t="n"/>
      <c r="F615" s="516" t="n"/>
      <c r="G615" s="516" t="n"/>
      <c r="H615" s="516" t="n"/>
      <c r="I615" s="516" t="n"/>
      <c r="J615" s="516" t="n"/>
      <c r="K615" s="516" t="n"/>
    </row>
    <row r="616">
      <c r="A616" s="516" t="n"/>
      <c r="B616" s="516" t="n"/>
      <c r="C616" s="516" t="n"/>
      <c r="D616" s="516" t="n"/>
      <c r="E616" s="516" t="n"/>
      <c r="F616" s="516" t="n"/>
      <c r="G616" s="516" t="n"/>
      <c r="H616" s="516" t="n"/>
      <c r="I616" s="516" t="n"/>
      <c r="J616" s="516" t="n"/>
      <c r="K616" s="516" t="n"/>
    </row>
    <row r="617">
      <c r="A617" s="516" t="n"/>
      <c r="B617" s="516" t="n"/>
      <c r="C617" s="516" t="n"/>
      <c r="D617" s="516" t="n"/>
      <c r="E617" s="516" t="n"/>
      <c r="F617" s="516" t="n"/>
      <c r="G617" s="516" t="n"/>
      <c r="H617" s="516" t="n"/>
      <c r="I617" s="516" t="n"/>
      <c r="J617" s="516" t="n"/>
      <c r="K617" s="516" t="n"/>
    </row>
    <row r="618">
      <c r="A618" s="516" t="n"/>
      <c r="B618" s="516" t="n"/>
      <c r="C618" s="516" t="n"/>
      <c r="D618" s="516" t="n"/>
      <c r="E618" s="516" t="n"/>
      <c r="F618" s="516" t="n"/>
      <c r="G618" s="516" t="n"/>
      <c r="H618" s="516" t="n"/>
      <c r="I618" s="516" t="n"/>
      <c r="J618" s="516" t="n"/>
      <c r="K618" s="516" t="n"/>
    </row>
    <row r="619">
      <c r="A619" s="516" t="n"/>
      <c r="B619" s="516" t="n"/>
      <c r="C619" s="516" t="n"/>
      <c r="D619" s="516" t="n"/>
      <c r="E619" s="516" t="n"/>
      <c r="F619" s="516" t="n"/>
      <c r="G619" s="516" t="n"/>
      <c r="H619" s="516" t="n"/>
      <c r="I619" s="516" t="n"/>
      <c r="J619" s="516" t="n"/>
      <c r="K619" s="516" t="n"/>
    </row>
    <row r="620">
      <c r="A620" s="516" t="n"/>
      <c r="B620" s="516" t="n"/>
      <c r="C620" s="516" t="n"/>
      <c r="D620" s="516" t="n"/>
      <c r="E620" s="516" t="n"/>
      <c r="F620" s="516" t="n"/>
      <c r="G620" s="516" t="n"/>
      <c r="H620" s="516" t="n"/>
      <c r="I620" s="516" t="n"/>
      <c r="J620" s="516" t="n"/>
      <c r="K620" s="516" t="n"/>
    </row>
    <row r="621">
      <c r="A621" s="516" t="n"/>
      <c r="B621" s="516" t="n"/>
      <c r="C621" s="516" t="n"/>
      <c r="D621" s="516" t="n"/>
      <c r="E621" s="516" t="n"/>
      <c r="F621" s="516" t="n"/>
      <c r="G621" s="516" t="n"/>
      <c r="H621" s="516" t="n"/>
      <c r="I621" s="516" t="n"/>
      <c r="J621" s="516" t="n"/>
      <c r="K621" s="516" t="n"/>
    </row>
    <row r="622">
      <c r="A622" s="516" t="n"/>
      <c r="B622" s="516" t="n"/>
      <c r="C622" s="516" t="n"/>
      <c r="D622" s="516" t="n"/>
      <c r="E622" s="516" t="n"/>
      <c r="F622" s="516" t="n"/>
      <c r="G622" s="516" t="n"/>
      <c r="H622" s="516" t="n"/>
      <c r="I622" s="516" t="n"/>
      <c r="J622" s="516" t="n"/>
      <c r="K622" s="516" t="n"/>
    </row>
    <row r="623">
      <c r="A623" s="516" t="n"/>
      <c r="B623" s="516" t="n"/>
      <c r="C623" s="516" t="n"/>
      <c r="D623" s="516" t="n"/>
      <c r="E623" s="516" t="n"/>
      <c r="F623" s="516" t="n"/>
      <c r="G623" s="516" t="n"/>
      <c r="H623" s="516" t="n"/>
      <c r="I623" s="516" t="n"/>
      <c r="J623" s="516" t="n"/>
      <c r="K623" s="516" t="n"/>
    </row>
    <row r="624">
      <c r="A624" s="516" t="n"/>
      <c r="B624" s="516" t="n"/>
      <c r="C624" s="516" t="n"/>
      <c r="D624" s="516" t="n"/>
      <c r="E624" s="516" t="n"/>
      <c r="F624" s="516" t="n"/>
      <c r="G624" s="516" t="n"/>
      <c r="H624" s="516" t="n"/>
      <c r="I624" s="516" t="n"/>
      <c r="J624" s="516" t="n"/>
      <c r="K624" s="516" t="n"/>
    </row>
    <row r="625">
      <c r="A625" s="516" t="n"/>
      <c r="B625" s="516" t="n"/>
      <c r="C625" s="516" t="n"/>
      <c r="D625" s="516" t="n"/>
      <c r="E625" s="516" t="n"/>
      <c r="F625" s="516" t="n"/>
      <c r="G625" s="516" t="n"/>
      <c r="H625" s="516" t="n"/>
      <c r="I625" s="516" t="n"/>
      <c r="J625" s="516" t="n"/>
      <c r="K625" s="516" t="n"/>
    </row>
    <row r="626">
      <c r="A626" s="516" t="n"/>
      <c r="B626" s="516" t="n"/>
      <c r="C626" s="516" t="n"/>
      <c r="D626" s="516" t="n"/>
      <c r="E626" s="516" t="n"/>
      <c r="F626" s="516" t="n"/>
      <c r="G626" s="516" t="n"/>
      <c r="H626" s="516" t="n"/>
      <c r="I626" s="516" t="n"/>
      <c r="J626" s="516" t="n"/>
      <c r="K626" s="516" t="n"/>
    </row>
    <row r="627">
      <c r="A627" s="516" t="n"/>
      <c r="B627" s="516" t="n"/>
      <c r="C627" s="516" t="n"/>
      <c r="D627" s="516" t="n"/>
      <c r="E627" s="516" t="n"/>
      <c r="F627" s="516" t="n"/>
      <c r="G627" s="516" t="n"/>
      <c r="H627" s="516" t="n"/>
      <c r="I627" s="516" t="n"/>
      <c r="J627" s="516" t="n"/>
      <c r="K627" s="516" t="n"/>
    </row>
    <row r="628">
      <c r="A628" s="516" t="n"/>
      <c r="B628" s="516" t="n"/>
      <c r="C628" s="516" t="n"/>
      <c r="D628" s="516" t="n"/>
      <c r="E628" s="516" t="n"/>
      <c r="F628" s="516" t="n"/>
      <c r="G628" s="516" t="n"/>
      <c r="H628" s="516" t="n"/>
      <c r="I628" s="516" t="n"/>
      <c r="J628" s="516" t="n"/>
      <c r="K628" s="516" t="n"/>
    </row>
    <row r="629">
      <c r="A629" s="516" t="n"/>
      <c r="B629" s="516" t="n"/>
      <c r="C629" s="516" t="n"/>
      <c r="D629" s="516" t="n"/>
      <c r="E629" s="516" t="n"/>
      <c r="F629" s="516" t="n"/>
      <c r="G629" s="516" t="n"/>
      <c r="H629" s="516" t="n"/>
      <c r="I629" s="516" t="n"/>
      <c r="J629" s="516" t="n"/>
      <c r="K629" s="516" t="n"/>
    </row>
    <row r="630">
      <c r="A630" s="516" t="n"/>
      <c r="B630" s="516" t="n"/>
      <c r="C630" s="516" t="n"/>
      <c r="D630" s="516" t="n"/>
      <c r="E630" s="516" t="n"/>
      <c r="F630" s="516" t="n"/>
      <c r="G630" s="516" t="n"/>
      <c r="H630" s="516" t="n"/>
      <c r="I630" s="516" t="n"/>
      <c r="J630" s="516" t="n"/>
      <c r="K630" s="516" t="n"/>
    </row>
    <row r="631">
      <c r="A631" s="516" t="n"/>
      <c r="B631" s="516" t="n"/>
      <c r="C631" s="516" t="n"/>
      <c r="D631" s="516" t="n"/>
      <c r="E631" s="516" t="n"/>
      <c r="F631" s="516" t="n"/>
      <c r="G631" s="516" t="n"/>
      <c r="H631" s="516" t="n"/>
      <c r="I631" s="516" t="n"/>
      <c r="J631" s="516" t="n"/>
      <c r="K631" s="516" t="n"/>
    </row>
    <row r="632">
      <c r="A632" s="516" t="n"/>
      <c r="B632" s="516" t="n"/>
      <c r="C632" s="516" t="n"/>
      <c r="D632" s="516" t="n"/>
      <c r="E632" s="516" t="n"/>
      <c r="F632" s="516" t="n"/>
      <c r="G632" s="516" t="n"/>
      <c r="H632" s="516" t="n"/>
      <c r="I632" s="516" t="n"/>
      <c r="J632" s="516" t="n"/>
      <c r="K632" s="516" t="n"/>
    </row>
    <row r="633">
      <c r="A633" s="516" t="n"/>
      <c r="B633" s="516" t="n"/>
      <c r="C633" s="516" t="n"/>
      <c r="D633" s="516" t="n"/>
      <c r="E633" s="516" t="n"/>
      <c r="F633" s="516" t="n"/>
      <c r="G633" s="516" t="n"/>
      <c r="H633" s="516" t="n"/>
      <c r="I633" s="516" t="n"/>
      <c r="J633" s="516" t="n"/>
      <c r="K633" s="516" t="n"/>
    </row>
    <row r="634">
      <c r="A634" s="516" t="n"/>
      <c r="B634" s="516" t="n"/>
      <c r="C634" s="516" t="n"/>
      <c r="D634" s="516" t="n"/>
      <c r="E634" s="516" t="n"/>
      <c r="F634" s="516" t="n"/>
      <c r="G634" s="516" t="n"/>
      <c r="H634" s="516" t="n"/>
      <c r="I634" s="516" t="n"/>
      <c r="J634" s="516" t="n"/>
      <c r="K634" s="516" t="n"/>
    </row>
    <row r="635">
      <c r="A635" s="516" t="n"/>
      <c r="B635" s="516" t="n"/>
      <c r="C635" s="516" t="n"/>
      <c r="D635" s="516" t="n"/>
      <c r="E635" s="516" t="n"/>
      <c r="F635" s="516" t="n"/>
      <c r="G635" s="516" t="n"/>
      <c r="H635" s="516" t="n"/>
      <c r="I635" s="516" t="n"/>
      <c r="J635" s="516" t="n"/>
      <c r="K635" s="516" t="n"/>
    </row>
    <row r="636">
      <c r="A636" s="516" t="n"/>
      <c r="B636" s="516" t="n"/>
      <c r="C636" s="516" t="n"/>
      <c r="D636" s="516" t="n"/>
      <c r="E636" s="516" t="n"/>
      <c r="F636" s="516" t="n"/>
      <c r="G636" s="516" t="n"/>
      <c r="H636" s="516" t="n"/>
      <c r="I636" s="516" t="n"/>
      <c r="J636" s="516" t="n"/>
      <c r="K636" s="516" t="n"/>
    </row>
    <row r="637">
      <c r="A637" s="516" t="n"/>
      <c r="B637" s="516" t="n"/>
      <c r="C637" s="516" t="n"/>
      <c r="D637" s="516" t="n"/>
      <c r="E637" s="516" t="n"/>
      <c r="F637" s="516" t="n"/>
      <c r="G637" s="516" t="n"/>
      <c r="H637" s="516" t="n"/>
      <c r="I637" s="516" t="n"/>
      <c r="J637" s="516" t="n"/>
      <c r="K637" s="516" t="n"/>
    </row>
    <row r="638">
      <c r="A638" s="516" t="n"/>
      <c r="B638" s="516" t="n"/>
      <c r="C638" s="516" t="n"/>
      <c r="D638" s="516" t="n"/>
      <c r="E638" s="516" t="n"/>
      <c r="F638" s="516" t="n"/>
      <c r="G638" s="516" t="n"/>
      <c r="H638" s="516" t="n"/>
      <c r="I638" s="516" t="n"/>
      <c r="J638" s="516" t="n"/>
      <c r="K638" s="516" t="n"/>
    </row>
    <row r="639">
      <c r="A639" s="516" t="n"/>
      <c r="B639" s="516" t="n"/>
      <c r="C639" s="516" t="n"/>
      <c r="D639" s="516" t="n"/>
      <c r="E639" s="516" t="n"/>
      <c r="F639" s="516" t="n"/>
      <c r="G639" s="516" t="n"/>
      <c r="H639" s="516" t="n"/>
      <c r="I639" s="516" t="n"/>
      <c r="J639" s="516" t="n"/>
      <c r="K639" s="516" t="n"/>
    </row>
    <row r="640">
      <c r="A640" s="516" t="n"/>
      <c r="B640" s="516" t="n"/>
      <c r="C640" s="516" t="n"/>
      <c r="D640" s="516" t="n"/>
      <c r="E640" s="516" t="n"/>
      <c r="F640" s="516" t="n"/>
      <c r="G640" s="516" t="n"/>
      <c r="H640" s="516" t="n"/>
      <c r="I640" s="516" t="n"/>
      <c r="J640" s="516" t="n"/>
      <c r="K640" s="516" t="n"/>
    </row>
    <row r="641">
      <c r="A641" s="516" t="n"/>
      <c r="B641" s="516" t="n"/>
      <c r="C641" s="516" t="n"/>
      <c r="D641" s="516" t="n"/>
      <c r="E641" s="516" t="n"/>
      <c r="F641" s="516" t="n"/>
      <c r="G641" s="516" t="n"/>
      <c r="H641" s="516" t="n"/>
      <c r="I641" s="516" t="n"/>
      <c r="J641" s="516" t="n"/>
      <c r="K641" s="516" t="n"/>
    </row>
    <row r="642">
      <c r="A642" s="516" t="n"/>
      <c r="B642" s="516" t="n"/>
      <c r="C642" s="516" t="n"/>
      <c r="D642" s="516" t="n"/>
      <c r="E642" s="516" t="n"/>
      <c r="F642" s="516" t="n"/>
      <c r="G642" s="516" t="n"/>
      <c r="H642" s="516" t="n"/>
      <c r="I642" s="516" t="n"/>
      <c r="J642" s="516" t="n"/>
      <c r="K642" s="516" t="n"/>
    </row>
    <row r="643">
      <c r="A643" s="516" t="n"/>
      <c r="B643" s="516" t="n"/>
      <c r="C643" s="516" t="n"/>
      <c r="D643" s="516" t="n"/>
      <c r="E643" s="516" t="n"/>
      <c r="F643" s="516" t="n"/>
      <c r="G643" s="516" t="n"/>
      <c r="H643" s="516" t="n"/>
      <c r="I643" s="516" t="n"/>
      <c r="J643" s="516" t="n"/>
      <c r="K643" s="516" t="n"/>
    </row>
    <row r="644">
      <c r="A644" s="516" t="n"/>
      <c r="B644" s="516" t="n"/>
      <c r="C644" s="516" t="n"/>
      <c r="D644" s="516" t="n"/>
      <c r="E644" s="516" t="n"/>
      <c r="F644" s="516" t="n"/>
      <c r="G644" s="516" t="n"/>
      <c r="H644" s="516" t="n"/>
      <c r="I644" s="516" t="n"/>
      <c r="J644" s="516" t="n"/>
      <c r="K644" s="516" t="n"/>
    </row>
    <row r="645">
      <c r="A645" s="516" t="n"/>
      <c r="B645" s="516" t="n"/>
      <c r="C645" s="516" t="n"/>
      <c r="D645" s="516" t="n"/>
      <c r="E645" s="516" t="n"/>
      <c r="F645" s="516" t="n"/>
      <c r="G645" s="516" t="n"/>
      <c r="H645" s="516" t="n"/>
      <c r="I645" s="516" t="n"/>
      <c r="J645" s="516" t="n"/>
      <c r="K645" s="516" t="n"/>
    </row>
    <row r="646">
      <c r="A646" s="516" t="n"/>
      <c r="B646" s="516" t="n"/>
      <c r="C646" s="516" t="n"/>
      <c r="D646" s="516" t="n"/>
      <c r="E646" s="516" t="n"/>
      <c r="F646" s="516" t="n"/>
      <c r="G646" s="516" t="n"/>
      <c r="H646" s="516" t="n"/>
      <c r="I646" s="516" t="n"/>
      <c r="J646" s="516" t="n"/>
      <c r="K646" s="516" t="n"/>
    </row>
    <row r="647">
      <c r="A647" s="516" t="n"/>
      <c r="B647" s="516" t="n"/>
      <c r="C647" s="516" t="n"/>
      <c r="D647" s="516" t="n"/>
      <c r="E647" s="516" t="n"/>
      <c r="F647" s="516" t="n"/>
      <c r="G647" s="516" t="n"/>
      <c r="H647" s="516" t="n"/>
      <c r="I647" s="516" t="n"/>
      <c r="J647" s="516" t="n"/>
      <c r="K647" s="516" t="n"/>
    </row>
    <row r="648">
      <c r="A648" s="516" t="n"/>
      <c r="B648" s="516" t="n"/>
      <c r="C648" s="516" t="n"/>
      <c r="D648" s="516" t="n"/>
      <c r="E648" s="516" t="n"/>
      <c r="F648" s="516" t="n"/>
      <c r="G648" s="516" t="n"/>
      <c r="H648" s="516" t="n"/>
      <c r="I648" s="516" t="n"/>
      <c r="J648" s="516" t="n"/>
      <c r="K648" s="516" t="n"/>
    </row>
    <row r="649">
      <c r="A649" s="516" t="n"/>
      <c r="B649" s="516" t="n"/>
      <c r="C649" s="516" t="n"/>
      <c r="D649" s="516" t="n"/>
      <c r="E649" s="516" t="n"/>
      <c r="F649" s="516" t="n"/>
      <c r="G649" s="516" t="n"/>
      <c r="H649" s="516" t="n"/>
      <c r="I649" s="516" t="n"/>
      <c r="J649" s="516" t="n"/>
      <c r="K649" s="516" t="n"/>
    </row>
    <row r="650">
      <c r="A650" s="516" t="n"/>
      <c r="B650" s="516" t="n"/>
      <c r="C650" s="516" t="n"/>
      <c r="D650" s="516" t="n"/>
      <c r="E650" s="516" t="n"/>
      <c r="F650" s="516" t="n"/>
      <c r="G650" s="516" t="n"/>
      <c r="H650" s="516" t="n"/>
      <c r="I650" s="516" t="n"/>
      <c r="J650" s="516" t="n"/>
      <c r="K650" s="516" t="n"/>
    </row>
    <row r="651">
      <c r="A651" s="516" t="n"/>
      <c r="B651" s="516" t="n"/>
      <c r="C651" s="516" t="n"/>
      <c r="D651" s="516" t="n"/>
      <c r="E651" s="516" t="n"/>
      <c r="F651" s="516" t="n"/>
      <c r="G651" s="516" t="n"/>
      <c r="H651" s="516" t="n"/>
      <c r="I651" s="516" t="n"/>
      <c r="J651" s="516" t="n"/>
      <c r="K651" s="516" t="n"/>
    </row>
    <row r="652">
      <c r="A652" s="516" t="n"/>
      <c r="B652" s="516" t="n"/>
      <c r="C652" s="516" t="n"/>
      <c r="D652" s="516" t="n"/>
      <c r="E652" s="516" t="n"/>
      <c r="F652" s="516" t="n"/>
      <c r="G652" s="516" t="n"/>
      <c r="H652" s="516" t="n"/>
      <c r="I652" s="516" t="n"/>
      <c r="J652" s="516" t="n"/>
      <c r="K652" s="516" t="n"/>
    </row>
    <row r="653">
      <c r="A653" s="516" t="n"/>
      <c r="B653" s="516" t="n"/>
      <c r="C653" s="516" t="n"/>
      <c r="D653" s="516" t="n"/>
      <c r="E653" s="516" t="n"/>
      <c r="F653" s="516" t="n"/>
      <c r="G653" s="516" t="n"/>
      <c r="H653" s="516" t="n"/>
      <c r="I653" s="516" t="n"/>
      <c r="J653" s="516" t="n"/>
      <c r="K653" s="516" t="n"/>
    </row>
    <row r="654">
      <c r="A654" s="516" t="n"/>
      <c r="B654" s="516" t="n"/>
      <c r="C654" s="516" t="n"/>
      <c r="D654" s="516" t="n"/>
      <c r="E654" s="516" t="n"/>
      <c r="F654" s="516" t="n"/>
      <c r="G654" s="516" t="n"/>
      <c r="H654" s="516" t="n"/>
      <c r="I654" s="516" t="n"/>
      <c r="J654" s="516" t="n"/>
      <c r="K654" s="516" t="n"/>
    </row>
    <row r="655">
      <c r="A655" s="516" t="n"/>
      <c r="B655" s="516" t="n"/>
      <c r="C655" s="516" t="n"/>
      <c r="D655" s="516" t="n"/>
      <c r="E655" s="516" t="n"/>
      <c r="F655" s="516" t="n"/>
      <c r="G655" s="516" t="n"/>
      <c r="H655" s="516" t="n"/>
      <c r="I655" s="516" t="n"/>
      <c r="J655" s="516" t="n"/>
      <c r="K655" s="516" t="n"/>
    </row>
    <row r="656">
      <c r="A656" s="516" t="n"/>
      <c r="B656" s="516" t="n"/>
      <c r="C656" s="516" t="n"/>
      <c r="D656" s="516" t="n"/>
      <c r="E656" s="516" t="n"/>
      <c r="F656" s="516" t="n"/>
      <c r="G656" s="516" t="n"/>
      <c r="H656" s="516" t="n"/>
      <c r="I656" s="516" t="n"/>
      <c r="J656" s="516" t="n"/>
      <c r="K656" s="516" t="n"/>
    </row>
    <row r="657">
      <c r="A657" s="516" t="n"/>
      <c r="B657" s="516" t="n"/>
      <c r="C657" s="516" t="n"/>
      <c r="D657" s="516" t="n"/>
      <c r="E657" s="516" t="n"/>
      <c r="F657" s="516" t="n"/>
      <c r="G657" s="516" t="n"/>
      <c r="H657" s="516" t="n"/>
      <c r="I657" s="516" t="n"/>
      <c r="J657" s="516" t="n"/>
      <c r="K657" s="516" t="n"/>
    </row>
    <row r="658">
      <c r="A658" s="516" t="n"/>
      <c r="B658" s="516" t="n"/>
      <c r="C658" s="516" t="n"/>
      <c r="D658" s="516" t="n"/>
      <c r="E658" s="516" t="n"/>
      <c r="F658" s="516" t="n"/>
      <c r="G658" s="516" t="n"/>
      <c r="H658" s="516" t="n"/>
      <c r="I658" s="516" t="n"/>
      <c r="J658" s="516" t="n"/>
      <c r="K658" s="516" t="n"/>
    </row>
    <row r="659">
      <c r="A659" s="516" t="n"/>
      <c r="B659" s="516" t="n"/>
      <c r="C659" s="516" t="n"/>
      <c r="D659" s="516" t="n"/>
      <c r="E659" s="516" t="n"/>
      <c r="F659" s="516" t="n"/>
      <c r="G659" s="516" t="n"/>
      <c r="H659" s="516" t="n"/>
      <c r="I659" s="516" t="n"/>
      <c r="J659" s="516" t="n"/>
      <c r="K659" s="516" t="n"/>
    </row>
    <row r="660">
      <c r="A660" s="516" t="n"/>
      <c r="B660" s="516" t="n"/>
      <c r="C660" s="516" t="n"/>
      <c r="D660" s="516" t="n"/>
      <c r="E660" s="516" t="n"/>
      <c r="F660" s="516" t="n"/>
      <c r="G660" s="516" t="n"/>
      <c r="H660" s="516" t="n"/>
      <c r="I660" s="516" t="n"/>
      <c r="J660" s="516" t="n"/>
      <c r="K660" s="516" t="n"/>
    </row>
    <row r="661">
      <c r="A661" s="516" t="n"/>
      <c r="B661" s="516" t="n"/>
      <c r="C661" s="516" t="n"/>
      <c r="D661" s="516" t="n"/>
      <c r="E661" s="516" t="n"/>
      <c r="F661" s="516" t="n"/>
      <c r="G661" s="516" t="n"/>
      <c r="H661" s="516" t="n"/>
      <c r="I661" s="516" t="n"/>
      <c r="J661" s="516" t="n"/>
      <c r="K661" s="516" t="n"/>
    </row>
    <row r="662">
      <c r="A662" s="516" t="n"/>
      <c r="B662" s="516" t="n"/>
      <c r="C662" s="516" t="n"/>
      <c r="D662" s="516" t="n"/>
      <c r="E662" s="516" t="n"/>
      <c r="F662" s="516" t="n"/>
      <c r="G662" s="516" t="n"/>
      <c r="H662" s="516" t="n"/>
      <c r="I662" s="516" t="n"/>
      <c r="J662" s="516" t="n"/>
      <c r="K662" s="516" t="n"/>
    </row>
    <row r="663">
      <c r="A663" s="516" t="n"/>
      <c r="B663" s="516" t="n"/>
      <c r="C663" s="516" t="n"/>
      <c r="D663" s="516" t="n"/>
      <c r="E663" s="516" t="n"/>
      <c r="F663" s="516" t="n"/>
      <c r="G663" s="516" t="n"/>
      <c r="H663" s="516" t="n"/>
      <c r="I663" s="516" t="n"/>
      <c r="J663" s="516" t="n"/>
      <c r="K663" s="516" t="n"/>
    </row>
    <row r="664">
      <c r="A664" s="516" t="n"/>
      <c r="B664" s="516" t="n"/>
      <c r="C664" s="516" t="n"/>
      <c r="D664" s="516" t="n"/>
      <c r="E664" s="516" t="n"/>
      <c r="F664" s="516" t="n"/>
      <c r="G664" s="516" t="n"/>
      <c r="H664" s="516" t="n"/>
      <c r="I664" s="516" t="n"/>
      <c r="J664" s="516" t="n"/>
      <c r="K664" s="516" t="n"/>
    </row>
    <row r="665">
      <c r="A665" s="516" t="n"/>
      <c r="B665" s="516" t="n"/>
      <c r="C665" s="516" t="n"/>
      <c r="D665" s="516" t="n"/>
      <c r="E665" s="516" t="n"/>
      <c r="F665" s="516" t="n"/>
      <c r="G665" s="516" t="n"/>
      <c r="H665" s="516" t="n"/>
      <c r="I665" s="516" t="n"/>
      <c r="J665" s="516" t="n"/>
      <c r="K665" s="516" t="n"/>
    </row>
    <row r="666">
      <c r="A666" s="516" t="n"/>
      <c r="B666" s="516" t="n"/>
      <c r="C666" s="516" t="n"/>
      <c r="D666" s="516" t="n"/>
      <c r="E666" s="516" t="n"/>
      <c r="F666" s="516" t="n"/>
      <c r="G666" s="516" t="n"/>
      <c r="H666" s="516" t="n"/>
      <c r="I666" s="516" t="n"/>
      <c r="J666" s="516" t="n"/>
      <c r="K666" s="516" t="n"/>
    </row>
    <row r="667">
      <c r="A667" s="516" t="n"/>
      <c r="B667" s="516" t="n"/>
      <c r="C667" s="516" t="n"/>
      <c r="D667" s="516" t="n"/>
      <c r="E667" s="516" t="n"/>
      <c r="F667" s="516" t="n"/>
      <c r="G667" s="516" t="n"/>
      <c r="H667" s="516" t="n"/>
      <c r="I667" s="516" t="n"/>
      <c r="J667" s="516" t="n"/>
      <c r="K667" s="516" t="n"/>
    </row>
    <row r="668">
      <c r="A668" s="516" t="n"/>
      <c r="B668" s="516" t="n"/>
      <c r="C668" s="516" t="n"/>
      <c r="D668" s="516" t="n"/>
      <c r="E668" s="516" t="n"/>
      <c r="F668" s="516" t="n"/>
      <c r="G668" s="516" t="n"/>
      <c r="H668" s="516" t="n"/>
      <c r="I668" s="516" t="n"/>
      <c r="J668" s="516" t="n"/>
      <c r="K668" s="516" t="n"/>
    </row>
    <row r="669">
      <c r="A669" s="516" t="n"/>
      <c r="B669" s="516" t="n"/>
      <c r="C669" s="516" t="n"/>
      <c r="D669" s="516" t="n"/>
      <c r="E669" s="516" t="n"/>
      <c r="F669" s="516" t="n"/>
      <c r="G669" s="516" t="n"/>
      <c r="H669" s="516" t="n"/>
      <c r="I669" s="516" t="n"/>
      <c r="J669" s="516" t="n"/>
      <c r="K669" s="516" t="n"/>
    </row>
    <row r="670">
      <c r="A670" s="516" t="n"/>
      <c r="B670" s="516" t="n"/>
      <c r="C670" s="516" t="n"/>
      <c r="D670" s="516" t="n"/>
      <c r="E670" s="516" t="n"/>
      <c r="F670" s="516" t="n"/>
      <c r="G670" s="516" t="n"/>
      <c r="H670" s="516" t="n"/>
      <c r="I670" s="516" t="n"/>
      <c r="J670" s="516" t="n"/>
      <c r="K670" s="516" t="n"/>
    </row>
    <row r="671">
      <c r="A671" s="516" t="n"/>
      <c r="B671" s="516" t="n"/>
      <c r="C671" s="516" t="n"/>
      <c r="D671" s="516" t="n"/>
      <c r="E671" s="516" t="n"/>
      <c r="F671" s="516" t="n"/>
      <c r="G671" s="516" t="n"/>
      <c r="H671" s="516" t="n"/>
      <c r="I671" s="516" t="n"/>
      <c r="J671" s="516" t="n"/>
      <c r="K671" s="516" t="n"/>
    </row>
    <row r="672">
      <c r="A672" s="516" t="n"/>
      <c r="B672" s="516" t="n"/>
      <c r="C672" s="516" t="n"/>
      <c r="D672" s="516" t="n"/>
      <c r="E672" s="516" t="n"/>
      <c r="F672" s="516" t="n"/>
      <c r="G672" s="516" t="n"/>
      <c r="H672" s="516" t="n"/>
      <c r="I672" s="516" t="n"/>
      <c r="J672" s="516" t="n"/>
      <c r="K672" s="516" t="n"/>
    </row>
    <row r="673">
      <c r="A673" s="516" t="n"/>
      <c r="B673" s="516" t="n"/>
      <c r="C673" s="516" t="n"/>
      <c r="D673" s="516" t="n"/>
      <c r="E673" s="516" t="n"/>
      <c r="F673" s="516" t="n"/>
      <c r="G673" s="516" t="n"/>
      <c r="H673" s="516" t="n"/>
      <c r="I673" s="516" t="n"/>
      <c r="J673" s="516" t="n"/>
      <c r="K673" s="516" t="n"/>
    </row>
    <row r="674">
      <c r="A674" s="516" t="n"/>
      <c r="B674" s="516" t="n"/>
      <c r="C674" s="516" t="n"/>
      <c r="D674" s="516" t="n"/>
      <c r="E674" s="516" t="n"/>
      <c r="F674" s="516" t="n"/>
      <c r="G674" s="516" t="n"/>
      <c r="H674" s="516" t="n"/>
      <c r="I674" s="516" t="n"/>
      <c r="J674" s="516" t="n"/>
      <c r="K674" s="516" t="n"/>
    </row>
    <row r="675">
      <c r="A675" s="516" t="n"/>
      <c r="B675" s="516" t="n"/>
      <c r="C675" s="516" t="n"/>
      <c r="D675" s="516" t="n"/>
      <c r="E675" s="516" t="n"/>
      <c r="F675" s="516" t="n"/>
      <c r="G675" s="516" t="n"/>
      <c r="H675" s="516" t="n"/>
      <c r="I675" s="516" t="n"/>
      <c r="J675" s="516" t="n"/>
      <c r="K675" s="516" t="n"/>
    </row>
    <row r="676">
      <c r="A676" s="516" t="n"/>
      <c r="B676" s="516" t="n"/>
      <c r="C676" s="516" t="n"/>
      <c r="D676" s="516" t="n"/>
      <c r="E676" s="516" t="n"/>
      <c r="F676" s="516" t="n"/>
      <c r="G676" s="516" t="n"/>
      <c r="H676" s="516" t="n"/>
      <c r="I676" s="516" t="n"/>
      <c r="J676" s="516" t="n"/>
      <c r="K676" s="516" t="n"/>
    </row>
    <row r="677">
      <c r="A677" s="516" t="n"/>
      <c r="B677" s="516" t="n"/>
      <c r="C677" s="516" t="n"/>
      <c r="D677" s="516" t="n"/>
      <c r="E677" s="516" t="n"/>
      <c r="F677" s="516" t="n"/>
      <c r="G677" s="516" t="n"/>
      <c r="H677" s="516" t="n"/>
      <c r="I677" s="516" t="n"/>
      <c r="J677" s="516" t="n"/>
      <c r="K677" s="516" t="n"/>
    </row>
    <row r="678">
      <c r="A678" s="516" t="n"/>
      <c r="B678" s="516" t="n"/>
      <c r="C678" s="516" t="n"/>
      <c r="D678" s="516" t="n"/>
      <c r="E678" s="516" t="n"/>
      <c r="F678" s="516" t="n"/>
      <c r="G678" s="516" t="n"/>
      <c r="H678" s="516" t="n"/>
      <c r="I678" s="516" t="n"/>
      <c r="J678" s="516" t="n"/>
      <c r="K678" s="516" t="n"/>
    </row>
    <row r="679">
      <c r="A679" s="516" t="n"/>
      <c r="B679" s="516" t="n"/>
      <c r="C679" s="516" t="n"/>
      <c r="D679" s="516" t="n"/>
      <c r="E679" s="516" t="n"/>
      <c r="F679" s="516" t="n"/>
      <c r="G679" s="516" t="n"/>
      <c r="H679" s="516" t="n"/>
      <c r="I679" s="516" t="n"/>
      <c r="J679" s="516" t="n"/>
      <c r="K679" s="516" t="n"/>
    </row>
    <row r="680">
      <c r="A680" s="516" t="n"/>
      <c r="B680" s="516" t="n"/>
      <c r="C680" s="516" t="n"/>
      <c r="D680" s="516" t="n"/>
      <c r="E680" s="516" t="n"/>
      <c r="F680" s="516" t="n"/>
      <c r="G680" s="516" t="n"/>
      <c r="H680" s="516" t="n"/>
      <c r="I680" s="516" t="n"/>
      <c r="J680" s="516" t="n"/>
      <c r="K680" s="516" t="n"/>
    </row>
    <row r="681">
      <c r="A681" s="516" t="n"/>
      <c r="B681" s="516" t="n"/>
      <c r="C681" s="516" t="n"/>
      <c r="D681" s="516" t="n"/>
      <c r="E681" s="516" t="n"/>
      <c r="F681" s="516" t="n"/>
      <c r="G681" s="516" t="n"/>
      <c r="H681" s="516" t="n"/>
      <c r="I681" s="516" t="n"/>
      <c r="J681" s="516" t="n"/>
      <c r="K681" s="516" t="n"/>
    </row>
    <row r="682">
      <c r="A682" s="516" t="n"/>
      <c r="B682" s="516" t="n"/>
      <c r="C682" s="516" t="n"/>
      <c r="D682" s="516" t="n"/>
      <c r="E682" s="516" t="n"/>
      <c r="F682" s="516" t="n"/>
      <c r="G682" s="516" t="n"/>
      <c r="H682" s="516" t="n"/>
      <c r="I682" s="516" t="n"/>
      <c r="J682" s="516" t="n"/>
      <c r="K682" s="516" t="n"/>
    </row>
    <row r="683">
      <c r="A683" s="516" t="n"/>
      <c r="B683" s="516" t="n"/>
      <c r="C683" s="516" t="n"/>
      <c r="D683" s="516" t="n"/>
      <c r="E683" s="516" t="n"/>
      <c r="F683" s="516" t="n"/>
      <c r="G683" s="516" t="n"/>
      <c r="H683" s="516" t="n"/>
      <c r="I683" s="516" t="n"/>
      <c r="J683" s="516" t="n"/>
      <c r="K683" s="516" t="n"/>
    </row>
    <row r="684">
      <c r="A684" s="516" t="n"/>
      <c r="B684" s="516" t="n"/>
      <c r="C684" s="516" t="n"/>
      <c r="D684" s="516" t="n"/>
      <c r="E684" s="516" t="n"/>
      <c r="F684" s="516" t="n"/>
      <c r="G684" s="516" t="n"/>
      <c r="H684" s="516" t="n"/>
      <c r="I684" s="516" t="n"/>
      <c r="J684" s="516" t="n"/>
      <c r="K684" s="516" t="n"/>
    </row>
    <row r="685">
      <c r="A685" s="516" t="n"/>
      <c r="B685" s="516" t="n"/>
      <c r="C685" s="516" t="n"/>
      <c r="D685" s="516" t="n"/>
      <c r="E685" s="516" t="n"/>
      <c r="F685" s="516" t="n"/>
      <c r="G685" s="516" t="n"/>
      <c r="H685" s="516" t="n"/>
      <c r="I685" s="516" t="n"/>
      <c r="J685" s="516" t="n"/>
      <c r="K685" s="516" t="n"/>
    </row>
    <row r="686">
      <c r="A686" s="516" t="n"/>
      <c r="B686" s="516" t="n"/>
      <c r="C686" s="516" t="n"/>
      <c r="D686" s="516" t="n"/>
      <c r="E686" s="516" t="n"/>
      <c r="F686" s="516" t="n"/>
      <c r="G686" s="516" t="n"/>
      <c r="H686" s="516" t="n"/>
      <c r="I686" s="516" t="n"/>
      <c r="J686" s="516" t="n"/>
      <c r="K686" s="516" t="n"/>
    </row>
    <row r="687">
      <c r="A687" s="516" t="n"/>
      <c r="B687" s="516" t="n"/>
      <c r="C687" s="516" t="n"/>
      <c r="D687" s="516" t="n"/>
      <c r="E687" s="516" t="n"/>
      <c r="F687" s="516" t="n"/>
      <c r="G687" s="516" t="n"/>
      <c r="H687" s="516" t="n"/>
      <c r="I687" s="516" t="n"/>
      <c r="J687" s="516" t="n"/>
      <c r="K687" s="516" t="n"/>
    </row>
    <row r="688">
      <c r="A688" s="516" t="n"/>
      <c r="B688" s="516" t="n"/>
      <c r="C688" s="516" t="n"/>
      <c r="D688" s="516" t="n"/>
      <c r="E688" s="516" t="n"/>
      <c r="F688" s="516" t="n"/>
      <c r="G688" s="516" t="n"/>
      <c r="H688" s="516" t="n"/>
      <c r="I688" s="516" t="n"/>
      <c r="J688" s="516" t="n"/>
      <c r="K688" s="516" t="n"/>
    </row>
    <row r="689">
      <c r="A689" s="516" t="n"/>
      <c r="B689" s="516" t="n"/>
      <c r="C689" s="516" t="n"/>
      <c r="D689" s="516" t="n"/>
      <c r="E689" s="516" t="n"/>
      <c r="F689" s="516" t="n"/>
      <c r="G689" s="516" t="n"/>
      <c r="H689" s="516" t="n"/>
      <c r="I689" s="516" t="n"/>
      <c r="J689" s="516" t="n"/>
      <c r="K689" s="516" t="n"/>
    </row>
    <row r="690">
      <c r="A690" s="516" t="n"/>
      <c r="B690" s="516" t="n"/>
      <c r="C690" s="516" t="n"/>
      <c r="D690" s="516" t="n"/>
      <c r="E690" s="516" t="n"/>
      <c r="F690" s="516" t="n"/>
      <c r="G690" s="516" t="n"/>
      <c r="H690" s="516" t="n"/>
      <c r="I690" s="516" t="n"/>
      <c r="J690" s="516" t="n"/>
      <c r="K690" s="516" t="n"/>
    </row>
    <row r="691">
      <c r="A691" s="516" t="n"/>
      <c r="B691" s="516" t="n"/>
      <c r="C691" s="516" t="n"/>
      <c r="D691" s="516" t="n"/>
      <c r="E691" s="516" t="n"/>
      <c r="F691" s="516" t="n"/>
      <c r="G691" s="516" t="n"/>
      <c r="H691" s="516" t="n"/>
      <c r="I691" s="516" t="n"/>
      <c r="J691" s="516" t="n"/>
      <c r="K691" s="516" t="n"/>
    </row>
    <row r="692">
      <c r="A692" s="516" t="n"/>
      <c r="B692" s="516" t="n"/>
      <c r="C692" s="516" t="n"/>
      <c r="D692" s="516" t="n"/>
      <c r="E692" s="516" t="n"/>
      <c r="F692" s="516" t="n"/>
      <c r="G692" s="516" t="n"/>
      <c r="H692" s="516" t="n"/>
      <c r="I692" s="516" t="n"/>
      <c r="J692" s="516" t="n"/>
      <c r="K692" s="516" t="n"/>
    </row>
    <row r="693">
      <c r="A693" s="516" t="n"/>
      <c r="B693" s="516" t="n"/>
      <c r="C693" s="516" t="n"/>
      <c r="D693" s="516" t="n"/>
      <c r="E693" s="516" t="n"/>
      <c r="F693" s="516" t="n"/>
      <c r="G693" s="516" t="n"/>
      <c r="H693" s="516" t="n"/>
      <c r="I693" s="516" t="n"/>
      <c r="J693" s="516" t="n"/>
      <c r="K693" s="516" t="n"/>
    </row>
    <row r="694">
      <c r="A694" s="516" t="n"/>
      <c r="B694" s="516" t="n"/>
      <c r="C694" s="516" t="n"/>
      <c r="D694" s="516" t="n"/>
      <c r="E694" s="516" t="n"/>
      <c r="F694" s="516" t="n"/>
      <c r="G694" s="516" t="n"/>
      <c r="H694" s="516" t="n"/>
      <c r="I694" s="516" t="n"/>
      <c r="J694" s="516" t="n"/>
      <c r="K694" s="516" t="n"/>
    </row>
    <row r="695">
      <c r="A695" s="516" t="n"/>
      <c r="B695" s="516" t="n"/>
      <c r="C695" s="516" t="n"/>
      <c r="D695" s="516" t="n"/>
      <c r="E695" s="516" t="n"/>
      <c r="F695" s="516" t="n"/>
      <c r="G695" s="516" t="n"/>
      <c r="H695" s="516" t="n"/>
      <c r="I695" s="516" t="n"/>
      <c r="J695" s="516" t="n"/>
      <c r="K695" s="516" t="n"/>
    </row>
    <row r="696">
      <c r="A696" s="516" t="n"/>
      <c r="B696" s="516" t="n"/>
      <c r="C696" s="516" t="n"/>
      <c r="D696" s="516" t="n"/>
      <c r="E696" s="516" t="n"/>
      <c r="F696" s="516" t="n"/>
      <c r="G696" s="516" t="n"/>
      <c r="H696" s="516" t="n"/>
      <c r="I696" s="516" t="n"/>
      <c r="J696" s="516" t="n"/>
      <c r="K696" s="516" t="n"/>
    </row>
    <row r="697">
      <c r="A697" s="516" t="n"/>
      <c r="B697" s="516" t="n"/>
      <c r="C697" s="516" t="n"/>
      <c r="D697" s="516" t="n"/>
      <c r="E697" s="516" t="n"/>
      <c r="F697" s="516" t="n"/>
      <c r="G697" s="516" t="n"/>
      <c r="H697" s="516" t="n"/>
      <c r="I697" s="516" t="n"/>
      <c r="J697" s="516" t="n"/>
      <c r="K697" s="516" t="n"/>
    </row>
    <row r="698">
      <c r="A698" s="516" t="n"/>
      <c r="B698" s="516" t="n"/>
      <c r="C698" s="516" t="n"/>
      <c r="D698" s="516" t="n"/>
      <c r="E698" s="516" t="n"/>
      <c r="F698" s="516" t="n"/>
      <c r="G698" s="516" t="n"/>
      <c r="H698" s="516" t="n"/>
      <c r="I698" s="516" t="n"/>
      <c r="J698" s="516" t="n"/>
      <c r="K698" s="516" t="n"/>
    </row>
    <row r="699">
      <c r="A699" s="516" t="n"/>
      <c r="B699" s="516" t="n"/>
      <c r="C699" s="516" t="n"/>
      <c r="D699" s="516" t="n"/>
      <c r="E699" s="516" t="n"/>
      <c r="F699" s="516" t="n"/>
      <c r="G699" s="516" t="n"/>
      <c r="H699" s="516" t="n"/>
      <c r="I699" s="516" t="n"/>
      <c r="J699" s="516" t="n"/>
      <c r="K699" s="516" t="n"/>
    </row>
    <row r="700">
      <c r="A700" s="516" t="n"/>
      <c r="B700" s="516" t="n"/>
      <c r="C700" s="516" t="n"/>
      <c r="D700" s="516" t="n"/>
      <c r="E700" s="516" t="n"/>
      <c r="F700" s="516" t="n"/>
      <c r="G700" s="516" t="n"/>
      <c r="H700" s="516" t="n"/>
      <c r="I700" s="516" t="n"/>
      <c r="J700" s="516" t="n"/>
      <c r="K700" s="516" t="n"/>
    </row>
    <row r="701">
      <c r="A701" s="516" t="n"/>
      <c r="B701" s="516" t="n"/>
      <c r="C701" s="516" t="n"/>
      <c r="D701" s="516" t="n"/>
      <c r="E701" s="516" t="n"/>
      <c r="F701" s="516" t="n"/>
      <c r="G701" s="516" t="n"/>
      <c r="H701" s="516" t="n"/>
      <c r="I701" s="516" t="n"/>
      <c r="J701" s="516" t="n"/>
      <c r="K701" s="516" t="n"/>
    </row>
    <row r="702">
      <c r="A702" s="516" t="n"/>
      <c r="B702" s="516" t="n"/>
      <c r="C702" s="516" t="n"/>
      <c r="D702" s="516" t="n"/>
      <c r="E702" s="516" t="n"/>
      <c r="F702" s="516" t="n"/>
      <c r="G702" s="516" t="n"/>
      <c r="H702" s="516" t="n"/>
      <c r="I702" s="516" t="n"/>
      <c r="J702" s="516" t="n"/>
      <c r="K702" s="516" t="n"/>
    </row>
    <row r="703">
      <c r="A703" s="516" t="n"/>
      <c r="B703" s="516" t="n"/>
      <c r="C703" s="516" t="n"/>
      <c r="D703" s="516" t="n"/>
      <c r="E703" s="516" t="n"/>
      <c r="F703" s="516" t="n"/>
      <c r="G703" s="516" t="n"/>
      <c r="H703" s="516" t="n"/>
      <c r="I703" s="516" t="n"/>
      <c r="J703" s="516" t="n"/>
      <c r="K703" s="516" t="n"/>
    </row>
    <row r="704">
      <c r="A704" s="516" t="n"/>
      <c r="B704" s="516" t="n"/>
      <c r="C704" s="516" t="n"/>
      <c r="D704" s="516" t="n"/>
      <c r="E704" s="516" t="n"/>
      <c r="F704" s="516" t="n"/>
      <c r="G704" s="516" t="n"/>
      <c r="H704" s="516" t="n"/>
      <c r="I704" s="516" t="n"/>
      <c r="J704" s="516" t="n"/>
      <c r="K704" s="516" t="n"/>
    </row>
    <row r="705">
      <c r="A705" s="516" t="n"/>
      <c r="B705" s="516" t="n"/>
      <c r="C705" s="516" t="n"/>
      <c r="D705" s="516" t="n"/>
      <c r="E705" s="516" t="n"/>
      <c r="F705" s="516" t="n"/>
      <c r="G705" s="516" t="n"/>
      <c r="H705" s="516" t="n"/>
      <c r="I705" s="516" t="n"/>
      <c r="J705" s="516" t="n"/>
      <c r="K705" s="516" t="n"/>
    </row>
    <row r="706">
      <c r="A706" s="516" t="n"/>
      <c r="B706" s="516" t="n"/>
      <c r="C706" s="516" t="n"/>
      <c r="D706" s="516" t="n"/>
      <c r="E706" s="516" t="n"/>
      <c r="F706" s="516" t="n"/>
      <c r="G706" s="516" t="n"/>
      <c r="H706" s="516" t="n"/>
      <c r="I706" s="516" t="n"/>
      <c r="J706" s="516" t="n"/>
      <c r="K706" s="516" t="n"/>
    </row>
    <row r="707">
      <c r="A707" s="516" t="n"/>
      <c r="B707" s="516" t="n"/>
      <c r="C707" s="516" t="n"/>
      <c r="D707" s="516" t="n"/>
      <c r="E707" s="516" t="n"/>
      <c r="F707" s="516" t="n"/>
      <c r="G707" s="516" t="n"/>
      <c r="H707" s="516" t="n"/>
      <c r="I707" s="516" t="n"/>
      <c r="J707" s="516" t="n"/>
      <c r="K707" s="516" t="n"/>
    </row>
    <row r="708">
      <c r="A708" s="516" t="n"/>
      <c r="B708" s="516" t="n"/>
      <c r="C708" s="516" t="n"/>
      <c r="D708" s="516" t="n"/>
      <c r="E708" s="516" t="n"/>
      <c r="F708" s="516" t="n"/>
      <c r="G708" s="516" t="n"/>
      <c r="H708" s="516" t="n"/>
      <c r="I708" s="516" t="n"/>
      <c r="J708" s="516" t="n"/>
      <c r="K708" s="516" t="n"/>
    </row>
    <row r="709">
      <c r="A709" s="516" t="n"/>
      <c r="B709" s="516" t="n"/>
      <c r="C709" s="516" t="n"/>
      <c r="D709" s="516" t="n"/>
      <c r="E709" s="516" t="n"/>
      <c r="F709" s="516" t="n"/>
      <c r="G709" s="516" t="n"/>
      <c r="H709" s="516" t="n"/>
      <c r="I709" s="516" t="n"/>
      <c r="J709" s="516" t="n"/>
      <c r="K709" s="516" t="n"/>
    </row>
    <row r="710">
      <c r="A710" s="516" t="n"/>
      <c r="B710" s="516" t="n"/>
      <c r="C710" s="516" t="n"/>
      <c r="D710" s="516" t="n"/>
      <c r="E710" s="516" t="n"/>
      <c r="F710" s="516" t="n"/>
      <c r="G710" s="516" t="n"/>
      <c r="H710" s="516" t="n"/>
      <c r="I710" s="516" t="n"/>
      <c r="J710" s="516" t="n"/>
      <c r="K710" s="516" t="n"/>
    </row>
    <row r="711">
      <c r="A711" s="516" t="n"/>
      <c r="B711" s="516" t="n"/>
      <c r="C711" s="516" t="n"/>
      <c r="D711" s="516" t="n"/>
      <c r="E711" s="516" t="n"/>
      <c r="F711" s="516" t="n"/>
      <c r="G711" s="516" t="n"/>
      <c r="H711" s="516" t="n"/>
      <c r="I711" s="516" t="n"/>
      <c r="J711" s="516" t="n"/>
      <c r="K711" s="516" t="n"/>
    </row>
    <row r="712">
      <c r="A712" s="516" t="n"/>
      <c r="B712" s="516" t="n"/>
      <c r="C712" s="516" t="n"/>
      <c r="D712" s="516" t="n"/>
      <c r="E712" s="516" t="n"/>
      <c r="F712" s="516" t="n"/>
      <c r="G712" s="516" t="n"/>
      <c r="H712" s="516" t="n"/>
      <c r="I712" s="516" t="n"/>
      <c r="J712" s="516" t="n"/>
      <c r="K712" s="516" t="n"/>
    </row>
    <row r="713">
      <c r="A713" s="516" t="n"/>
      <c r="B713" s="516" t="n"/>
      <c r="C713" s="516" t="n"/>
      <c r="D713" s="516" t="n"/>
      <c r="E713" s="516" t="n"/>
      <c r="F713" s="516" t="n"/>
      <c r="G713" s="516" t="n"/>
      <c r="H713" s="516" t="n"/>
      <c r="I713" s="516" t="n"/>
      <c r="J713" s="516" t="n"/>
      <c r="K713" s="516" t="n"/>
    </row>
    <row r="714">
      <c r="A714" s="516" t="n"/>
      <c r="B714" s="516" t="n"/>
      <c r="C714" s="516" t="n"/>
      <c r="D714" s="516" t="n"/>
      <c r="E714" s="516" t="n"/>
      <c r="F714" s="516" t="n"/>
      <c r="G714" s="516" t="n"/>
      <c r="H714" s="516" t="n"/>
      <c r="I714" s="516" t="n"/>
      <c r="J714" s="516" t="n"/>
      <c r="K714" s="516" t="n"/>
    </row>
    <row r="715">
      <c r="A715" s="516" t="n"/>
      <c r="B715" s="516" t="n"/>
      <c r="C715" s="516" t="n"/>
      <c r="D715" s="516" t="n"/>
      <c r="E715" s="516" t="n"/>
      <c r="F715" s="516" t="n"/>
      <c r="G715" s="516" t="n"/>
      <c r="H715" s="516" t="n"/>
      <c r="I715" s="516" t="n"/>
      <c r="J715" s="516" t="n"/>
      <c r="K715" s="516" t="n"/>
    </row>
    <row r="716">
      <c r="A716" s="516" t="n"/>
      <c r="B716" s="516" t="n"/>
      <c r="C716" s="516" t="n"/>
      <c r="D716" s="516" t="n"/>
      <c r="E716" s="516" t="n"/>
      <c r="F716" s="516" t="n"/>
      <c r="G716" s="516" t="n"/>
      <c r="H716" s="516" t="n"/>
      <c r="I716" s="516" t="n"/>
      <c r="J716" s="516" t="n"/>
      <c r="K716" s="516" t="n"/>
    </row>
    <row r="717">
      <c r="A717" s="516" t="n"/>
      <c r="B717" s="516" t="n"/>
      <c r="C717" s="516" t="n"/>
      <c r="D717" s="516" t="n"/>
      <c r="E717" s="516" t="n"/>
      <c r="F717" s="516" t="n"/>
      <c r="G717" s="516" t="n"/>
      <c r="H717" s="516" t="n"/>
      <c r="I717" s="516" t="n"/>
      <c r="J717" s="516" t="n"/>
      <c r="K717" s="516" t="n"/>
    </row>
    <row r="718">
      <c r="A718" s="516" t="n"/>
      <c r="B718" s="516" t="n"/>
      <c r="C718" s="516" t="n"/>
      <c r="D718" s="516" t="n"/>
      <c r="E718" s="516" t="n"/>
      <c r="F718" s="516" t="n"/>
      <c r="G718" s="516" t="n"/>
      <c r="H718" s="516" t="n"/>
      <c r="I718" s="516" t="n"/>
      <c r="J718" s="516" t="n"/>
      <c r="K718" s="516" t="n"/>
    </row>
    <row r="719">
      <c r="A719" s="516" t="n"/>
      <c r="B719" s="516" t="n"/>
      <c r="C719" s="516" t="n"/>
      <c r="D719" s="516" t="n"/>
      <c r="E719" s="516" t="n"/>
      <c r="F719" s="516" t="n"/>
      <c r="G719" s="516" t="n"/>
      <c r="H719" s="516" t="n"/>
      <c r="I719" s="516" t="n"/>
      <c r="J719" s="516" t="n"/>
      <c r="K719" s="516" t="n"/>
    </row>
    <row r="720">
      <c r="A720" s="516" t="n"/>
      <c r="B720" s="516" t="n"/>
      <c r="C720" s="516" t="n"/>
      <c r="D720" s="516" t="n"/>
      <c r="E720" s="516" t="n"/>
      <c r="F720" s="516" t="n"/>
      <c r="G720" s="516" t="n"/>
      <c r="H720" s="516" t="n"/>
      <c r="I720" s="516" t="n"/>
      <c r="J720" s="516" t="n"/>
      <c r="K720" s="516" t="n"/>
    </row>
    <row r="721">
      <c r="A721" s="516" t="n"/>
      <c r="B721" s="516" t="n"/>
      <c r="C721" s="516" t="n"/>
      <c r="D721" s="516" t="n"/>
      <c r="E721" s="516" t="n"/>
      <c r="F721" s="516" t="n"/>
      <c r="G721" s="516" t="n"/>
      <c r="H721" s="516" t="n"/>
      <c r="I721" s="516" t="n"/>
      <c r="J721" s="516" t="n"/>
      <c r="K721" s="516" t="n"/>
    </row>
    <row r="722">
      <c r="A722" s="516" t="n"/>
      <c r="B722" s="516" t="n"/>
      <c r="C722" s="516" t="n"/>
      <c r="D722" s="516" t="n"/>
      <c r="E722" s="516" t="n"/>
      <c r="F722" s="516" t="n"/>
      <c r="G722" s="516" t="n"/>
      <c r="H722" s="516" t="n"/>
      <c r="I722" s="516" t="n"/>
      <c r="J722" s="516" t="n"/>
      <c r="K722" s="516" t="n"/>
    </row>
    <row r="723">
      <c r="A723" s="516" t="n"/>
      <c r="B723" s="516" t="n"/>
      <c r="C723" s="516" t="n"/>
      <c r="D723" s="516" t="n"/>
      <c r="E723" s="516" t="n"/>
      <c r="F723" s="516" t="n"/>
      <c r="G723" s="516" t="n"/>
      <c r="H723" s="516" t="n"/>
      <c r="I723" s="516" t="n"/>
      <c r="J723" s="516" t="n"/>
      <c r="K723" s="516" t="n"/>
    </row>
    <row r="724">
      <c r="A724" s="516" t="n"/>
      <c r="B724" s="516" t="n"/>
      <c r="C724" s="516" t="n"/>
      <c r="D724" s="516" t="n"/>
      <c r="E724" s="516" t="n"/>
      <c r="F724" s="516" t="n"/>
      <c r="G724" s="516" t="n"/>
      <c r="H724" s="516" t="n"/>
      <c r="I724" s="516" t="n"/>
      <c r="J724" s="516" t="n"/>
      <c r="K724" s="516" t="n"/>
    </row>
    <row r="725">
      <c r="A725" s="516" t="n"/>
      <c r="B725" s="516" t="n"/>
      <c r="C725" s="516" t="n"/>
      <c r="D725" s="516" t="n"/>
      <c r="E725" s="516" t="n"/>
      <c r="F725" s="516" t="n"/>
      <c r="G725" s="516" t="n"/>
      <c r="H725" s="516" t="n"/>
      <c r="I725" s="516" t="n"/>
      <c r="J725" s="516" t="n"/>
      <c r="K725" s="516" t="n"/>
    </row>
    <row r="726">
      <c r="A726" s="516" t="n"/>
      <c r="B726" s="516" t="n"/>
      <c r="C726" s="516" t="n"/>
      <c r="D726" s="516" t="n"/>
      <c r="E726" s="516" t="n"/>
      <c r="F726" s="516" t="n"/>
      <c r="G726" s="516" t="n"/>
      <c r="H726" s="516" t="n"/>
      <c r="I726" s="516" t="n"/>
      <c r="J726" s="516" t="n"/>
      <c r="K726" s="516" t="n"/>
    </row>
    <row r="727">
      <c r="A727" s="516" t="n"/>
      <c r="B727" s="516" t="n"/>
      <c r="C727" s="516" t="n"/>
      <c r="D727" s="516" t="n"/>
      <c r="E727" s="516" t="n"/>
      <c r="F727" s="516" t="n"/>
      <c r="G727" s="516" t="n"/>
      <c r="H727" s="516" t="n"/>
      <c r="I727" s="516" t="n"/>
      <c r="J727" s="516" t="n"/>
      <c r="K727" s="516" t="n"/>
    </row>
    <row r="728">
      <c r="A728" s="516" t="n"/>
      <c r="B728" s="516" t="n"/>
      <c r="C728" s="516" t="n"/>
      <c r="D728" s="516" t="n"/>
      <c r="E728" s="516" t="n"/>
      <c r="F728" s="516" t="n"/>
      <c r="G728" s="516" t="n"/>
      <c r="H728" s="516" t="n"/>
      <c r="I728" s="516" t="n"/>
      <c r="J728" s="516" t="n"/>
      <c r="K728" s="516" t="n"/>
    </row>
    <row r="729">
      <c r="A729" s="516" t="n"/>
      <c r="B729" s="516" t="n"/>
      <c r="C729" s="516" t="n"/>
      <c r="D729" s="516" t="n"/>
      <c r="E729" s="516" t="n"/>
      <c r="F729" s="516" t="n"/>
      <c r="G729" s="516" t="n"/>
      <c r="H729" s="516" t="n"/>
      <c r="I729" s="516" t="n"/>
      <c r="J729" s="516" t="n"/>
      <c r="K729" s="516" t="n"/>
    </row>
    <row r="730">
      <c r="A730" s="516" t="n"/>
      <c r="B730" s="516" t="n"/>
      <c r="C730" s="516" t="n"/>
      <c r="D730" s="516" t="n"/>
      <c r="E730" s="516" t="n"/>
      <c r="F730" s="516" t="n"/>
      <c r="G730" s="516" t="n"/>
      <c r="H730" s="516" t="n"/>
      <c r="I730" s="516" t="n"/>
      <c r="J730" s="516" t="n"/>
      <c r="K730" s="516" t="n"/>
    </row>
    <row r="731">
      <c r="A731" s="516" t="n"/>
      <c r="B731" s="516" t="n"/>
      <c r="C731" s="516" t="n"/>
      <c r="D731" s="516" t="n"/>
      <c r="E731" s="516" t="n"/>
      <c r="F731" s="516" t="n"/>
      <c r="G731" s="516" t="n"/>
      <c r="H731" s="516" t="n"/>
      <c r="I731" s="516" t="n"/>
      <c r="J731" s="516" t="n"/>
      <c r="K731" s="516" t="n"/>
    </row>
    <row r="732">
      <c r="A732" s="516" t="n"/>
      <c r="B732" s="516" t="n"/>
      <c r="C732" s="516" t="n"/>
      <c r="D732" s="516" t="n"/>
      <c r="E732" s="516" t="n"/>
      <c r="F732" s="516" t="n"/>
      <c r="G732" s="516" t="n"/>
      <c r="H732" s="516" t="n"/>
      <c r="I732" s="516" t="n"/>
      <c r="J732" s="516" t="n"/>
      <c r="K732" s="516" t="n"/>
    </row>
    <row r="733">
      <c r="A733" s="516" t="n"/>
      <c r="B733" s="516" t="n"/>
      <c r="C733" s="516" t="n"/>
      <c r="D733" s="516" t="n"/>
      <c r="E733" s="516" t="n"/>
      <c r="F733" s="516" t="n"/>
      <c r="G733" s="516" t="n"/>
      <c r="H733" s="516" t="n"/>
      <c r="I733" s="516" t="n"/>
      <c r="J733" s="516" t="n"/>
      <c r="K733" s="516" t="n"/>
    </row>
    <row r="734">
      <c r="A734" s="516" t="n"/>
      <c r="B734" s="516" t="n"/>
      <c r="C734" s="516" t="n"/>
      <c r="D734" s="516" t="n"/>
      <c r="E734" s="516" t="n"/>
      <c r="F734" s="516" t="n"/>
      <c r="G734" s="516" t="n"/>
      <c r="H734" s="516" t="n"/>
      <c r="I734" s="516" t="n"/>
      <c r="J734" s="516" t="n"/>
      <c r="K734" s="516" t="n"/>
    </row>
    <row r="735">
      <c r="A735" s="516" t="n"/>
      <c r="B735" s="516" t="n"/>
      <c r="C735" s="516" t="n"/>
      <c r="D735" s="516" t="n"/>
      <c r="E735" s="516" t="n"/>
      <c r="F735" s="516" t="n"/>
      <c r="G735" s="516" t="n"/>
      <c r="H735" s="516" t="n"/>
      <c r="I735" s="516" t="n"/>
      <c r="J735" s="516" t="n"/>
      <c r="K735" s="516" t="n"/>
    </row>
    <row r="736">
      <c r="A736" s="516" t="n"/>
      <c r="B736" s="516" t="n"/>
      <c r="C736" s="516" t="n"/>
      <c r="D736" s="516" t="n"/>
      <c r="E736" s="516" t="n"/>
      <c r="F736" s="516" t="n"/>
      <c r="G736" s="516" t="n"/>
      <c r="H736" s="516" t="n"/>
      <c r="I736" s="516" t="n"/>
      <c r="J736" s="516" t="n"/>
      <c r="K736" s="516" t="n"/>
    </row>
    <row r="737">
      <c r="A737" s="516" t="n"/>
      <c r="B737" s="516" t="n"/>
      <c r="C737" s="516" t="n"/>
      <c r="D737" s="516" t="n"/>
      <c r="E737" s="516" t="n"/>
      <c r="F737" s="516" t="n"/>
      <c r="G737" s="516" t="n"/>
      <c r="H737" s="516" t="n"/>
      <c r="I737" s="516" t="n"/>
      <c r="J737" s="516" t="n"/>
      <c r="K737" s="516" t="n"/>
    </row>
    <row r="738">
      <c r="A738" s="516" t="n"/>
      <c r="B738" s="516" t="n"/>
      <c r="C738" s="516" t="n"/>
      <c r="D738" s="516" t="n"/>
      <c r="E738" s="516" t="n"/>
      <c r="F738" s="516" t="n"/>
      <c r="G738" s="516" t="n"/>
      <c r="H738" s="516" t="n"/>
      <c r="I738" s="516" t="n"/>
      <c r="J738" s="516" t="n"/>
      <c r="K738" s="516" t="n"/>
    </row>
    <row r="739">
      <c r="A739" s="516" t="n"/>
      <c r="B739" s="516" t="n"/>
      <c r="C739" s="516" t="n"/>
      <c r="D739" s="516" t="n"/>
      <c r="E739" s="516" t="n"/>
      <c r="F739" s="516" t="n"/>
      <c r="G739" s="516" t="n"/>
      <c r="H739" s="516" t="n"/>
      <c r="I739" s="516" t="n"/>
      <c r="J739" s="516" t="n"/>
      <c r="K739" s="516" t="n"/>
    </row>
    <row r="740">
      <c r="A740" s="516" t="n"/>
      <c r="B740" s="516" t="n"/>
      <c r="C740" s="516" t="n"/>
      <c r="D740" s="516" t="n"/>
      <c r="E740" s="516" t="n"/>
      <c r="F740" s="516" t="n"/>
      <c r="G740" s="516" t="n"/>
      <c r="H740" s="516" t="n"/>
      <c r="I740" s="516" t="n"/>
      <c r="J740" s="516" t="n"/>
      <c r="K740" s="516" t="n"/>
    </row>
    <row r="741">
      <c r="A741" s="516" t="n"/>
      <c r="B741" s="516" t="n"/>
      <c r="C741" s="516" t="n"/>
      <c r="D741" s="516" t="n"/>
      <c r="E741" s="516" t="n"/>
      <c r="F741" s="516" t="n"/>
      <c r="G741" s="516" t="n"/>
      <c r="H741" s="516" t="n"/>
      <c r="I741" s="516" t="n"/>
      <c r="J741" s="516" t="n"/>
      <c r="K741" s="516" t="n"/>
    </row>
    <row r="742">
      <c r="A742" s="516" t="n"/>
      <c r="B742" s="516" t="n"/>
      <c r="C742" s="516" t="n"/>
      <c r="D742" s="516" t="n"/>
      <c r="E742" s="516" t="n"/>
      <c r="F742" s="516" t="n"/>
      <c r="G742" s="516" t="n"/>
      <c r="H742" s="516" t="n"/>
      <c r="I742" s="516" t="n"/>
      <c r="J742" s="516" t="n"/>
      <c r="K742" s="516" t="n"/>
    </row>
    <row r="743">
      <c r="A743" s="516" t="n"/>
      <c r="B743" s="516" t="n"/>
      <c r="C743" s="516" t="n"/>
      <c r="D743" s="516" t="n"/>
      <c r="E743" s="516" t="n"/>
      <c r="F743" s="516" t="n"/>
      <c r="G743" s="516" t="n"/>
      <c r="H743" s="516" t="n"/>
      <c r="I743" s="516" t="n"/>
      <c r="J743" s="516" t="n"/>
      <c r="K743" s="516" t="n"/>
    </row>
    <row r="744">
      <c r="A744" s="516" t="n"/>
      <c r="B744" s="516" t="n"/>
      <c r="C744" s="516" t="n"/>
      <c r="D744" s="516" t="n"/>
      <c r="E744" s="516" t="n"/>
      <c r="F744" s="516" t="n"/>
      <c r="G744" s="516" t="n"/>
      <c r="H744" s="516" t="n"/>
      <c r="I744" s="516" t="n"/>
      <c r="J744" s="516" t="n"/>
      <c r="K744" s="516" t="n"/>
    </row>
    <row r="745">
      <c r="A745" s="516" t="n"/>
      <c r="B745" s="516" t="n"/>
      <c r="C745" s="516" t="n"/>
      <c r="D745" s="516" t="n"/>
      <c r="E745" s="516" t="n"/>
      <c r="F745" s="516" t="n"/>
      <c r="G745" s="516" t="n"/>
      <c r="H745" s="516" t="n"/>
      <c r="I745" s="516" t="n"/>
      <c r="J745" s="516" t="n"/>
      <c r="K745" s="516" t="n"/>
    </row>
    <row r="746">
      <c r="A746" s="516" t="n"/>
      <c r="B746" s="516" t="n"/>
      <c r="C746" s="516" t="n"/>
      <c r="D746" s="516" t="n"/>
      <c r="E746" s="516" t="n"/>
      <c r="F746" s="516" t="n"/>
      <c r="G746" s="516" t="n"/>
      <c r="H746" s="516" t="n"/>
      <c r="I746" s="516" t="n"/>
      <c r="J746" s="516" t="n"/>
      <c r="K746" s="516" t="n"/>
    </row>
    <row r="747">
      <c r="A747" s="516" t="n"/>
      <c r="B747" s="516" t="n"/>
      <c r="C747" s="516" t="n"/>
      <c r="D747" s="516" t="n"/>
      <c r="E747" s="516" t="n"/>
      <c r="F747" s="516" t="n"/>
      <c r="G747" s="516" t="n"/>
      <c r="H747" s="516" t="n"/>
      <c r="I747" s="516" t="n"/>
      <c r="J747" s="516" t="n"/>
      <c r="K747" s="516" t="n"/>
    </row>
    <row r="748">
      <c r="A748" s="516" t="n"/>
      <c r="B748" s="516" t="n"/>
      <c r="C748" s="516" t="n"/>
      <c r="D748" s="516" t="n"/>
      <c r="E748" s="516" t="n"/>
      <c r="F748" s="516" t="n"/>
      <c r="G748" s="516" t="n"/>
      <c r="H748" s="516" t="n"/>
      <c r="I748" s="516" t="n"/>
      <c r="J748" s="516" t="n"/>
      <c r="K748" s="516" t="n"/>
    </row>
    <row r="749">
      <c r="A749" s="516" t="n"/>
      <c r="B749" s="516" t="n"/>
      <c r="C749" s="516" t="n"/>
      <c r="D749" s="516" t="n"/>
      <c r="E749" s="516" t="n"/>
      <c r="F749" s="516" t="n"/>
      <c r="G749" s="516" t="n"/>
      <c r="H749" s="516" t="n"/>
      <c r="I749" s="516" t="n"/>
      <c r="J749" s="516" t="n"/>
      <c r="K749" s="516" t="n"/>
    </row>
    <row r="750">
      <c r="A750" s="516" t="n"/>
      <c r="B750" s="516" t="n"/>
      <c r="C750" s="516" t="n"/>
      <c r="D750" s="516" t="n"/>
      <c r="E750" s="516" t="n"/>
      <c r="F750" s="516" t="n"/>
      <c r="G750" s="516" t="n"/>
      <c r="H750" s="516" t="n"/>
      <c r="I750" s="516" t="n"/>
      <c r="J750" s="516" t="n"/>
      <c r="K750" s="516" t="n"/>
    </row>
    <row r="751">
      <c r="A751" s="516" t="n"/>
      <c r="B751" s="516" t="n"/>
      <c r="C751" s="516" t="n"/>
      <c r="D751" s="516" t="n"/>
      <c r="E751" s="516" t="n"/>
      <c r="F751" s="516" t="n"/>
      <c r="G751" s="516" t="n"/>
      <c r="H751" s="516" t="n"/>
      <c r="I751" s="516" t="n"/>
      <c r="J751" s="516" t="n"/>
      <c r="K751" s="516" t="n"/>
    </row>
    <row r="752">
      <c r="A752" s="516" t="n"/>
      <c r="B752" s="516" t="n"/>
      <c r="C752" s="516" t="n"/>
      <c r="D752" s="516" t="n"/>
      <c r="E752" s="516" t="n"/>
      <c r="F752" s="516" t="n"/>
      <c r="G752" s="516" t="n"/>
      <c r="H752" s="516" t="n"/>
      <c r="I752" s="516" t="n"/>
      <c r="J752" s="516" t="n"/>
      <c r="K752" s="516" t="n"/>
    </row>
    <row r="753">
      <c r="A753" s="516" t="n"/>
      <c r="B753" s="516" t="n"/>
      <c r="C753" s="516" t="n"/>
      <c r="D753" s="516" t="n"/>
      <c r="E753" s="516" t="n"/>
      <c r="F753" s="516" t="n"/>
      <c r="G753" s="516" t="n"/>
      <c r="H753" s="516" t="n"/>
      <c r="I753" s="516" t="n"/>
      <c r="J753" s="516" t="n"/>
      <c r="K753" s="516" t="n"/>
    </row>
    <row r="754">
      <c r="A754" s="516" t="n"/>
      <c r="B754" s="516" t="n"/>
      <c r="C754" s="516" t="n"/>
      <c r="D754" s="516" t="n"/>
      <c r="E754" s="516" t="n"/>
      <c r="F754" s="516" t="n"/>
      <c r="G754" s="516" t="n"/>
      <c r="H754" s="516" t="n"/>
      <c r="I754" s="516" t="n"/>
      <c r="J754" s="516" t="n"/>
      <c r="K754" s="516" t="n"/>
    </row>
    <row r="755">
      <c r="A755" s="516" t="n"/>
      <c r="B755" s="516" t="n"/>
      <c r="C755" s="516" t="n"/>
      <c r="D755" s="516" t="n"/>
      <c r="E755" s="516" t="n"/>
      <c r="F755" s="516" t="n"/>
      <c r="G755" s="516" t="n"/>
      <c r="H755" s="516" t="n"/>
      <c r="I755" s="516" t="n"/>
      <c r="J755" s="516" t="n"/>
      <c r="K755" s="516" t="n"/>
    </row>
    <row r="756">
      <c r="A756" s="516" t="n"/>
      <c r="B756" s="516" t="n"/>
      <c r="C756" s="516" t="n"/>
      <c r="D756" s="516" t="n"/>
      <c r="E756" s="516" t="n"/>
      <c r="F756" s="516" t="n"/>
      <c r="G756" s="516" t="n"/>
      <c r="H756" s="516" t="n"/>
      <c r="I756" s="516" t="n"/>
      <c r="J756" s="516" t="n"/>
      <c r="K756" s="516" t="n"/>
    </row>
    <row r="757">
      <c r="A757" s="516" t="n"/>
      <c r="B757" s="516" t="n"/>
      <c r="C757" s="516" t="n"/>
      <c r="D757" s="516" t="n"/>
      <c r="E757" s="516" t="n"/>
      <c r="F757" s="516" t="n"/>
      <c r="G757" s="516" t="n"/>
      <c r="H757" s="516" t="n"/>
      <c r="I757" s="516" t="n"/>
      <c r="J757" s="516" t="n"/>
      <c r="K757" s="516" t="n"/>
    </row>
    <row r="758">
      <c r="A758" s="516" t="n"/>
      <c r="B758" s="516" t="n"/>
      <c r="C758" s="516" t="n"/>
      <c r="D758" s="516" t="n"/>
      <c r="E758" s="516" t="n"/>
      <c r="F758" s="516" t="n"/>
      <c r="G758" s="516" t="n"/>
      <c r="H758" s="516" t="n"/>
      <c r="I758" s="516" t="n"/>
      <c r="J758" s="516" t="n"/>
      <c r="K758" s="516" t="n"/>
    </row>
    <row r="759">
      <c r="A759" s="516" t="n"/>
      <c r="B759" s="516" t="n"/>
      <c r="C759" s="516" t="n"/>
      <c r="D759" s="516" t="n"/>
      <c r="E759" s="516" t="n"/>
      <c r="F759" s="516" t="n"/>
      <c r="G759" s="516" t="n"/>
      <c r="H759" s="516" t="n"/>
      <c r="I759" s="516" t="n"/>
      <c r="J759" s="516" t="n"/>
      <c r="K759" s="516" t="n"/>
    </row>
    <row r="760">
      <c r="A760" s="516" t="n"/>
      <c r="B760" s="516" t="n"/>
      <c r="C760" s="516" t="n"/>
      <c r="D760" s="516" t="n"/>
      <c r="E760" s="516" t="n"/>
      <c r="F760" s="516" t="n"/>
      <c r="G760" s="516" t="n"/>
      <c r="H760" s="516" t="n"/>
      <c r="I760" s="516" t="n"/>
      <c r="J760" s="516" t="n"/>
      <c r="K760" s="516" t="n"/>
    </row>
    <row r="761">
      <c r="A761" s="516" t="n"/>
      <c r="B761" s="516" t="n"/>
      <c r="C761" s="516" t="n"/>
      <c r="D761" s="516" t="n"/>
      <c r="E761" s="516" t="n"/>
      <c r="F761" s="516" t="n"/>
      <c r="G761" s="516" t="n"/>
      <c r="H761" s="516" t="n"/>
      <c r="I761" s="516" t="n"/>
      <c r="J761" s="516" t="n"/>
      <c r="K761" s="516" t="n"/>
    </row>
    <row r="762">
      <c r="A762" s="516" t="n"/>
      <c r="B762" s="516" t="n"/>
      <c r="C762" s="516" t="n"/>
      <c r="D762" s="516" t="n"/>
      <c r="E762" s="516" t="n"/>
      <c r="F762" s="516" t="n"/>
      <c r="G762" s="516" t="n"/>
      <c r="H762" s="516" t="n"/>
      <c r="I762" s="516" t="n"/>
      <c r="J762" s="516" t="n"/>
      <c r="K762" s="516" t="n"/>
    </row>
    <row r="763">
      <c r="A763" s="516" t="n"/>
      <c r="B763" s="516" t="n"/>
      <c r="C763" s="516" t="n"/>
      <c r="D763" s="516" t="n"/>
      <c r="E763" s="516" t="n"/>
      <c r="F763" s="516" t="n"/>
      <c r="G763" s="516" t="n"/>
      <c r="H763" s="516" t="n"/>
      <c r="I763" s="516" t="n"/>
      <c r="J763" s="516" t="n"/>
      <c r="K763" s="516" t="n"/>
    </row>
    <row r="764">
      <c r="A764" s="516" t="n"/>
      <c r="B764" s="516" t="n"/>
      <c r="C764" s="516" t="n"/>
      <c r="D764" s="516" t="n"/>
      <c r="E764" s="516" t="n"/>
      <c r="F764" s="516" t="n"/>
      <c r="G764" s="516" t="n"/>
      <c r="H764" s="516" t="n"/>
      <c r="I764" s="516" t="n"/>
      <c r="J764" s="516" t="n"/>
      <c r="K764" s="516" t="n"/>
    </row>
    <row r="765">
      <c r="A765" s="516" t="n"/>
      <c r="B765" s="516" t="n"/>
      <c r="C765" s="516" t="n"/>
      <c r="D765" s="516" t="n"/>
      <c r="E765" s="516" t="n"/>
      <c r="F765" s="516" t="n"/>
      <c r="G765" s="516" t="n"/>
      <c r="H765" s="516" t="n"/>
      <c r="I765" s="516" t="n"/>
      <c r="J765" s="516" t="n"/>
      <c r="K765" s="516" t="n"/>
    </row>
    <row r="766">
      <c r="A766" s="516" t="n"/>
      <c r="B766" s="516" t="n"/>
      <c r="C766" s="516" t="n"/>
      <c r="D766" s="516" t="n"/>
      <c r="E766" s="516" t="n"/>
      <c r="F766" s="516" t="n"/>
      <c r="G766" s="516" t="n"/>
      <c r="H766" s="516" t="n"/>
      <c r="I766" s="516" t="n"/>
      <c r="J766" s="516" t="n"/>
      <c r="K766" s="516" t="n"/>
    </row>
    <row r="767">
      <c r="A767" s="516" t="n"/>
      <c r="B767" s="516" t="n"/>
      <c r="C767" s="516" t="n"/>
      <c r="D767" s="516" t="n"/>
      <c r="E767" s="516" t="n"/>
      <c r="F767" s="516" t="n"/>
      <c r="G767" s="516" t="n"/>
      <c r="H767" s="516" t="n"/>
      <c r="I767" s="516" t="n"/>
      <c r="J767" s="516" t="n"/>
      <c r="K767" s="516" t="n"/>
    </row>
    <row r="768">
      <c r="A768" s="516" t="n"/>
      <c r="B768" s="516" t="n"/>
      <c r="C768" s="516" t="n"/>
      <c r="D768" s="516" t="n"/>
      <c r="E768" s="516" t="n"/>
      <c r="F768" s="516" t="n"/>
      <c r="G768" s="516" t="n"/>
      <c r="H768" s="516" t="n"/>
      <c r="I768" s="516" t="n"/>
      <c r="J768" s="516" t="n"/>
      <c r="K768" s="516" t="n"/>
    </row>
    <row r="769">
      <c r="A769" s="516" t="n"/>
      <c r="B769" s="516" t="n"/>
      <c r="C769" s="516" t="n"/>
      <c r="D769" s="516" t="n"/>
      <c r="E769" s="516" t="n"/>
      <c r="F769" s="516" t="n"/>
      <c r="G769" s="516" t="n"/>
      <c r="H769" s="516" t="n"/>
      <c r="I769" s="516" t="n"/>
      <c r="J769" s="516" t="n"/>
      <c r="K769" s="516" t="n"/>
    </row>
    <row r="770">
      <c r="A770" s="516" t="n"/>
      <c r="B770" s="516" t="n"/>
      <c r="C770" s="516" t="n"/>
      <c r="D770" s="516" t="n"/>
      <c r="E770" s="516" t="n"/>
      <c r="F770" s="516" t="n"/>
      <c r="G770" s="516" t="n"/>
      <c r="H770" s="516" t="n"/>
      <c r="I770" s="516" t="n"/>
      <c r="J770" s="516" t="n"/>
      <c r="K770" s="516" t="n"/>
    </row>
    <row r="771">
      <c r="A771" s="516" t="n"/>
      <c r="B771" s="516" t="n"/>
      <c r="C771" s="516" t="n"/>
      <c r="D771" s="516" t="n"/>
      <c r="E771" s="516" t="n"/>
      <c r="F771" s="516" t="n"/>
      <c r="G771" s="516" t="n"/>
      <c r="H771" s="516" t="n"/>
      <c r="I771" s="516" t="n"/>
      <c r="J771" s="516" t="n"/>
      <c r="K771" s="516" t="n"/>
    </row>
    <row r="772">
      <c r="A772" s="516" t="n"/>
      <c r="B772" s="516" t="n"/>
      <c r="C772" s="516" t="n"/>
      <c r="D772" s="516" t="n"/>
      <c r="E772" s="516" t="n"/>
      <c r="F772" s="516" t="n"/>
      <c r="G772" s="516" t="n"/>
      <c r="H772" s="516" t="n"/>
      <c r="I772" s="516" t="n"/>
      <c r="J772" s="516" t="n"/>
      <c r="K772" s="516" t="n"/>
    </row>
    <row r="773">
      <c r="A773" s="516" t="n"/>
      <c r="B773" s="516" t="n"/>
      <c r="C773" s="516" t="n"/>
      <c r="D773" s="516" t="n"/>
      <c r="E773" s="516" t="n"/>
      <c r="F773" s="516" t="n"/>
      <c r="G773" s="516" t="n"/>
      <c r="H773" s="516" t="n"/>
      <c r="I773" s="516" t="n"/>
      <c r="J773" s="516" t="n"/>
      <c r="K773" s="516" t="n"/>
    </row>
    <row r="774">
      <c r="A774" s="516" t="n"/>
      <c r="B774" s="516" t="n"/>
      <c r="C774" s="516" t="n"/>
      <c r="D774" s="516" t="n"/>
      <c r="E774" s="516" t="n"/>
      <c r="F774" s="516" t="n"/>
      <c r="G774" s="516" t="n"/>
      <c r="H774" s="516" t="n"/>
      <c r="I774" s="516" t="n"/>
      <c r="J774" s="516" t="n"/>
      <c r="K774" s="516" t="n"/>
    </row>
    <row r="775">
      <c r="A775" s="516" t="n"/>
      <c r="B775" s="516" t="n"/>
      <c r="C775" s="516" t="n"/>
      <c r="D775" s="516" t="n"/>
      <c r="E775" s="516" t="n"/>
      <c r="F775" s="516" t="n"/>
      <c r="G775" s="516" t="n"/>
      <c r="H775" s="516" t="n"/>
      <c r="I775" s="516" t="n"/>
      <c r="J775" s="516" t="n"/>
      <c r="K775" s="516" t="n"/>
    </row>
    <row r="776">
      <c r="A776" s="516" t="n"/>
      <c r="B776" s="516" t="n"/>
      <c r="C776" s="516" t="n"/>
      <c r="D776" s="516" t="n"/>
      <c r="E776" s="516" t="n"/>
      <c r="F776" s="516" t="n"/>
      <c r="G776" s="516" t="n"/>
      <c r="H776" s="516" t="n"/>
      <c r="I776" s="516" t="n"/>
      <c r="J776" s="516" t="n"/>
      <c r="K776" s="516" t="n"/>
    </row>
    <row r="777">
      <c r="A777" s="516" t="n"/>
      <c r="B777" s="516" t="n"/>
      <c r="C777" s="516" t="n"/>
      <c r="D777" s="516" t="n"/>
      <c r="E777" s="516" t="n"/>
      <c r="F777" s="516" t="n"/>
      <c r="G777" s="516" t="n"/>
      <c r="H777" s="516" t="n"/>
      <c r="I777" s="516" t="n"/>
      <c r="J777" s="516" t="n"/>
      <c r="K777" s="516" t="n"/>
    </row>
    <row r="778">
      <c r="A778" s="516" t="n"/>
      <c r="B778" s="516" t="n"/>
      <c r="C778" s="516" t="n"/>
      <c r="D778" s="516" t="n"/>
      <c r="E778" s="516" t="n"/>
      <c r="F778" s="516" t="n"/>
      <c r="G778" s="516" t="n"/>
      <c r="H778" s="516" t="n"/>
      <c r="I778" s="516" t="n"/>
      <c r="J778" s="516" t="n"/>
      <c r="K778" s="516" t="n"/>
    </row>
    <row r="779">
      <c r="A779" s="516" t="n"/>
      <c r="B779" s="516" t="n"/>
      <c r="C779" s="516" t="n"/>
      <c r="D779" s="516" t="n"/>
      <c r="E779" s="516" t="n"/>
      <c r="F779" s="516" t="n"/>
      <c r="G779" s="516" t="n"/>
      <c r="H779" s="516" t="n"/>
      <c r="I779" s="516" t="n"/>
      <c r="J779" s="516" t="n"/>
      <c r="K779" s="516" t="n"/>
    </row>
    <row r="780">
      <c r="A780" s="516" t="n"/>
      <c r="B780" s="516" t="n"/>
      <c r="C780" s="516" t="n"/>
      <c r="D780" s="516" t="n"/>
      <c r="E780" s="516" t="n"/>
      <c r="F780" s="516" t="n"/>
      <c r="G780" s="516" t="n"/>
      <c r="H780" s="516" t="n"/>
      <c r="I780" s="516" t="n"/>
      <c r="J780" s="516" t="n"/>
      <c r="K780" s="516" t="n"/>
    </row>
    <row r="781">
      <c r="A781" s="516" t="n"/>
      <c r="B781" s="516" t="n"/>
      <c r="C781" s="516" t="n"/>
      <c r="D781" s="516" t="n"/>
      <c r="E781" s="516" t="n"/>
      <c r="F781" s="516" t="n"/>
      <c r="G781" s="516" t="n"/>
      <c r="H781" s="516" t="n"/>
      <c r="I781" s="516" t="n"/>
      <c r="J781" s="516" t="n"/>
      <c r="K781" s="516" t="n"/>
    </row>
    <row r="782">
      <c r="A782" s="516" t="n"/>
      <c r="B782" s="516" t="n"/>
      <c r="C782" s="516" t="n"/>
      <c r="D782" s="516" t="n"/>
      <c r="E782" s="516" t="n"/>
      <c r="F782" s="516" t="n"/>
      <c r="G782" s="516" t="n"/>
      <c r="H782" s="516" t="n"/>
      <c r="I782" s="516" t="n"/>
      <c r="J782" s="516" t="n"/>
      <c r="K782" s="516" t="n"/>
    </row>
    <row r="783">
      <c r="A783" s="516" t="n"/>
      <c r="B783" s="516" t="n"/>
      <c r="C783" s="516" t="n"/>
      <c r="D783" s="516" t="n"/>
      <c r="E783" s="516" t="n"/>
      <c r="F783" s="516" t="n"/>
      <c r="G783" s="516" t="n"/>
      <c r="H783" s="516" t="n"/>
      <c r="I783" s="516" t="n"/>
      <c r="J783" s="516" t="n"/>
      <c r="K783" s="516" t="n"/>
    </row>
    <row r="784">
      <c r="A784" s="516" t="n"/>
      <c r="B784" s="516" t="n"/>
      <c r="C784" s="516" t="n"/>
      <c r="D784" s="516" t="n"/>
      <c r="E784" s="516" t="n"/>
      <c r="F784" s="516" t="n"/>
      <c r="G784" s="516" t="n"/>
      <c r="H784" s="516" t="n"/>
      <c r="I784" s="516" t="n"/>
      <c r="J784" s="516" t="n"/>
      <c r="K784" s="516" t="n"/>
    </row>
    <row r="785">
      <c r="A785" s="516" t="n"/>
      <c r="B785" s="516" t="n"/>
      <c r="C785" s="516" t="n"/>
      <c r="D785" s="516" t="n"/>
      <c r="E785" s="516" t="n"/>
      <c r="F785" s="516" t="n"/>
      <c r="G785" s="516" t="n"/>
      <c r="H785" s="516" t="n"/>
      <c r="I785" s="516" t="n"/>
      <c r="J785" s="516" t="n"/>
      <c r="K785" s="516" t="n"/>
    </row>
    <row r="786">
      <c r="A786" s="516" t="n"/>
      <c r="B786" s="516" t="n"/>
      <c r="C786" s="516" t="n"/>
      <c r="D786" s="516" t="n"/>
      <c r="E786" s="516" t="n"/>
      <c r="F786" s="516" t="n"/>
      <c r="G786" s="516" t="n"/>
      <c r="H786" s="516" t="n"/>
      <c r="I786" s="516" t="n"/>
      <c r="J786" s="516" t="n"/>
      <c r="K786" s="516" t="n"/>
    </row>
    <row r="787">
      <c r="A787" s="516" t="n"/>
      <c r="B787" s="516" t="n"/>
      <c r="C787" s="516" t="n"/>
      <c r="D787" s="516" t="n"/>
      <c r="E787" s="516" t="n"/>
      <c r="F787" s="516" t="n"/>
      <c r="G787" s="516" t="n"/>
      <c r="H787" s="516" t="n"/>
      <c r="I787" s="516" t="n"/>
      <c r="J787" s="516" t="n"/>
      <c r="K787" s="516" t="n"/>
    </row>
    <row r="788">
      <c r="A788" s="516" t="n"/>
      <c r="B788" s="516" t="n"/>
      <c r="C788" s="516" t="n"/>
      <c r="D788" s="516" t="n"/>
      <c r="E788" s="516" t="n"/>
      <c r="F788" s="516" t="n"/>
      <c r="G788" s="516" t="n"/>
      <c r="H788" s="516" t="n"/>
      <c r="I788" s="516" t="n"/>
      <c r="J788" s="516" t="n"/>
      <c r="K788" s="516" t="n"/>
    </row>
    <row r="789">
      <c r="A789" s="516" t="n"/>
      <c r="B789" s="516" t="n"/>
      <c r="C789" s="516" t="n"/>
      <c r="D789" s="516" t="n"/>
      <c r="E789" s="516" t="n"/>
      <c r="F789" s="516" t="n"/>
      <c r="G789" s="516" t="n"/>
      <c r="H789" s="516" t="n"/>
      <c r="I789" s="516" t="n"/>
      <c r="J789" s="516" t="n"/>
      <c r="K789" s="516" t="n"/>
    </row>
    <row r="790">
      <c r="A790" s="516" t="n"/>
      <c r="B790" s="516" t="n"/>
      <c r="C790" s="516" t="n"/>
      <c r="D790" s="516" t="n"/>
      <c r="E790" s="516" t="n"/>
      <c r="F790" s="516" t="n"/>
      <c r="G790" s="516" t="n"/>
      <c r="H790" s="516" t="n"/>
      <c r="I790" s="516" t="n"/>
      <c r="J790" s="516" t="n"/>
      <c r="K790" s="516" t="n"/>
    </row>
    <row r="791">
      <c r="A791" s="516" t="n"/>
      <c r="B791" s="516" t="n"/>
      <c r="C791" s="516" t="n"/>
      <c r="D791" s="516" t="n"/>
      <c r="E791" s="516" t="n"/>
      <c r="F791" s="516" t="n"/>
      <c r="G791" s="516" t="n"/>
      <c r="H791" s="516" t="n"/>
      <c r="I791" s="516" t="n"/>
      <c r="J791" s="516" t="n"/>
      <c r="K791" s="516" t="n"/>
    </row>
    <row r="792">
      <c r="A792" s="516" t="n"/>
      <c r="B792" s="516" t="n"/>
      <c r="C792" s="516" t="n"/>
      <c r="D792" s="516" t="n"/>
      <c r="E792" s="516" t="n"/>
      <c r="F792" s="516" t="n"/>
      <c r="G792" s="516" t="n"/>
      <c r="H792" s="516" t="n"/>
      <c r="I792" s="516" t="n"/>
      <c r="J792" s="516" t="n"/>
      <c r="K792" s="516" t="n"/>
    </row>
    <row r="793">
      <c r="A793" s="516" t="n"/>
      <c r="B793" s="516" t="n"/>
      <c r="C793" s="516" t="n"/>
      <c r="D793" s="516" t="n"/>
      <c r="E793" s="516" t="n"/>
      <c r="F793" s="516" t="n"/>
      <c r="G793" s="516" t="n"/>
      <c r="H793" s="516" t="n"/>
      <c r="I793" s="516" t="n"/>
      <c r="J793" s="516" t="n"/>
      <c r="K793" s="516" t="n"/>
    </row>
    <row r="794">
      <c r="A794" s="516" t="n"/>
      <c r="B794" s="516" t="n"/>
      <c r="C794" s="516" t="n"/>
      <c r="D794" s="516" t="n"/>
      <c r="E794" s="516" t="n"/>
      <c r="F794" s="516" t="n"/>
      <c r="G794" s="516" t="n"/>
      <c r="H794" s="516" t="n"/>
      <c r="I794" s="516" t="n"/>
      <c r="J794" s="516" t="n"/>
      <c r="K794" s="516" t="n"/>
    </row>
    <row r="795">
      <c r="A795" s="516" t="n"/>
      <c r="B795" s="516" t="n"/>
      <c r="C795" s="516" t="n"/>
      <c r="D795" s="516" t="n"/>
      <c r="E795" s="516" t="n"/>
      <c r="F795" s="516" t="n"/>
      <c r="G795" s="516" t="n"/>
      <c r="H795" s="516" t="n"/>
      <c r="I795" s="516" t="n"/>
      <c r="J795" s="516" t="n"/>
      <c r="K795" s="516" t="n"/>
    </row>
    <row r="796">
      <c r="A796" s="516" t="n"/>
      <c r="B796" s="516" t="n"/>
      <c r="C796" s="516" t="n"/>
      <c r="D796" s="516" t="n"/>
      <c r="E796" s="516" t="n"/>
      <c r="F796" s="516" t="n"/>
      <c r="G796" s="516" t="n"/>
      <c r="H796" s="516" t="n"/>
      <c r="I796" s="516" t="n"/>
      <c r="J796" s="516" t="n"/>
      <c r="K796" s="516" t="n"/>
    </row>
    <row r="797">
      <c r="A797" s="516" t="n"/>
      <c r="B797" s="516" t="n"/>
      <c r="C797" s="516" t="n"/>
      <c r="D797" s="516" t="n"/>
      <c r="E797" s="516" t="n"/>
      <c r="F797" s="516" t="n"/>
      <c r="G797" s="516" t="n"/>
      <c r="H797" s="516" t="n"/>
      <c r="I797" s="516" t="n"/>
      <c r="J797" s="516" t="n"/>
      <c r="K797" s="516" t="n"/>
    </row>
    <row r="798">
      <c r="A798" s="516" t="n"/>
      <c r="B798" s="516" t="n"/>
      <c r="C798" s="516" t="n"/>
      <c r="D798" s="516" t="n"/>
      <c r="E798" s="516" t="n"/>
      <c r="F798" s="516" t="n"/>
      <c r="G798" s="516" t="n"/>
      <c r="H798" s="516" t="n"/>
      <c r="I798" s="516" t="n"/>
      <c r="J798" s="516" t="n"/>
      <c r="K798" s="516" t="n"/>
    </row>
    <row r="799">
      <c r="A799" s="516" t="n"/>
      <c r="B799" s="516" t="n"/>
      <c r="C799" s="516" t="n"/>
      <c r="D799" s="516" t="n"/>
      <c r="E799" s="516" t="n"/>
      <c r="F799" s="516" t="n"/>
      <c r="G799" s="516" t="n"/>
      <c r="H799" s="516" t="n"/>
      <c r="I799" s="516" t="n"/>
      <c r="J799" s="516" t="n"/>
      <c r="K799" s="516" t="n"/>
    </row>
    <row r="800">
      <c r="A800" s="516" t="n"/>
      <c r="B800" s="516" t="n"/>
      <c r="C800" s="516" t="n"/>
      <c r="D800" s="516" t="n"/>
      <c r="E800" s="516" t="n"/>
      <c r="F800" s="516" t="n"/>
      <c r="G800" s="516" t="n"/>
      <c r="H800" s="516" t="n"/>
      <c r="I800" s="516" t="n"/>
      <c r="J800" s="516" t="n"/>
      <c r="K800" s="516" t="n"/>
    </row>
    <row r="801">
      <c r="A801" s="516" t="n"/>
      <c r="B801" s="516" t="n"/>
      <c r="C801" s="516" t="n"/>
      <c r="D801" s="516" t="n"/>
      <c r="E801" s="516" t="n"/>
      <c r="F801" s="516" t="n"/>
      <c r="G801" s="516" t="n"/>
      <c r="H801" s="516" t="n"/>
      <c r="I801" s="516" t="n"/>
      <c r="J801" s="516" t="n"/>
      <c r="K801" s="516" t="n"/>
    </row>
    <row r="802">
      <c r="A802" s="516" t="n"/>
      <c r="B802" s="516" t="n"/>
      <c r="C802" s="516" t="n"/>
      <c r="D802" s="516" t="n"/>
      <c r="E802" s="516" t="n"/>
      <c r="F802" s="516" t="n"/>
      <c r="G802" s="516" t="n"/>
      <c r="H802" s="516" t="n"/>
      <c r="I802" s="516" t="n"/>
      <c r="J802" s="516" t="n"/>
      <c r="K802" s="516" t="n"/>
    </row>
    <row r="803">
      <c r="A803" s="516" t="n"/>
      <c r="B803" s="516" t="n"/>
      <c r="C803" s="516" t="n"/>
      <c r="D803" s="516" t="n"/>
      <c r="E803" s="516" t="n"/>
      <c r="F803" s="516" t="n"/>
      <c r="G803" s="516" t="n"/>
      <c r="H803" s="516" t="n"/>
      <c r="I803" s="516" t="n"/>
      <c r="J803" s="516" t="n"/>
      <c r="K803" s="516" t="n"/>
    </row>
    <row r="804">
      <c r="A804" s="516" t="n"/>
      <c r="B804" s="516" t="n"/>
      <c r="C804" s="516" t="n"/>
      <c r="D804" s="516" t="n"/>
      <c r="E804" s="516" t="n"/>
      <c r="F804" s="516" t="n"/>
      <c r="G804" s="516" t="n"/>
      <c r="H804" s="516" t="n"/>
      <c r="I804" s="516" t="n"/>
      <c r="J804" s="516" t="n"/>
      <c r="K804" s="516" t="n"/>
    </row>
    <row r="805">
      <c r="A805" s="516" t="n"/>
      <c r="B805" s="516" t="n"/>
      <c r="C805" s="516" t="n"/>
      <c r="D805" s="516" t="n"/>
      <c r="E805" s="516" t="n"/>
      <c r="F805" s="516" t="n"/>
      <c r="G805" s="516" t="n"/>
      <c r="H805" s="516" t="n"/>
      <c r="I805" s="516" t="n"/>
      <c r="J805" s="516" t="n"/>
      <c r="K805" s="516" t="n"/>
    </row>
    <row r="806">
      <c r="A806" s="516" t="n"/>
      <c r="B806" s="516" t="n"/>
      <c r="C806" s="516" t="n"/>
      <c r="D806" s="516" t="n"/>
      <c r="E806" s="516" t="n"/>
      <c r="F806" s="516" t="n"/>
      <c r="G806" s="516" t="n"/>
      <c r="H806" s="516" t="n"/>
      <c r="I806" s="516" t="n"/>
      <c r="J806" s="516" t="n"/>
      <c r="K806" s="516" t="n"/>
    </row>
    <row r="807">
      <c r="A807" s="516" t="n"/>
      <c r="B807" s="516" t="n"/>
      <c r="C807" s="516" t="n"/>
      <c r="D807" s="516" t="n"/>
      <c r="E807" s="516" t="n"/>
      <c r="F807" s="516" t="n"/>
      <c r="G807" s="516" t="n"/>
      <c r="H807" s="516" t="n"/>
      <c r="I807" s="516" t="n"/>
      <c r="J807" s="516" t="n"/>
      <c r="K807" s="516" t="n"/>
    </row>
    <row r="808">
      <c r="A808" s="516" t="n"/>
      <c r="B808" s="516" t="n"/>
      <c r="C808" s="516" t="n"/>
      <c r="D808" s="516" t="n"/>
      <c r="E808" s="516" t="n"/>
      <c r="F808" s="516" t="n"/>
      <c r="G808" s="516" t="n"/>
      <c r="H808" s="516" t="n"/>
      <c r="I808" s="516" t="n"/>
      <c r="J808" s="516" t="n"/>
      <c r="K808" s="516" t="n"/>
    </row>
    <row r="809">
      <c r="A809" s="516" t="n"/>
      <c r="B809" s="516" t="n"/>
      <c r="C809" s="516" t="n"/>
      <c r="D809" s="516" t="n"/>
      <c r="E809" s="516" t="n"/>
      <c r="F809" s="516" t="n"/>
      <c r="G809" s="516" t="n"/>
      <c r="H809" s="516" t="n"/>
      <c r="I809" s="516" t="n"/>
      <c r="J809" s="516" t="n"/>
      <c r="K809" s="516" t="n"/>
    </row>
    <row r="810">
      <c r="A810" s="516" t="n"/>
      <c r="B810" s="516" t="n"/>
      <c r="C810" s="516" t="n"/>
      <c r="D810" s="516" t="n"/>
      <c r="E810" s="516" t="n"/>
      <c r="F810" s="516" t="n"/>
      <c r="G810" s="516" t="n"/>
      <c r="H810" s="516" t="n"/>
      <c r="I810" s="516" t="n"/>
      <c r="J810" s="516" t="n"/>
      <c r="K810" s="516" t="n"/>
    </row>
    <row r="811">
      <c r="A811" s="516" t="n"/>
      <c r="B811" s="516" t="n"/>
      <c r="C811" s="516" t="n"/>
      <c r="D811" s="516" t="n"/>
      <c r="E811" s="516" t="n"/>
      <c r="F811" s="516" t="n"/>
      <c r="G811" s="516" t="n"/>
      <c r="H811" s="516" t="n"/>
      <c r="I811" s="516" t="n"/>
      <c r="J811" s="516" t="n"/>
      <c r="K811" s="516" t="n"/>
    </row>
    <row r="812">
      <c r="A812" s="516" t="n"/>
      <c r="B812" s="516" t="n"/>
      <c r="C812" s="516" t="n"/>
      <c r="D812" s="516" t="n"/>
      <c r="E812" s="516" t="n"/>
      <c r="F812" s="516" t="n"/>
      <c r="G812" s="516" t="n"/>
      <c r="H812" s="516" t="n"/>
      <c r="I812" s="516" t="n"/>
      <c r="J812" s="516" t="n"/>
      <c r="K812" s="516" t="n"/>
    </row>
    <row r="813">
      <c r="A813" s="516" t="n"/>
      <c r="B813" s="516" t="n"/>
      <c r="C813" s="516" t="n"/>
      <c r="D813" s="516" t="n"/>
      <c r="E813" s="516" t="n"/>
      <c r="F813" s="516" t="n"/>
      <c r="G813" s="516" t="n"/>
      <c r="H813" s="516" t="n"/>
      <c r="I813" s="516" t="n"/>
      <c r="J813" s="516" t="n"/>
      <c r="K813" s="516" t="n"/>
    </row>
    <row r="814">
      <c r="A814" s="516" t="n"/>
      <c r="B814" s="516" t="n"/>
      <c r="C814" s="516" t="n"/>
      <c r="D814" s="516" t="n"/>
      <c r="E814" s="516" t="n"/>
      <c r="F814" s="516" t="n"/>
      <c r="G814" s="516" t="n"/>
      <c r="H814" s="516" t="n"/>
      <c r="I814" s="516" t="n"/>
      <c r="J814" s="516" t="n"/>
      <c r="K814" s="516" t="n"/>
    </row>
    <row r="815">
      <c r="A815" s="516" t="n"/>
      <c r="B815" s="516" t="n"/>
      <c r="C815" s="516" t="n"/>
      <c r="D815" s="516" t="n"/>
      <c r="E815" s="516" t="n"/>
      <c r="F815" s="516" t="n"/>
      <c r="G815" s="516" t="n"/>
      <c r="H815" s="516" t="n"/>
      <c r="I815" s="516" t="n"/>
      <c r="J815" s="516" t="n"/>
      <c r="K815" s="516" t="n"/>
    </row>
    <row r="816">
      <c r="A816" s="516" t="n"/>
      <c r="B816" s="516" t="n"/>
      <c r="C816" s="516" t="n"/>
      <c r="D816" s="516" t="n"/>
      <c r="E816" s="516" t="n"/>
      <c r="F816" s="516" t="n"/>
      <c r="G816" s="516" t="n"/>
      <c r="H816" s="516" t="n"/>
      <c r="I816" s="516" t="n"/>
      <c r="J816" s="516" t="n"/>
      <c r="K816" s="516" t="n"/>
    </row>
    <row r="817">
      <c r="A817" s="516" t="n"/>
      <c r="B817" s="516" t="n"/>
      <c r="C817" s="516" t="n"/>
      <c r="D817" s="516" t="n"/>
      <c r="E817" s="516" t="n"/>
      <c r="F817" s="516" t="n"/>
      <c r="G817" s="516" t="n"/>
      <c r="H817" s="516" t="n"/>
      <c r="I817" s="516" t="n"/>
      <c r="J817" s="516" t="n"/>
      <c r="K817" s="516" t="n"/>
    </row>
    <row r="818">
      <c r="A818" s="516" t="n"/>
      <c r="B818" s="516" t="n"/>
      <c r="C818" s="516" t="n"/>
      <c r="D818" s="516" t="n"/>
      <c r="E818" s="516" t="n"/>
      <c r="F818" s="516" t="n"/>
      <c r="G818" s="516" t="n"/>
      <c r="H818" s="516" t="n"/>
      <c r="I818" s="516" t="n"/>
      <c r="J818" s="516" t="n"/>
      <c r="K818" s="516" t="n"/>
    </row>
    <row r="819">
      <c r="A819" s="516" t="n"/>
      <c r="B819" s="516" t="n"/>
      <c r="C819" s="516" t="n"/>
      <c r="D819" s="516" t="n"/>
      <c r="E819" s="516" t="n"/>
      <c r="F819" s="516" t="n"/>
      <c r="G819" s="516" t="n"/>
      <c r="H819" s="516" t="n"/>
      <c r="I819" s="516" t="n"/>
      <c r="J819" s="516" t="n"/>
      <c r="K819" s="516" t="n"/>
    </row>
    <row r="820">
      <c r="A820" s="516" t="n"/>
      <c r="B820" s="516" t="n"/>
      <c r="C820" s="516" t="n"/>
      <c r="D820" s="516" t="n"/>
      <c r="E820" s="516" t="n"/>
      <c r="F820" s="516" t="n"/>
      <c r="G820" s="516" t="n"/>
      <c r="H820" s="516" t="n"/>
      <c r="I820" s="516" t="n"/>
      <c r="J820" s="516" t="n"/>
      <c r="K820" s="516" t="n"/>
    </row>
    <row r="821">
      <c r="A821" s="516" t="n"/>
      <c r="B821" s="516" t="n"/>
      <c r="C821" s="516" t="n"/>
      <c r="D821" s="516" t="n"/>
      <c r="E821" s="516" t="n"/>
      <c r="F821" s="516" t="n"/>
      <c r="G821" s="516" t="n"/>
      <c r="H821" s="516" t="n"/>
      <c r="I821" s="516" t="n"/>
      <c r="J821" s="516" t="n"/>
      <c r="K821" s="516" t="n"/>
    </row>
    <row r="822">
      <c r="A822" s="516" t="n"/>
      <c r="B822" s="516" t="n"/>
      <c r="C822" s="516" t="n"/>
      <c r="D822" s="516" t="n"/>
      <c r="E822" s="516" t="n"/>
      <c r="F822" s="516" t="n"/>
      <c r="G822" s="516" t="n"/>
      <c r="H822" s="516" t="n"/>
      <c r="I822" s="516" t="n"/>
      <c r="J822" s="516" t="n"/>
      <c r="K822" s="516" t="n"/>
    </row>
    <row r="823">
      <c r="A823" s="516" t="n"/>
      <c r="B823" s="516" t="n"/>
      <c r="C823" s="516" t="n"/>
      <c r="D823" s="516" t="n"/>
      <c r="E823" s="516" t="n"/>
      <c r="F823" s="516" t="n"/>
      <c r="G823" s="516" t="n"/>
      <c r="H823" s="516" t="n"/>
      <c r="I823" s="516" t="n"/>
      <c r="J823" s="516" t="n"/>
      <c r="K823" s="516" t="n"/>
    </row>
    <row r="824">
      <c r="A824" s="516" t="n"/>
      <c r="B824" s="516" t="n"/>
      <c r="C824" s="516" t="n"/>
      <c r="D824" s="516" t="n"/>
      <c r="E824" s="516" t="n"/>
      <c r="F824" s="516" t="n"/>
      <c r="G824" s="516" t="n"/>
      <c r="H824" s="516" t="n"/>
      <c r="I824" s="516" t="n"/>
      <c r="J824" s="516" t="n"/>
      <c r="K824" s="516" t="n"/>
    </row>
    <row r="825">
      <c r="A825" s="516" t="n"/>
      <c r="B825" s="516" t="n"/>
      <c r="C825" s="516" t="n"/>
      <c r="D825" s="516" t="n"/>
      <c r="E825" s="516" t="n"/>
      <c r="F825" s="516" t="n"/>
      <c r="G825" s="516" t="n"/>
      <c r="H825" s="516" t="n"/>
      <c r="I825" s="516" t="n"/>
      <c r="J825" s="516" t="n"/>
      <c r="K825" s="516" t="n"/>
    </row>
    <row r="826">
      <c r="A826" s="516" t="n"/>
      <c r="B826" s="516" t="n"/>
      <c r="C826" s="516" t="n"/>
      <c r="D826" s="516" t="n"/>
      <c r="E826" s="516" t="n"/>
      <c r="F826" s="516" t="n"/>
      <c r="G826" s="516" t="n"/>
      <c r="H826" s="516" t="n"/>
      <c r="I826" s="516" t="n"/>
      <c r="J826" s="516" t="n"/>
      <c r="K826" s="516" t="n"/>
    </row>
    <row r="827">
      <c r="A827" s="516" t="n"/>
      <c r="B827" s="516" t="n"/>
      <c r="C827" s="516" t="n"/>
      <c r="D827" s="516" t="n"/>
      <c r="E827" s="516" t="n"/>
      <c r="F827" s="516" t="n"/>
      <c r="G827" s="516" t="n"/>
      <c r="H827" s="516" t="n"/>
      <c r="I827" s="516" t="n"/>
      <c r="J827" s="516" t="n"/>
      <c r="K827" s="516" t="n"/>
    </row>
    <row r="828">
      <c r="A828" s="516" t="n"/>
      <c r="B828" s="516" t="n"/>
      <c r="C828" s="516" t="n"/>
      <c r="D828" s="516" t="n"/>
      <c r="E828" s="516" t="n"/>
      <c r="F828" s="516" t="n"/>
      <c r="G828" s="516" t="n"/>
      <c r="H828" s="516" t="n"/>
      <c r="I828" s="516" t="n"/>
      <c r="J828" s="516" t="n"/>
      <c r="K828" s="516" t="n"/>
    </row>
    <row r="829">
      <c r="A829" s="516" t="n"/>
      <c r="B829" s="516" t="n"/>
      <c r="C829" s="516" t="n"/>
      <c r="D829" s="516" t="n"/>
      <c r="E829" s="516" t="n"/>
      <c r="F829" s="516" t="n"/>
      <c r="G829" s="516" t="n"/>
      <c r="H829" s="516" t="n"/>
      <c r="I829" s="516" t="n"/>
      <c r="J829" s="516" t="n"/>
      <c r="K829" s="516" t="n"/>
    </row>
    <row r="830">
      <c r="A830" s="516" t="n"/>
      <c r="B830" s="516" t="n"/>
      <c r="C830" s="516" t="n"/>
      <c r="D830" s="516" t="n"/>
      <c r="E830" s="516" t="n"/>
      <c r="F830" s="516" t="n"/>
      <c r="G830" s="516" t="n"/>
      <c r="H830" s="516" t="n"/>
      <c r="I830" s="516" t="n"/>
      <c r="J830" s="516" t="n"/>
      <c r="K830" s="516" t="n"/>
    </row>
    <row r="831">
      <c r="A831" s="516" t="n"/>
      <c r="B831" s="516" t="n"/>
      <c r="C831" s="516" t="n"/>
      <c r="D831" s="516" t="n"/>
      <c r="E831" s="516" t="n"/>
      <c r="F831" s="516" t="n"/>
      <c r="G831" s="516" t="n"/>
      <c r="H831" s="516" t="n"/>
      <c r="I831" s="516" t="n"/>
      <c r="J831" s="516" t="n"/>
      <c r="K831" s="516" t="n"/>
    </row>
    <row r="832">
      <c r="A832" s="516" t="n"/>
      <c r="B832" s="516" t="n"/>
      <c r="C832" s="516" t="n"/>
      <c r="D832" s="516" t="n"/>
      <c r="E832" s="516" t="n"/>
      <c r="F832" s="516" t="n"/>
      <c r="G832" s="516" t="n"/>
      <c r="H832" s="516" t="n"/>
      <c r="I832" s="516" t="n"/>
      <c r="J832" s="516" t="n"/>
      <c r="K832" s="516" t="n"/>
    </row>
    <row r="833">
      <c r="A833" s="516" t="n"/>
      <c r="B833" s="516" t="n"/>
      <c r="C833" s="516" t="n"/>
      <c r="D833" s="516" t="n"/>
      <c r="E833" s="516" t="n"/>
      <c r="F833" s="516" t="n"/>
      <c r="G833" s="516" t="n"/>
      <c r="H833" s="516" t="n"/>
      <c r="I833" s="516" t="n"/>
      <c r="J833" s="516" t="n"/>
      <c r="K833" s="516" t="n"/>
    </row>
    <row r="834">
      <c r="A834" s="516" t="n"/>
      <c r="B834" s="516" t="n"/>
      <c r="C834" s="516" t="n"/>
      <c r="D834" s="516" t="n"/>
      <c r="E834" s="516" t="n"/>
      <c r="F834" s="516" t="n"/>
      <c r="G834" s="516" t="n"/>
      <c r="H834" s="516" t="n"/>
      <c r="I834" s="516" t="n"/>
      <c r="J834" s="516" t="n"/>
      <c r="K834" s="516" t="n"/>
    </row>
    <row r="835">
      <c r="A835" s="516" t="n"/>
      <c r="B835" s="516" t="n"/>
      <c r="C835" s="516" t="n"/>
      <c r="D835" s="516" t="n"/>
      <c r="E835" s="516" t="n"/>
      <c r="F835" s="516" t="n"/>
      <c r="G835" s="516" t="n"/>
      <c r="H835" s="516" t="n"/>
      <c r="I835" s="516" t="n"/>
      <c r="J835" s="516" t="n"/>
      <c r="K835" s="516" t="n"/>
    </row>
    <row r="836">
      <c r="A836" s="516" t="n"/>
      <c r="B836" s="516" t="n"/>
      <c r="C836" s="516" t="n"/>
      <c r="D836" s="516" t="n"/>
      <c r="E836" s="516" t="n"/>
      <c r="F836" s="516" t="n"/>
      <c r="G836" s="516" t="n"/>
      <c r="H836" s="516" t="n"/>
      <c r="I836" s="516" t="n"/>
      <c r="J836" s="516" t="n"/>
      <c r="K836" s="516" t="n"/>
    </row>
    <row r="837">
      <c r="A837" s="516" t="n"/>
      <c r="B837" s="516" t="n"/>
      <c r="C837" s="516" t="n"/>
      <c r="D837" s="516" t="n"/>
      <c r="E837" s="516" t="n"/>
      <c r="F837" s="516" t="n"/>
      <c r="G837" s="516" t="n"/>
      <c r="H837" s="516" t="n"/>
      <c r="I837" s="516" t="n"/>
      <c r="J837" s="516" t="n"/>
      <c r="K837" s="516" t="n"/>
    </row>
    <row r="838">
      <c r="A838" s="516" t="n"/>
      <c r="B838" s="516" t="n"/>
      <c r="C838" s="516" t="n"/>
      <c r="D838" s="516" t="n"/>
      <c r="E838" s="516" t="n"/>
      <c r="F838" s="516" t="n"/>
      <c r="G838" s="516" t="n"/>
      <c r="H838" s="516" t="n"/>
      <c r="I838" s="516" t="n"/>
      <c r="J838" s="516" t="n"/>
      <c r="K838" s="516" t="n"/>
    </row>
    <row r="839">
      <c r="A839" s="516" t="n"/>
      <c r="B839" s="516" t="n"/>
      <c r="C839" s="516" t="n"/>
      <c r="D839" s="516" t="n"/>
      <c r="E839" s="516" t="n"/>
      <c r="F839" s="516" t="n"/>
      <c r="G839" s="516" t="n"/>
      <c r="H839" s="516" t="n"/>
      <c r="I839" s="516" t="n"/>
      <c r="J839" s="516" t="n"/>
      <c r="K839" s="516" t="n"/>
    </row>
    <row r="840">
      <c r="A840" s="516" t="n"/>
      <c r="B840" s="516" t="n"/>
      <c r="C840" s="516" t="n"/>
      <c r="D840" s="516" t="n"/>
      <c r="E840" s="516" t="n"/>
      <c r="F840" s="516" t="n"/>
      <c r="G840" s="516" t="n"/>
      <c r="H840" s="516" t="n"/>
      <c r="I840" s="516" t="n"/>
      <c r="J840" s="516" t="n"/>
      <c r="K840" s="516" t="n"/>
    </row>
    <row r="841">
      <c r="A841" s="516" t="n"/>
      <c r="B841" s="516" t="n"/>
      <c r="C841" s="516" t="n"/>
      <c r="D841" s="516" t="n"/>
      <c r="E841" s="516" t="n"/>
      <c r="F841" s="516" t="n"/>
      <c r="G841" s="516" t="n"/>
      <c r="H841" s="516" t="n"/>
      <c r="I841" s="516" t="n"/>
      <c r="J841" s="516" t="n"/>
      <c r="K841" s="516" t="n"/>
    </row>
    <row r="842">
      <c r="A842" s="516" t="n"/>
      <c r="B842" s="516" t="n"/>
      <c r="C842" s="516" t="n"/>
      <c r="D842" s="516" t="n"/>
      <c r="E842" s="516" t="n"/>
      <c r="F842" s="516" t="n"/>
      <c r="G842" s="516" t="n"/>
      <c r="H842" s="516" t="n"/>
      <c r="I842" s="516" t="n"/>
      <c r="J842" s="516" t="n"/>
      <c r="K842" s="516" t="n"/>
    </row>
    <row r="843">
      <c r="A843" s="516" t="n"/>
      <c r="B843" s="516" t="n"/>
      <c r="C843" s="516" t="n"/>
      <c r="D843" s="516" t="n"/>
      <c r="E843" s="516" t="n"/>
      <c r="F843" s="516" t="n"/>
      <c r="G843" s="516" t="n"/>
      <c r="H843" s="516" t="n"/>
      <c r="I843" s="516" t="n"/>
      <c r="J843" s="516" t="n"/>
      <c r="K843" s="516" t="n"/>
    </row>
    <row r="844">
      <c r="A844" s="516" t="n"/>
      <c r="B844" s="516" t="n"/>
      <c r="C844" s="516" t="n"/>
      <c r="D844" s="516" t="n"/>
      <c r="E844" s="516" t="n"/>
      <c r="F844" s="516" t="n"/>
      <c r="G844" s="516" t="n"/>
      <c r="H844" s="516" t="n"/>
      <c r="I844" s="516" t="n"/>
      <c r="J844" s="516" t="n"/>
      <c r="K844" s="516" t="n"/>
    </row>
    <row r="845">
      <c r="A845" s="516" t="n"/>
      <c r="B845" s="516" t="n"/>
      <c r="C845" s="516" t="n"/>
      <c r="D845" s="516" t="n"/>
      <c r="E845" s="516" t="n"/>
      <c r="F845" s="516" t="n"/>
      <c r="G845" s="516" t="n"/>
      <c r="H845" s="516" t="n"/>
      <c r="I845" s="516" t="n"/>
      <c r="J845" s="516" t="n"/>
      <c r="K845" s="516" t="n"/>
    </row>
    <row r="846">
      <c r="A846" s="516" t="n"/>
      <c r="B846" s="516" t="n"/>
      <c r="C846" s="516" t="n"/>
      <c r="D846" s="516" t="n"/>
      <c r="E846" s="516" t="n"/>
      <c r="F846" s="516" t="n"/>
      <c r="G846" s="516" t="n"/>
      <c r="H846" s="516" t="n"/>
      <c r="I846" s="516" t="n"/>
      <c r="J846" s="516" t="n"/>
      <c r="K846" s="516" t="n"/>
    </row>
    <row r="847">
      <c r="A847" s="516" t="n"/>
      <c r="B847" s="516" t="n"/>
      <c r="C847" s="516" t="n"/>
      <c r="D847" s="516" t="n"/>
      <c r="E847" s="516" t="n"/>
      <c r="F847" s="516" t="n"/>
      <c r="G847" s="516" t="n"/>
      <c r="H847" s="516" t="n"/>
      <c r="I847" s="516" t="n"/>
      <c r="J847" s="516" t="n"/>
      <c r="K847" s="516" t="n"/>
    </row>
    <row r="848">
      <c r="A848" s="516" t="n"/>
      <c r="B848" s="516" t="n"/>
      <c r="C848" s="516" t="n"/>
      <c r="D848" s="516" t="n"/>
      <c r="E848" s="516" t="n"/>
      <c r="F848" s="516" t="n"/>
      <c r="G848" s="516" t="n"/>
      <c r="H848" s="516" t="n"/>
      <c r="I848" s="516" t="n"/>
      <c r="J848" s="516" t="n"/>
      <c r="K848" s="516" t="n"/>
    </row>
    <row r="849">
      <c r="A849" s="516" t="n"/>
      <c r="B849" s="516" t="n"/>
      <c r="C849" s="516" t="n"/>
      <c r="D849" s="516" t="n"/>
      <c r="E849" s="516" t="n"/>
      <c r="F849" s="516" t="n"/>
      <c r="G849" s="516" t="n"/>
      <c r="H849" s="516" t="n"/>
      <c r="I849" s="516" t="n"/>
      <c r="J849" s="516" t="n"/>
      <c r="K849" s="516" t="n"/>
    </row>
    <row r="850">
      <c r="A850" s="516" t="n"/>
      <c r="B850" s="516" t="n"/>
      <c r="C850" s="516" t="n"/>
      <c r="D850" s="516" t="n"/>
      <c r="E850" s="516" t="n"/>
      <c r="F850" s="516" t="n"/>
      <c r="G850" s="516" t="n"/>
      <c r="H850" s="516" t="n"/>
      <c r="I850" s="516" t="n"/>
      <c r="J850" s="516" t="n"/>
      <c r="K850" s="516" t="n"/>
    </row>
    <row r="851">
      <c r="A851" s="516" t="n"/>
      <c r="B851" s="516" t="n"/>
      <c r="C851" s="516" t="n"/>
      <c r="D851" s="516" t="n"/>
      <c r="E851" s="516" t="n"/>
      <c r="F851" s="516" t="n"/>
      <c r="G851" s="516" t="n"/>
      <c r="H851" s="516" t="n"/>
      <c r="I851" s="516" t="n"/>
      <c r="J851" s="516" t="n"/>
      <c r="K851" s="516" t="n"/>
    </row>
    <row r="852">
      <c r="A852" s="516" t="n"/>
      <c r="B852" s="516" t="n"/>
      <c r="C852" s="516" t="n"/>
      <c r="D852" s="516" t="n"/>
      <c r="E852" s="516" t="n"/>
      <c r="F852" s="516" t="n"/>
      <c r="G852" s="516" t="n"/>
      <c r="H852" s="516" t="n"/>
      <c r="I852" s="516" t="n"/>
      <c r="J852" s="516" t="n"/>
      <c r="K852" s="516" t="n"/>
    </row>
    <row r="853">
      <c r="A853" s="516" t="n"/>
      <c r="B853" s="516" t="n"/>
      <c r="C853" s="516" t="n"/>
      <c r="D853" s="516" t="n"/>
      <c r="E853" s="516" t="n"/>
      <c r="F853" s="516" t="n"/>
      <c r="G853" s="516" t="n"/>
      <c r="H853" s="516" t="n"/>
      <c r="I853" s="516" t="n"/>
      <c r="J853" s="516" t="n"/>
      <c r="K853" s="516" t="n"/>
    </row>
    <row r="854">
      <c r="A854" s="516" t="n"/>
      <c r="B854" s="516" t="n"/>
      <c r="C854" s="516" t="n"/>
      <c r="D854" s="516" t="n"/>
      <c r="E854" s="516" t="n"/>
      <c r="F854" s="516" t="n"/>
      <c r="G854" s="516" t="n"/>
      <c r="H854" s="516" t="n"/>
      <c r="I854" s="516" t="n"/>
      <c r="J854" s="516" t="n"/>
      <c r="K854" s="516" t="n"/>
    </row>
    <row r="855">
      <c r="A855" s="516" t="n"/>
      <c r="B855" s="516" t="n"/>
      <c r="C855" s="516" t="n"/>
      <c r="D855" s="516" t="n"/>
      <c r="E855" s="516" t="n"/>
      <c r="F855" s="516" t="n"/>
      <c r="G855" s="516" t="n"/>
      <c r="H855" s="516" t="n"/>
      <c r="I855" s="516" t="n"/>
      <c r="J855" s="516" t="n"/>
      <c r="K855" s="516" t="n"/>
    </row>
    <row r="856">
      <c r="A856" s="516" t="n"/>
      <c r="B856" s="516" t="n"/>
      <c r="C856" s="516" t="n"/>
      <c r="D856" s="516" t="n"/>
      <c r="E856" s="516" t="n"/>
      <c r="F856" s="516" t="n"/>
      <c r="G856" s="516" t="n"/>
      <c r="H856" s="516" t="n"/>
      <c r="I856" s="516" t="n"/>
      <c r="J856" s="516" t="n"/>
      <c r="K856" s="516" t="n"/>
    </row>
    <row r="857">
      <c r="A857" s="516" t="n"/>
      <c r="B857" s="516" t="n"/>
      <c r="C857" s="516" t="n"/>
      <c r="D857" s="516" t="n"/>
      <c r="E857" s="516" t="n"/>
      <c r="F857" s="516" t="n"/>
      <c r="G857" s="516" t="n"/>
      <c r="H857" s="516" t="n"/>
      <c r="I857" s="516" t="n"/>
      <c r="J857" s="516" t="n"/>
      <c r="K857" s="516" t="n"/>
    </row>
    <row r="858">
      <c r="A858" s="516" t="n"/>
      <c r="B858" s="516" t="n"/>
      <c r="C858" s="516" t="n"/>
      <c r="D858" s="516" t="n"/>
      <c r="E858" s="516" t="n"/>
      <c r="F858" s="516" t="n"/>
      <c r="G858" s="516" t="n"/>
      <c r="H858" s="516" t="n"/>
      <c r="I858" s="516" t="n"/>
      <c r="J858" s="516" t="n"/>
      <c r="K858" s="516" t="n"/>
    </row>
    <row r="859">
      <c r="A859" s="516" t="n"/>
      <c r="B859" s="516" t="n"/>
      <c r="C859" s="516" t="n"/>
      <c r="D859" s="516" t="n"/>
      <c r="E859" s="516" t="n"/>
      <c r="F859" s="516" t="n"/>
      <c r="G859" s="516" t="n"/>
      <c r="H859" s="516" t="n"/>
      <c r="I859" s="516" t="n"/>
      <c r="J859" s="516" t="n"/>
      <c r="K859" s="516" t="n"/>
    </row>
    <row r="860">
      <c r="A860" s="516" t="n"/>
      <c r="B860" s="516" t="n"/>
      <c r="C860" s="516" t="n"/>
      <c r="D860" s="516" t="n"/>
      <c r="E860" s="516" t="n"/>
      <c r="F860" s="516" t="n"/>
      <c r="G860" s="516" t="n"/>
      <c r="H860" s="516" t="n"/>
      <c r="I860" s="516" t="n"/>
      <c r="J860" s="516" t="n"/>
      <c r="K860" s="516" t="n"/>
    </row>
    <row r="861">
      <c r="A861" s="516" t="n"/>
      <c r="B861" s="516" t="n"/>
      <c r="C861" s="516" t="n"/>
      <c r="D861" s="516" t="n"/>
      <c r="E861" s="516" t="n"/>
      <c r="F861" s="516" t="n"/>
      <c r="G861" s="516" t="n"/>
      <c r="H861" s="516" t="n"/>
      <c r="I861" s="516" t="n"/>
      <c r="J861" s="516" t="n"/>
      <c r="K861" s="516" t="n"/>
    </row>
    <row r="862">
      <c r="A862" s="516" t="n"/>
      <c r="B862" s="516" t="n"/>
      <c r="C862" s="516" t="n"/>
      <c r="D862" s="516" t="n"/>
      <c r="E862" s="516" t="n"/>
      <c r="F862" s="516" t="n"/>
      <c r="G862" s="516" t="n"/>
      <c r="H862" s="516" t="n"/>
      <c r="I862" s="516" t="n"/>
      <c r="J862" s="516" t="n"/>
      <c r="K862" s="516" t="n"/>
    </row>
    <row r="863">
      <c r="A863" s="516" t="n"/>
      <c r="B863" s="516" t="n"/>
      <c r="C863" s="516" t="n"/>
      <c r="D863" s="516" t="n"/>
      <c r="E863" s="516" t="n"/>
      <c r="F863" s="516" t="n"/>
      <c r="G863" s="516" t="n"/>
      <c r="H863" s="516" t="n"/>
      <c r="I863" s="516" t="n"/>
      <c r="J863" s="516" t="n"/>
      <c r="K863" s="516" t="n"/>
    </row>
    <row r="864">
      <c r="A864" s="516" t="n"/>
      <c r="B864" s="516" t="n"/>
      <c r="C864" s="516" t="n"/>
      <c r="D864" s="516" t="n"/>
      <c r="E864" s="516" t="n"/>
      <c r="F864" s="516" t="n"/>
      <c r="G864" s="516" t="n"/>
      <c r="H864" s="516" t="n"/>
      <c r="I864" s="516" t="n"/>
      <c r="J864" s="516" t="n"/>
      <c r="K864" s="516" t="n"/>
    </row>
    <row r="865">
      <c r="A865" s="516" t="n"/>
      <c r="B865" s="516" t="n"/>
      <c r="C865" s="516" t="n"/>
      <c r="D865" s="516" t="n"/>
      <c r="E865" s="516" t="n"/>
      <c r="F865" s="516" t="n"/>
      <c r="G865" s="516" t="n"/>
      <c r="H865" s="516" t="n"/>
      <c r="I865" s="516" t="n"/>
      <c r="J865" s="516" t="n"/>
      <c r="K865" s="516" t="n"/>
    </row>
    <row r="866">
      <c r="A866" s="516" t="n"/>
      <c r="B866" s="516" t="n"/>
      <c r="C866" s="516" t="n"/>
      <c r="D866" s="516" t="n"/>
      <c r="E866" s="516" t="n"/>
      <c r="F866" s="516" t="n"/>
      <c r="G866" s="516" t="n"/>
      <c r="H866" s="516" t="n"/>
      <c r="I866" s="516" t="n"/>
      <c r="J866" s="516" t="n"/>
      <c r="K866" s="516" t="n"/>
    </row>
    <row r="867">
      <c r="A867" s="516" t="n"/>
      <c r="B867" s="516" t="n"/>
      <c r="C867" s="516" t="n"/>
      <c r="D867" s="516" t="n"/>
      <c r="E867" s="516" t="n"/>
      <c r="F867" s="516" t="n"/>
      <c r="G867" s="516" t="n"/>
      <c r="H867" s="516" t="n"/>
      <c r="I867" s="516" t="n"/>
      <c r="J867" s="516" t="n"/>
      <c r="K867" s="516" t="n"/>
    </row>
    <row r="868">
      <c r="A868" s="516" t="n"/>
      <c r="B868" s="516" t="n"/>
      <c r="C868" s="516" t="n"/>
      <c r="D868" s="516" t="n"/>
      <c r="E868" s="516" t="n"/>
      <c r="F868" s="516" t="n"/>
      <c r="G868" s="516" t="n"/>
      <c r="H868" s="516" t="n"/>
      <c r="I868" s="516" t="n"/>
      <c r="J868" s="516" t="n"/>
      <c r="K868" s="516" t="n"/>
    </row>
    <row r="869">
      <c r="A869" s="516" t="n"/>
      <c r="B869" s="516" t="n"/>
      <c r="C869" s="516" t="n"/>
      <c r="D869" s="516" t="n"/>
      <c r="E869" s="516" t="n"/>
      <c r="F869" s="516" t="n"/>
      <c r="G869" s="516" t="n"/>
      <c r="H869" s="516" t="n"/>
      <c r="I869" s="516" t="n"/>
      <c r="J869" s="516" t="n"/>
      <c r="K869" s="516" t="n"/>
    </row>
    <row r="870">
      <c r="A870" s="516" t="n"/>
      <c r="B870" s="516" t="n"/>
      <c r="C870" s="516" t="n"/>
      <c r="D870" s="516" t="n"/>
      <c r="E870" s="516" t="n"/>
      <c r="F870" s="516" t="n"/>
      <c r="G870" s="516" t="n"/>
      <c r="H870" s="516" t="n"/>
      <c r="I870" s="516" t="n"/>
      <c r="J870" s="516" t="n"/>
      <c r="K870" s="516" t="n"/>
    </row>
    <row r="871">
      <c r="A871" s="516" t="n"/>
      <c r="B871" s="516" t="n"/>
      <c r="C871" s="516" t="n"/>
      <c r="D871" s="516" t="n"/>
      <c r="E871" s="516" t="n"/>
      <c r="F871" s="516" t="n"/>
      <c r="G871" s="516" t="n"/>
      <c r="H871" s="516" t="n"/>
      <c r="I871" s="516" t="n"/>
      <c r="J871" s="516" t="n"/>
      <c r="K871" s="516" t="n"/>
    </row>
    <row r="872">
      <c r="A872" s="516" t="n"/>
      <c r="B872" s="516" t="n"/>
      <c r="C872" s="516" t="n"/>
      <c r="D872" s="516" t="n"/>
      <c r="E872" s="516" t="n"/>
      <c r="F872" s="516" t="n"/>
      <c r="G872" s="516" t="n"/>
      <c r="H872" s="516" t="n"/>
      <c r="I872" s="516" t="n"/>
      <c r="J872" s="516" t="n"/>
      <c r="K872" s="516" t="n"/>
    </row>
    <row r="873">
      <c r="A873" s="516" t="n"/>
      <c r="B873" s="516" t="n"/>
      <c r="C873" s="516" t="n"/>
      <c r="D873" s="516" t="n"/>
      <c r="E873" s="516" t="n"/>
      <c r="F873" s="516" t="n"/>
      <c r="G873" s="516" t="n"/>
      <c r="H873" s="516" t="n"/>
      <c r="I873" s="516" t="n"/>
      <c r="J873" s="516" t="n"/>
      <c r="K873" s="516" t="n"/>
    </row>
    <row r="874">
      <c r="A874" s="516" t="n"/>
      <c r="B874" s="516" t="n"/>
      <c r="C874" s="516" t="n"/>
      <c r="D874" s="516" t="n"/>
      <c r="E874" s="516" t="n"/>
      <c r="F874" s="516" t="n"/>
      <c r="G874" s="516" t="n"/>
      <c r="H874" s="516" t="n"/>
      <c r="I874" s="516" t="n"/>
      <c r="J874" s="516" t="n"/>
      <c r="K874" s="516" t="n"/>
    </row>
    <row r="875">
      <c r="A875" s="516" t="n"/>
      <c r="B875" s="516" t="n"/>
      <c r="C875" s="516" t="n"/>
      <c r="D875" s="516" t="n"/>
      <c r="E875" s="516" t="n"/>
      <c r="F875" s="516" t="n"/>
      <c r="G875" s="516" t="n"/>
      <c r="H875" s="516" t="n"/>
      <c r="I875" s="516" t="n"/>
      <c r="J875" s="516" t="n"/>
      <c r="K875" s="516" t="n"/>
    </row>
    <row r="876">
      <c r="A876" s="516" t="n"/>
      <c r="B876" s="516" t="n"/>
      <c r="C876" s="516" t="n"/>
      <c r="D876" s="516" t="n"/>
      <c r="E876" s="516" t="n"/>
      <c r="F876" s="516" t="n"/>
      <c r="G876" s="516" t="n"/>
      <c r="H876" s="516" t="n"/>
      <c r="I876" s="516" t="n"/>
      <c r="J876" s="516" t="n"/>
      <c r="K876" s="516" t="n"/>
    </row>
    <row r="877">
      <c r="A877" s="516" t="n"/>
      <c r="B877" s="516" t="n"/>
      <c r="C877" s="516" t="n"/>
      <c r="D877" s="516" t="n"/>
      <c r="E877" s="516" t="n"/>
      <c r="F877" s="516" t="n"/>
      <c r="G877" s="516" t="n"/>
      <c r="H877" s="516" t="n"/>
      <c r="I877" s="516" t="n"/>
      <c r="J877" s="516" t="n"/>
      <c r="K877" s="516" t="n"/>
    </row>
    <row r="878">
      <c r="A878" s="516" t="n"/>
      <c r="B878" s="516" t="n"/>
      <c r="C878" s="516" t="n"/>
      <c r="D878" s="516" t="n"/>
      <c r="E878" s="516" t="n"/>
      <c r="F878" s="516" t="n"/>
      <c r="G878" s="516" t="n"/>
      <c r="H878" s="516" t="n"/>
      <c r="I878" s="516" t="n"/>
      <c r="J878" s="516" t="n"/>
      <c r="K878" s="516" t="n"/>
    </row>
    <row r="879">
      <c r="A879" s="516" t="n"/>
      <c r="B879" s="516" t="n"/>
      <c r="C879" s="516" t="n"/>
      <c r="D879" s="516" t="n"/>
      <c r="E879" s="516" t="n"/>
      <c r="F879" s="516" t="n"/>
      <c r="G879" s="516" t="n"/>
      <c r="H879" s="516" t="n"/>
      <c r="I879" s="516" t="n"/>
      <c r="J879" s="516" t="n"/>
      <c r="K879" s="516" t="n"/>
    </row>
    <row r="880">
      <c r="A880" s="516" t="n"/>
      <c r="B880" s="516" t="n"/>
      <c r="C880" s="516" t="n"/>
      <c r="D880" s="516" t="n"/>
      <c r="E880" s="516" t="n"/>
      <c r="F880" s="516" t="n"/>
      <c r="G880" s="516" t="n"/>
      <c r="H880" s="516" t="n"/>
      <c r="I880" s="516" t="n"/>
      <c r="J880" s="516" t="n"/>
      <c r="K880" s="516" t="n"/>
    </row>
    <row r="881">
      <c r="A881" s="516" t="n"/>
      <c r="B881" s="516" t="n"/>
      <c r="C881" s="516" t="n"/>
      <c r="D881" s="516" t="n"/>
      <c r="E881" s="516" t="n"/>
      <c r="F881" s="516" t="n"/>
      <c r="G881" s="516" t="n"/>
      <c r="H881" s="516" t="n"/>
      <c r="I881" s="516" t="n"/>
      <c r="J881" s="516" t="n"/>
      <c r="K881" s="516" t="n"/>
    </row>
    <row r="882">
      <c r="A882" s="516" t="n"/>
      <c r="B882" s="516" t="n"/>
      <c r="C882" s="516" t="n"/>
      <c r="D882" s="516" t="n"/>
      <c r="E882" s="516" t="n"/>
      <c r="F882" s="516" t="n"/>
      <c r="G882" s="516" t="n"/>
      <c r="H882" s="516" t="n"/>
      <c r="I882" s="516" t="n"/>
      <c r="J882" s="516" t="n"/>
      <c r="K882" s="516" t="n"/>
    </row>
    <row r="883">
      <c r="A883" s="516" t="n"/>
      <c r="B883" s="516" t="n"/>
      <c r="C883" s="516" t="n"/>
      <c r="D883" s="516" t="n"/>
      <c r="E883" s="516" t="n"/>
      <c r="F883" s="516" t="n"/>
      <c r="G883" s="516" t="n"/>
      <c r="H883" s="516" t="n"/>
      <c r="I883" s="516" t="n"/>
      <c r="J883" s="516" t="n"/>
      <c r="K883" s="516" t="n"/>
    </row>
    <row r="884">
      <c r="A884" s="516" t="n"/>
      <c r="B884" s="516" t="n"/>
      <c r="C884" s="516" t="n"/>
      <c r="D884" s="516" t="n"/>
      <c r="E884" s="516" t="n"/>
      <c r="F884" s="516" t="n"/>
      <c r="G884" s="516" t="n"/>
      <c r="H884" s="516" t="n"/>
      <c r="I884" s="516" t="n"/>
      <c r="J884" s="516" t="n"/>
      <c r="K884" s="516" t="n"/>
    </row>
    <row r="885">
      <c r="A885" s="516" t="n"/>
      <c r="B885" s="516" t="n"/>
      <c r="C885" s="516" t="n"/>
      <c r="D885" s="516" t="n"/>
      <c r="E885" s="516" t="n"/>
      <c r="F885" s="516" t="n"/>
      <c r="G885" s="516" t="n"/>
      <c r="H885" s="516" t="n"/>
      <c r="I885" s="516" t="n"/>
      <c r="J885" s="516" t="n"/>
      <c r="K885" s="516" t="n"/>
    </row>
    <row r="886">
      <c r="A886" s="516" t="n"/>
      <c r="B886" s="516" t="n"/>
      <c r="C886" s="516" t="n"/>
      <c r="D886" s="516" t="n"/>
      <c r="E886" s="516" t="n"/>
      <c r="F886" s="516" t="n"/>
      <c r="G886" s="516" t="n"/>
      <c r="H886" s="516" t="n"/>
      <c r="I886" s="516" t="n"/>
      <c r="J886" s="516" t="n"/>
      <c r="K886" s="516" t="n"/>
    </row>
    <row r="887">
      <c r="A887" s="516" t="n"/>
      <c r="B887" s="516" t="n"/>
      <c r="C887" s="516" t="n"/>
      <c r="D887" s="516" t="n"/>
      <c r="E887" s="516" t="n"/>
      <c r="F887" s="516" t="n"/>
      <c r="G887" s="516" t="n"/>
      <c r="H887" s="516" t="n"/>
      <c r="I887" s="516" t="n"/>
      <c r="J887" s="516" t="n"/>
      <c r="K887" s="516" t="n"/>
    </row>
    <row r="888">
      <c r="A888" s="516" t="n"/>
      <c r="B888" s="516" t="n"/>
      <c r="C888" s="516" t="n"/>
      <c r="D888" s="516" t="n"/>
      <c r="E888" s="516" t="n"/>
      <c r="F888" s="516" t="n"/>
      <c r="G888" s="516" t="n"/>
      <c r="H888" s="516" t="n"/>
      <c r="I888" s="516" t="n"/>
      <c r="J888" s="516" t="n"/>
      <c r="K888" s="516" t="n"/>
    </row>
    <row r="889">
      <c r="A889" s="516" t="n"/>
      <c r="B889" s="516" t="n"/>
      <c r="C889" s="516" t="n"/>
      <c r="D889" s="516" t="n"/>
      <c r="E889" s="516" t="n"/>
      <c r="F889" s="516" t="n"/>
      <c r="G889" s="516" t="n"/>
      <c r="H889" s="516" t="n"/>
      <c r="I889" s="516" t="n"/>
      <c r="J889" s="516" t="n"/>
      <c r="K889" s="516" t="n"/>
    </row>
    <row r="890">
      <c r="A890" s="516" t="n"/>
      <c r="B890" s="516" t="n"/>
      <c r="C890" s="516" t="n"/>
      <c r="D890" s="516" t="n"/>
      <c r="E890" s="516" t="n"/>
      <c r="F890" s="516" t="n"/>
      <c r="G890" s="516" t="n"/>
      <c r="H890" s="516" t="n"/>
      <c r="I890" s="516" t="n"/>
      <c r="J890" s="516" t="n"/>
      <c r="K890" s="516" t="n"/>
    </row>
    <row r="891">
      <c r="A891" s="516" t="n"/>
      <c r="B891" s="516" t="n"/>
      <c r="C891" s="516" t="n"/>
      <c r="D891" s="516" t="n"/>
      <c r="E891" s="516" t="n"/>
      <c r="F891" s="516" t="n"/>
      <c r="G891" s="516" t="n"/>
      <c r="H891" s="516" t="n"/>
      <c r="I891" s="516" t="n"/>
      <c r="J891" s="516" t="n"/>
      <c r="K891" s="516" t="n"/>
    </row>
    <row r="892">
      <c r="A892" s="516" t="n"/>
      <c r="B892" s="516" t="n"/>
      <c r="C892" s="516" t="n"/>
      <c r="D892" s="516" t="n"/>
      <c r="E892" s="516" t="n"/>
      <c r="F892" s="516" t="n"/>
      <c r="G892" s="516" t="n"/>
      <c r="H892" s="516" t="n"/>
      <c r="I892" s="516" t="n"/>
      <c r="J892" s="516" t="n"/>
      <c r="K892" s="516" t="n"/>
    </row>
    <row r="893">
      <c r="A893" s="516" t="n"/>
      <c r="B893" s="516" t="n"/>
      <c r="C893" s="516" t="n"/>
      <c r="D893" s="516" t="n"/>
      <c r="E893" s="516" t="n"/>
      <c r="F893" s="516" t="n"/>
      <c r="G893" s="516" t="n"/>
      <c r="H893" s="516" t="n"/>
      <c r="I893" s="516" t="n"/>
      <c r="J893" s="516" t="n"/>
      <c r="K893" s="516" t="n"/>
    </row>
    <row r="894">
      <c r="A894" s="516" t="n"/>
      <c r="B894" s="516" t="n"/>
      <c r="C894" s="516" t="n"/>
      <c r="D894" s="516" t="n"/>
      <c r="E894" s="516" t="n"/>
      <c r="F894" s="516" t="n"/>
      <c r="G894" s="516" t="n"/>
      <c r="H894" s="516" t="n"/>
      <c r="I894" s="516" t="n"/>
      <c r="J894" s="516" t="n"/>
      <c r="K894" s="516" t="n"/>
    </row>
    <row r="895">
      <c r="A895" s="516" t="n"/>
      <c r="B895" s="516" t="n"/>
      <c r="C895" s="516" t="n"/>
      <c r="D895" s="516" t="n"/>
      <c r="E895" s="516" t="n"/>
      <c r="F895" s="516" t="n"/>
      <c r="G895" s="516" t="n"/>
      <c r="H895" s="516" t="n"/>
      <c r="I895" s="516" t="n"/>
      <c r="J895" s="516" t="n"/>
      <c r="K895" s="516" t="n"/>
    </row>
    <row r="896">
      <c r="A896" s="516" t="n"/>
      <c r="B896" s="516" t="n"/>
      <c r="C896" s="516" t="n"/>
      <c r="D896" s="516" t="n"/>
      <c r="E896" s="516" t="n"/>
      <c r="F896" s="516" t="n"/>
      <c r="G896" s="516" t="n"/>
      <c r="H896" s="516" t="n"/>
      <c r="I896" s="516" t="n"/>
      <c r="J896" s="516" t="n"/>
      <c r="K896" s="516" t="n"/>
    </row>
    <row r="897">
      <c r="A897" s="516" t="n"/>
      <c r="B897" s="516" t="n"/>
      <c r="C897" s="516" t="n"/>
      <c r="D897" s="516" t="n"/>
      <c r="E897" s="516" t="n"/>
      <c r="F897" s="516" t="n"/>
      <c r="G897" s="516" t="n"/>
      <c r="H897" s="516" t="n"/>
      <c r="I897" s="516" t="n"/>
      <c r="J897" s="516" t="n"/>
      <c r="K897" s="516" t="n"/>
    </row>
    <row r="898">
      <c r="A898" s="516" t="n"/>
      <c r="B898" s="516" t="n"/>
      <c r="C898" s="516" t="n"/>
      <c r="D898" s="516" t="n"/>
      <c r="E898" s="516" t="n"/>
      <c r="F898" s="516" t="n"/>
      <c r="G898" s="516" t="n"/>
      <c r="H898" s="516" t="n"/>
      <c r="I898" s="516" t="n"/>
      <c r="J898" s="516" t="n"/>
      <c r="K898" s="516" t="n"/>
    </row>
    <row r="899">
      <c r="A899" s="516" t="n"/>
      <c r="B899" s="516" t="n"/>
      <c r="C899" s="516" t="n"/>
      <c r="D899" s="516" t="n"/>
      <c r="E899" s="516" t="n"/>
      <c r="F899" s="516" t="n"/>
      <c r="G899" s="516" t="n"/>
      <c r="H899" s="516" t="n"/>
      <c r="I899" s="516" t="n"/>
      <c r="J899" s="516" t="n"/>
      <c r="K899" s="516" t="n"/>
    </row>
    <row r="900">
      <c r="A900" s="516" t="n"/>
      <c r="B900" s="516" t="n"/>
      <c r="C900" s="516" t="n"/>
      <c r="D900" s="516" t="n"/>
      <c r="E900" s="516" t="n"/>
      <c r="F900" s="516" t="n"/>
      <c r="G900" s="516" t="n"/>
      <c r="H900" s="516" t="n"/>
      <c r="I900" s="516" t="n"/>
      <c r="J900" s="516" t="n"/>
      <c r="K900" s="516" t="n"/>
    </row>
    <row r="901">
      <c r="A901" s="516" t="n"/>
      <c r="B901" s="516" t="n"/>
      <c r="C901" s="516" t="n"/>
      <c r="D901" s="516" t="n"/>
      <c r="E901" s="516" t="n"/>
      <c r="F901" s="516" t="n"/>
      <c r="G901" s="516" t="n"/>
      <c r="H901" s="516" t="n"/>
      <c r="I901" s="516" t="n"/>
      <c r="J901" s="516" t="n"/>
      <c r="K901" s="516" t="n"/>
    </row>
    <row r="902">
      <c r="A902" s="516" t="n"/>
      <c r="B902" s="516" t="n"/>
      <c r="C902" s="516" t="n"/>
      <c r="D902" s="516" t="n"/>
      <c r="E902" s="516" t="n"/>
      <c r="F902" s="516" t="n"/>
      <c r="G902" s="516" t="n"/>
      <c r="H902" s="516" t="n"/>
      <c r="I902" s="516" t="n"/>
      <c r="J902" s="516" t="n"/>
      <c r="K902" s="516" t="n"/>
    </row>
    <row r="903">
      <c r="A903" s="516" t="n"/>
      <c r="B903" s="516" t="n"/>
      <c r="C903" s="516" t="n"/>
      <c r="D903" s="516" t="n"/>
      <c r="E903" s="516" t="n"/>
      <c r="F903" s="516" t="n"/>
      <c r="G903" s="516" t="n"/>
      <c r="H903" s="516" t="n"/>
      <c r="I903" s="516" t="n"/>
      <c r="J903" s="516" t="n"/>
      <c r="K903" s="516" t="n"/>
    </row>
    <row r="904">
      <c r="A904" s="516" t="n"/>
      <c r="B904" s="516" t="n"/>
      <c r="C904" s="516" t="n"/>
      <c r="D904" s="516" t="n"/>
      <c r="E904" s="516" t="n"/>
      <c r="F904" s="516" t="n"/>
      <c r="G904" s="516" t="n"/>
      <c r="H904" s="516" t="n"/>
      <c r="I904" s="516" t="n"/>
      <c r="J904" s="516" t="n"/>
      <c r="K904" s="516" t="n"/>
    </row>
    <row r="905">
      <c r="A905" s="516" t="n"/>
      <c r="B905" s="516" t="n"/>
      <c r="C905" s="516" t="n"/>
      <c r="D905" s="516" t="n"/>
      <c r="E905" s="516" t="n"/>
      <c r="F905" s="516" t="n"/>
      <c r="G905" s="516" t="n"/>
      <c r="H905" s="516" t="n"/>
      <c r="I905" s="516" t="n"/>
      <c r="J905" s="516" t="n"/>
      <c r="K905" s="516" t="n"/>
    </row>
    <row r="906">
      <c r="A906" s="516" t="n"/>
      <c r="B906" s="516" t="n"/>
      <c r="C906" s="516" t="n"/>
      <c r="D906" s="516" t="n"/>
      <c r="E906" s="516" t="n"/>
      <c r="F906" s="516" t="n"/>
      <c r="G906" s="516" t="n"/>
      <c r="H906" s="516" t="n"/>
      <c r="I906" s="516" t="n"/>
      <c r="J906" s="516" t="n"/>
      <c r="K906" s="516" t="n"/>
    </row>
    <row r="907">
      <c r="A907" s="516" t="n"/>
      <c r="B907" s="516" t="n"/>
      <c r="C907" s="516" t="n"/>
      <c r="D907" s="516" t="n"/>
      <c r="E907" s="516" t="n"/>
      <c r="F907" s="516" t="n"/>
      <c r="G907" s="516" t="n"/>
      <c r="H907" s="516" t="n"/>
      <c r="I907" s="516" t="n"/>
      <c r="J907" s="516" t="n"/>
      <c r="K907" s="516" t="n"/>
    </row>
    <row r="908">
      <c r="A908" s="516" t="n"/>
      <c r="B908" s="516" t="n"/>
      <c r="C908" s="516" t="n"/>
      <c r="D908" s="516" t="n"/>
      <c r="E908" s="516" t="n"/>
      <c r="F908" s="516" t="n"/>
      <c r="G908" s="516" t="n"/>
      <c r="H908" s="516" t="n"/>
      <c r="I908" s="516" t="n"/>
      <c r="J908" s="516" t="n"/>
      <c r="K908" s="516" t="n"/>
    </row>
    <row r="909">
      <c r="A909" s="516" t="n"/>
      <c r="B909" s="516" t="n"/>
      <c r="C909" s="516" t="n"/>
      <c r="D909" s="516" t="n"/>
      <c r="E909" s="516" t="n"/>
      <c r="F909" s="516" t="n"/>
      <c r="G909" s="516" t="n"/>
      <c r="H909" s="516" t="n"/>
      <c r="I909" s="516" t="n"/>
      <c r="J909" s="516" t="n"/>
      <c r="K909" s="516" t="n"/>
    </row>
    <row r="910">
      <c r="A910" s="516" t="n"/>
      <c r="B910" s="516" t="n"/>
      <c r="C910" s="516" t="n"/>
      <c r="D910" s="516" t="n"/>
      <c r="E910" s="516" t="n"/>
      <c r="F910" s="516" t="n"/>
      <c r="G910" s="516" t="n"/>
      <c r="H910" s="516" t="n"/>
      <c r="I910" s="516" t="n"/>
      <c r="J910" s="516" t="n"/>
      <c r="K910" s="516" t="n"/>
    </row>
    <row r="911">
      <c r="A911" s="516" t="n"/>
      <c r="B911" s="516" t="n"/>
      <c r="C911" s="516" t="n"/>
      <c r="D911" s="516" t="n"/>
      <c r="E911" s="516" t="n"/>
      <c r="F911" s="516" t="n"/>
      <c r="G911" s="516" t="n"/>
      <c r="H911" s="516" t="n"/>
      <c r="I911" s="516" t="n"/>
      <c r="J911" s="516" t="n"/>
      <c r="K911" s="516" t="n"/>
    </row>
    <row r="912">
      <c r="A912" s="516" t="n"/>
      <c r="B912" s="516" t="n"/>
      <c r="C912" s="516" t="n"/>
      <c r="D912" s="516" t="n"/>
      <c r="E912" s="516" t="n"/>
      <c r="F912" s="516" t="n"/>
      <c r="G912" s="516" t="n"/>
      <c r="H912" s="516" t="n"/>
      <c r="I912" s="516" t="n"/>
      <c r="J912" s="516" t="n"/>
      <c r="K912" s="516" t="n"/>
    </row>
    <row r="913">
      <c r="A913" s="516" t="n"/>
      <c r="B913" s="516" t="n"/>
      <c r="C913" s="516" t="n"/>
      <c r="D913" s="516" t="n"/>
      <c r="E913" s="516" t="n"/>
      <c r="F913" s="516" t="n"/>
      <c r="G913" s="516" t="n"/>
      <c r="H913" s="516" t="n"/>
      <c r="I913" s="516" t="n"/>
      <c r="J913" s="516" t="n"/>
      <c r="K913" s="516" t="n"/>
    </row>
    <row r="914">
      <c r="A914" s="516" t="n"/>
      <c r="B914" s="516" t="n"/>
      <c r="C914" s="516" t="n"/>
      <c r="D914" s="516" t="n"/>
      <c r="E914" s="516" t="n"/>
      <c r="F914" s="516" t="n"/>
      <c r="G914" s="516" t="n"/>
      <c r="H914" s="516" t="n"/>
      <c r="I914" s="516" t="n"/>
      <c r="J914" s="516" t="n"/>
      <c r="K914" s="516" t="n"/>
    </row>
    <row r="915">
      <c r="A915" s="516" t="n"/>
      <c r="B915" s="516" t="n"/>
      <c r="C915" s="516" t="n"/>
      <c r="D915" s="516" t="n"/>
      <c r="E915" s="516" t="n"/>
      <c r="F915" s="516" t="n"/>
      <c r="G915" s="516" t="n"/>
      <c r="H915" s="516" t="n"/>
      <c r="I915" s="516" t="n"/>
      <c r="J915" s="516" t="n"/>
      <c r="K915" s="516" t="n"/>
    </row>
    <row r="916">
      <c r="A916" s="516" t="n"/>
      <c r="B916" s="516" t="n"/>
      <c r="C916" s="516" t="n"/>
      <c r="D916" s="516" t="n"/>
      <c r="E916" s="516" t="n"/>
      <c r="F916" s="516" t="n"/>
      <c r="G916" s="516" t="n"/>
      <c r="H916" s="516" t="n"/>
      <c r="I916" s="516" t="n"/>
      <c r="J916" s="516" t="n"/>
      <c r="K916" s="516" t="n"/>
    </row>
    <row r="917">
      <c r="A917" s="516" t="n"/>
      <c r="B917" s="516" t="n"/>
      <c r="C917" s="516" t="n"/>
      <c r="D917" s="516" t="n"/>
      <c r="E917" s="516" t="n"/>
      <c r="F917" s="516" t="n"/>
      <c r="G917" s="516" t="n"/>
      <c r="H917" s="516" t="n"/>
      <c r="I917" s="516" t="n"/>
      <c r="J917" s="516" t="n"/>
      <c r="K917" s="516" t="n"/>
    </row>
    <row r="918">
      <c r="A918" s="516" t="n"/>
      <c r="B918" s="516" t="n"/>
      <c r="C918" s="516" t="n"/>
      <c r="D918" s="516" t="n"/>
      <c r="E918" s="516" t="n"/>
      <c r="F918" s="516" t="n"/>
      <c r="G918" s="516" t="n"/>
      <c r="H918" s="516" t="n"/>
      <c r="I918" s="516" t="n"/>
      <c r="J918" s="516" t="n"/>
      <c r="K918" s="516" t="n"/>
    </row>
    <row r="919">
      <c r="A919" s="516" t="n"/>
      <c r="B919" s="516" t="n"/>
      <c r="C919" s="516" t="n"/>
      <c r="D919" s="516" t="n"/>
      <c r="E919" s="516" t="n"/>
      <c r="F919" s="516" t="n"/>
      <c r="G919" s="516" t="n"/>
      <c r="H919" s="516" t="n"/>
      <c r="I919" s="516" t="n"/>
      <c r="J919" s="516" t="n"/>
      <c r="K919" s="516" t="n"/>
    </row>
    <row r="920">
      <c r="A920" s="516" t="n"/>
      <c r="B920" s="516" t="n"/>
      <c r="C920" s="516" t="n"/>
      <c r="D920" s="516" t="n"/>
      <c r="E920" s="516" t="n"/>
      <c r="F920" s="516" t="n"/>
      <c r="G920" s="516" t="n"/>
      <c r="H920" s="516" t="n"/>
      <c r="I920" s="516" t="n"/>
      <c r="J920" s="516" t="n"/>
      <c r="K920" s="516" t="n"/>
    </row>
    <row r="921">
      <c r="A921" s="516" t="n"/>
      <c r="B921" s="516" t="n"/>
      <c r="C921" s="516" t="n"/>
      <c r="D921" s="516" t="n"/>
      <c r="E921" s="516" t="n"/>
      <c r="F921" s="516" t="n"/>
      <c r="G921" s="516" t="n"/>
      <c r="H921" s="516" t="n"/>
      <c r="I921" s="516" t="n"/>
      <c r="J921" s="516" t="n"/>
      <c r="K921" s="516" t="n"/>
    </row>
    <row r="922">
      <c r="A922" s="516" t="n"/>
      <c r="B922" s="516" t="n"/>
      <c r="C922" s="516" t="n"/>
      <c r="D922" s="516" t="n"/>
      <c r="E922" s="516" t="n"/>
      <c r="F922" s="516" t="n"/>
      <c r="G922" s="516" t="n"/>
      <c r="H922" s="516" t="n"/>
      <c r="I922" s="516" t="n"/>
      <c r="J922" s="516" t="n"/>
      <c r="K922" s="516" t="n"/>
    </row>
    <row r="923">
      <c r="A923" s="516" t="n"/>
      <c r="B923" s="516" t="n"/>
      <c r="C923" s="516" t="n"/>
      <c r="D923" s="516" t="n"/>
      <c r="E923" s="516" t="n"/>
      <c r="F923" s="516" t="n"/>
      <c r="G923" s="516" t="n"/>
      <c r="H923" s="516" t="n"/>
      <c r="I923" s="516" t="n"/>
      <c r="J923" s="516" t="n"/>
      <c r="K923" s="516" t="n"/>
    </row>
    <row r="924">
      <c r="A924" s="516" t="n"/>
      <c r="B924" s="516" t="n"/>
      <c r="C924" s="516" t="n"/>
      <c r="D924" s="516" t="n"/>
      <c r="E924" s="516" t="n"/>
      <c r="F924" s="516" t="n"/>
      <c r="G924" s="516" t="n"/>
      <c r="H924" s="516" t="n"/>
      <c r="I924" s="516" t="n"/>
      <c r="J924" s="516" t="n"/>
      <c r="K924" s="516" t="n"/>
    </row>
    <row r="925">
      <c r="A925" s="516" t="n"/>
      <c r="B925" s="516" t="n"/>
      <c r="C925" s="516" t="n"/>
      <c r="D925" s="516" t="n"/>
      <c r="E925" s="516" t="n"/>
      <c r="F925" s="516" t="n"/>
      <c r="G925" s="516" t="n"/>
      <c r="H925" s="516" t="n"/>
      <c r="I925" s="516" t="n"/>
      <c r="J925" s="516" t="n"/>
      <c r="K925" s="516" t="n"/>
    </row>
    <row r="926">
      <c r="A926" s="516" t="n"/>
      <c r="B926" s="516" t="n"/>
      <c r="C926" s="516" t="n"/>
      <c r="D926" s="516" t="n"/>
      <c r="E926" s="516" t="n"/>
      <c r="F926" s="516" t="n"/>
      <c r="G926" s="516" t="n"/>
      <c r="H926" s="516" t="n"/>
      <c r="I926" s="516" t="n"/>
      <c r="J926" s="516" t="n"/>
      <c r="K926" s="516" t="n"/>
    </row>
    <row r="927">
      <c r="A927" s="516" t="n"/>
      <c r="B927" s="516" t="n"/>
      <c r="C927" s="516" t="n"/>
      <c r="D927" s="516" t="n"/>
      <c r="E927" s="516" t="n"/>
      <c r="F927" s="516" t="n"/>
      <c r="G927" s="516" t="n"/>
      <c r="H927" s="516" t="n"/>
      <c r="I927" s="516" t="n"/>
      <c r="J927" s="516" t="n"/>
      <c r="K927" s="516" t="n"/>
    </row>
    <row r="928">
      <c r="A928" s="516" t="n"/>
      <c r="B928" s="516" t="n"/>
      <c r="C928" s="516" t="n"/>
      <c r="D928" s="516" t="n"/>
      <c r="E928" s="516" t="n"/>
      <c r="F928" s="516" t="n"/>
      <c r="G928" s="516" t="n"/>
      <c r="H928" s="516" t="n"/>
      <c r="I928" s="516" t="n"/>
      <c r="J928" s="516" t="n"/>
      <c r="K928" s="516" t="n"/>
    </row>
    <row r="929">
      <c r="A929" s="516" t="n"/>
      <c r="B929" s="516" t="n"/>
      <c r="C929" s="516" t="n"/>
      <c r="D929" s="516" t="n"/>
      <c r="E929" s="516" t="n"/>
      <c r="F929" s="516" t="n"/>
      <c r="G929" s="516" t="n"/>
      <c r="H929" s="516" t="n"/>
      <c r="I929" s="516" t="n"/>
      <c r="J929" s="516" t="n"/>
      <c r="K929" s="516" t="n"/>
    </row>
    <row r="930">
      <c r="A930" s="516" t="n"/>
      <c r="B930" s="516" t="n"/>
      <c r="C930" s="516" t="n"/>
      <c r="D930" s="516" t="n"/>
      <c r="E930" s="516" t="n"/>
      <c r="F930" s="516" t="n"/>
      <c r="G930" s="516" t="n"/>
      <c r="H930" s="516" t="n"/>
      <c r="I930" s="516" t="n"/>
      <c r="J930" s="516" t="n"/>
      <c r="K930" s="516" t="n"/>
    </row>
    <row r="931">
      <c r="A931" s="516" t="n"/>
      <c r="B931" s="516" t="n"/>
      <c r="C931" s="516" t="n"/>
      <c r="D931" s="516" t="n"/>
      <c r="E931" s="516" t="n"/>
      <c r="F931" s="516" t="n"/>
      <c r="G931" s="516" t="n"/>
      <c r="H931" s="516" t="n"/>
      <c r="I931" s="516" t="n"/>
      <c r="J931" s="516" t="n"/>
      <c r="K931" s="516" t="n"/>
    </row>
    <row r="932">
      <c r="A932" s="516" t="n"/>
      <c r="B932" s="516" t="n"/>
      <c r="C932" s="516" t="n"/>
      <c r="D932" s="516" t="n"/>
      <c r="E932" s="516" t="n"/>
      <c r="F932" s="516" t="n"/>
      <c r="G932" s="516" t="n"/>
      <c r="H932" s="516" t="n"/>
      <c r="I932" s="516" t="n"/>
      <c r="J932" s="516" t="n"/>
      <c r="K932" s="516" t="n"/>
    </row>
    <row r="933">
      <c r="A933" s="516" t="n"/>
      <c r="B933" s="516" t="n"/>
      <c r="C933" s="516" t="n"/>
      <c r="D933" s="516" t="n"/>
      <c r="E933" s="516" t="n"/>
      <c r="F933" s="516" t="n"/>
      <c r="G933" s="516" t="n"/>
      <c r="H933" s="516" t="n"/>
      <c r="I933" s="516" t="n"/>
      <c r="J933" s="516" t="n"/>
      <c r="K933" s="516" t="n"/>
    </row>
    <row r="934">
      <c r="A934" s="516" t="n"/>
      <c r="B934" s="516" t="n"/>
      <c r="C934" s="516" t="n"/>
      <c r="D934" s="516" t="n"/>
      <c r="E934" s="516" t="n"/>
      <c r="F934" s="516" t="n"/>
      <c r="G934" s="516" t="n"/>
      <c r="H934" s="516" t="n"/>
      <c r="I934" s="516" t="n"/>
      <c r="J934" s="516" t="n"/>
      <c r="K934" s="516" t="n"/>
    </row>
    <row r="935">
      <c r="A935" s="516" t="n"/>
      <c r="B935" s="516" t="n"/>
      <c r="C935" s="516" t="n"/>
      <c r="D935" s="516" t="n"/>
      <c r="E935" s="516" t="n"/>
      <c r="F935" s="516" t="n"/>
      <c r="G935" s="516" t="n"/>
      <c r="H935" s="516" t="n"/>
      <c r="I935" s="516" t="n"/>
      <c r="J935" s="516" t="n"/>
      <c r="K935" s="516" t="n"/>
    </row>
    <row r="936">
      <c r="A936" s="516" t="n"/>
      <c r="B936" s="516" t="n"/>
      <c r="C936" s="516" t="n"/>
      <c r="D936" s="516" t="n"/>
      <c r="E936" s="516" t="n"/>
      <c r="F936" s="516" t="n"/>
      <c r="G936" s="516" t="n"/>
      <c r="H936" s="516" t="n"/>
      <c r="I936" s="516" t="n"/>
      <c r="J936" s="516" t="n"/>
      <c r="K936" s="516" t="n"/>
    </row>
    <row r="937">
      <c r="A937" s="516" t="n"/>
      <c r="B937" s="516" t="n"/>
      <c r="C937" s="516" t="n"/>
      <c r="D937" s="516" t="n"/>
      <c r="E937" s="516" t="n"/>
      <c r="F937" s="516" t="n"/>
      <c r="G937" s="516" t="n"/>
      <c r="H937" s="516" t="n"/>
      <c r="I937" s="516" t="n"/>
      <c r="J937" s="516" t="n"/>
      <c r="K937" s="516" t="n"/>
    </row>
    <row r="938">
      <c r="A938" s="516" t="n"/>
      <c r="B938" s="516" t="n"/>
      <c r="C938" s="516" t="n"/>
      <c r="D938" s="516" t="n"/>
      <c r="E938" s="516" t="n"/>
      <c r="F938" s="516" t="n"/>
      <c r="G938" s="516" t="n"/>
      <c r="H938" s="516" t="n"/>
      <c r="I938" s="516" t="n"/>
      <c r="J938" s="516" t="n"/>
      <c r="K938" s="516" t="n"/>
    </row>
    <row r="939">
      <c r="A939" s="516" t="n"/>
      <c r="B939" s="516" t="n"/>
      <c r="C939" s="516" t="n"/>
      <c r="D939" s="516" t="n"/>
      <c r="E939" s="516" t="n"/>
      <c r="F939" s="516" t="n"/>
      <c r="G939" s="516" t="n"/>
      <c r="H939" s="516" t="n"/>
      <c r="I939" s="516" t="n"/>
      <c r="J939" s="516" t="n"/>
      <c r="K939" s="516" t="n"/>
    </row>
    <row r="940">
      <c r="A940" s="516" t="n"/>
      <c r="B940" s="516" t="n"/>
      <c r="C940" s="516" t="n"/>
      <c r="D940" s="516" t="n"/>
      <c r="E940" s="516" t="n"/>
      <c r="F940" s="516" t="n"/>
      <c r="G940" s="516" t="n"/>
      <c r="H940" s="516" t="n"/>
      <c r="I940" s="516" t="n"/>
      <c r="J940" s="516" t="n"/>
      <c r="K940" s="516" t="n"/>
    </row>
    <row r="941">
      <c r="A941" s="516" t="n"/>
      <c r="B941" s="516" t="n"/>
      <c r="C941" s="516" t="n"/>
      <c r="D941" s="516" t="n"/>
      <c r="E941" s="516" t="n"/>
      <c r="F941" s="516" t="n"/>
      <c r="G941" s="516" t="n"/>
      <c r="H941" s="516" t="n"/>
      <c r="I941" s="516" t="n"/>
      <c r="J941" s="516" t="n"/>
      <c r="K941" s="516" t="n"/>
    </row>
    <row r="942">
      <c r="A942" s="516" t="n"/>
      <c r="B942" s="516" t="n"/>
      <c r="C942" s="516" t="n"/>
      <c r="D942" s="516" t="n"/>
      <c r="E942" s="516" t="n"/>
      <c r="F942" s="516" t="n"/>
      <c r="G942" s="516" t="n"/>
      <c r="H942" s="516" t="n"/>
      <c r="I942" s="516" t="n"/>
      <c r="J942" s="516" t="n"/>
      <c r="K942" s="516" t="n"/>
    </row>
    <row r="943">
      <c r="A943" s="516" t="n"/>
      <c r="B943" s="516" t="n"/>
      <c r="C943" s="516" t="n"/>
      <c r="D943" s="516" t="n"/>
      <c r="E943" s="516" t="n"/>
      <c r="F943" s="516" t="n"/>
      <c r="G943" s="516" t="n"/>
      <c r="H943" s="516" t="n"/>
      <c r="I943" s="516" t="n"/>
      <c r="J943" s="516" t="n"/>
      <c r="K943" s="516" t="n"/>
    </row>
    <row r="944">
      <c r="A944" s="516" t="n"/>
      <c r="B944" s="516" t="n"/>
      <c r="C944" s="516" t="n"/>
      <c r="D944" s="516" t="n"/>
      <c r="E944" s="516" t="n"/>
      <c r="F944" s="516" t="n"/>
      <c r="G944" s="516" t="n"/>
      <c r="H944" s="516" t="n"/>
      <c r="I944" s="516" t="n"/>
      <c r="J944" s="516" t="n"/>
      <c r="K944" s="516" t="n"/>
    </row>
    <row r="945">
      <c r="A945" s="516" t="n"/>
      <c r="B945" s="516" t="n"/>
      <c r="C945" s="516" t="n"/>
      <c r="D945" s="516" t="n"/>
      <c r="E945" s="516" t="n"/>
      <c r="F945" s="516" t="n"/>
      <c r="G945" s="516" t="n"/>
      <c r="H945" s="516" t="n"/>
      <c r="I945" s="516" t="n"/>
      <c r="J945" s="516" t="n"/>
      <c r="K945" s="516" t="n"/>
    </row>
    <row r="946">
      <c r="A946" s="516" t="n"/>
      <c r="B946" s="516" t="n"/>
      <c r="C946" s="516" t="n"/>
      <c r="D946" s="516" t="n"/>
      <c r="E946" s="516" t="n"/>
      <c r="F946" s="516" t="n"/>
      <c r="G946" s="516" t="n"/>
      <c r="H946" s="516" t="n"/>
      <c r="I946" s="516" t="n"/>
      <c r="J946" s="516" t="n"/>
      <c r="K946" s="516" t="n"/>
    </row>
    <row r="947">
      <c r="A947" s="516" t="n"/>
      <c r="B947" s="516" t="n"/>
      <c r="C947" s="516" t="n"/>
      <c r="D947" s="516" t="n"/>
      <c r="E947" s="516" t="n"/>
      <c r="F947" s="516" t="n"/>
      <c r="G947" s="516" t="n"/>
      <c r="H947" s="516" t="n"/>
      <c r="I947" s="516" t="n"/>
      <c r="J947" s="516" t="n"/>
      <c r="K947" s="516" t="n"/>
    </row>
    <row r="948">
      <c r="A948" s="516" t="n"/>
      <c r="B948" s="516" t="n"/>
      <c r="C948" s="516" t="n"/>
      <c r="D948" s="516" t="n"/>
      <c r="E948" s="516" t="n"/>
      <c r="F948" s="516" t="n"/>
      <c r="G948" s="516" t="n"/>
      <c r="H948" s="516" t="n"/>
      <c r="I948" s="516" t="n"/>
      <c r="J948" s="516" t="n"/>
      <c r="K948" s="516" t="n"/>
    </row>
    <row r="949">
      <c r="A949" s="516" t="n"/>
      <c r="B949" s="516" t="n"/>
      <c r="C949" s="516" t="n"/>
      <c r="D949" s="516" t="n"/>
      <c r="E949" s="516" t="n"/>
      <c r="F949" s="516" t="n"/>
      <c r="G949" s="516" t="n"/>
      <c r="H949" s="516" t="n"/>
      <c r="I949" s="516" t="n"/>
      <c r="J949" s="516" t="n"/>
      <c r="K949" s="516" t="n"/>
    </row>
    <row r="950">
      <c r="A950" s="516" t="n"/>
      <c r="B950" s="516" t="n"/>
      <c r="C950" s="516" t="n"/>
      <c r="D950" s="516" t="n"/>
      <c r="E950" s="516" t="n"/>
      <c r="F950" s="516" t="n"/>
      <c r="G950" s="516" t="n"/>
      <c r="H950" s="516" t="n"/>
      <c r="I950" s="516" t="n"/>
      <c r="J950" s="516" t="n"/>
      <c r="K950" s="516" t="n"/>
    </row>
    <row r="951">
      <c r="A951" s="516" t="n"/>
      <c r="B951" s="516" t="n"/>
      <c r="C951" s="516" t="n"/>
      <c r="D951" s="516" t="n"/>
      <c r="E951" s="516" t="n"/>
      <c r="F951" s="516" t="n"/>
      <c r="G951" s="516" t="n"/>
      <c r="H951" s="516" t="n"/>
      <c r="I951" s="516" t="n"/>
      <c r="J951" s="516" t="n"/>
      <c r="K951" s="516" t="n"/>
    </row>
    <row r="952">
      <c r="A952" s="516" t="n"/>
      <c r="B952" s="516" t="n"/>
      <c r="C952" s="516" t="n"/>
      <c r="D952" s="516" t="n"/>
      <c r="E952" s="516" t="n"/>
      <c r="F952" s="516" t="n"/>
      <c r="G952" s="516" t="n"/>
      <c r="H952" s="516" t="n"/>
      <c r="I952" s="516" t="n"/>
      <c r="J952" s="516" t="n"/>
      <c r="K952" s="516" t="n"/>
    </row>
    <row r="953">
      <c r="A953" s="516" t="n"/>
      <c r="B953" s="516" t="n"/>
      <c r="C953" s="516" t="n"/>
      <c r="D953" s="516" t="n"/>
      <c r="E953" s="516" t="n"/>
      <c r="F953" s="516" t="n"/>
      <c r="G953" s="516" t="n"/>
      <c r="H953" s="516" t="n"/>
      <c r="I953" s="516" t="n"/>
      <c r="J953" s="516" t="n"/>
      <c r="K953" s="516" t="n"/>
    </row>
    <row r="954">
      <c r="A954" s="516" t="n"/>
      <c r="B954" s="516" t="n"/>
      <c r="C954" s="516" t="n"/>
      <c r="D954" s="516" t="n"/>
      <c r="E954" s="516" t="n"/>
      <c r="F954" s="516" t="n"/>
      <c r="G954" s="516" t="n"/>
      <c r="H954" s="516" t="n"/>
      <c r="I954" s="516" t="n"/>
      <c r="J954" s="516" t="n"/>
      <c r="K954" s="516" t="n"/>
    </row>
    <row r="955">
      <c r="A955" s="516" t="n"/>
      <c r="B955" s="516" t="n"/>
      <c r="C955" s="516" t="n"/>
      <c r="D955" s="516" t="n"/>
      <c r="E955" s="516" t="n"/>
      <c r="F955" s="516" t="n"/>
      <c r="G955" s="516" t="n"/>
      <c r="H955" s="516" t="n"/>
      <c r="I955" s="516" t="n"/>
      <c r="J955" s="516" t="n"/>
      <c r="K955" s="516" t="n"/>
    </row>
    <row r="956">
      <c r="A956" s="516" t="n"/>
      <c r="B956" s="516" t="n"/>
      <c r="C956" s="516" t="n"/>
      <c r="D956" s="516" t="n"/>
      <c r="E956" s="516" t="n"/>
      <c r="F956" s="516" t="n"/>
      <c r="G956" s="516" t="n"/>
      <c r="H956" s="516" t="n"/>
      <c r="I956" s="516" t="n"/>
      <c r="J956" s="516" t="n"/>
      <c r="K956" s="516" t="n"/>
    </row>
    <row r="957">
      <c r="A957" s="516" t="n"/>
      <c r="B957" s="516" t="n"/>
      <c r="C957" s="516" t="n"/>
      <c r="D957" s="516" t="n"/>
      <c r="E957" s="516" t="n"/>
      <c r="F957" s="516" t="n"/>
      <c r="G957" s="516" t="n"/>
      <c r="H957" s="516" t="n"/>
      <c r="I957" s="516" t="n"/>
      <c r="J957" s="516" t="n"/>
      <c r="K957" s="516" t="n"/>
    </row>
    <row r="958">
      <c r="A958" s="516" t="n"/>
      <c r="B958" s="516" t="n"/>
      <c r="C958" s="516" t="n"/>
      <c r="D958" s="516" t="n"/>
      <c r="E958" s="516" t="n"/>
      <c r="F958" s="516" t="n"/>
      <c r="G958" s="516" t="n"/>
      <c r="H958" s="516" t="n"/>
      <c r="I958" s="516" t="n"/>
      <c r="J958" s="516" t="n"/>
      <c r="K958" s="516" t="n"/>
    </row>
    <row r="959">
      <c r="A959" s="516" t="n"/>
      <c r="B959" s="516" t="n"/>
      <c r="C959" s="516" t="n"/>
      <c r="D959" s="516" t="n"/>
      <c r="E959" s="516" t="n"/>
      <c r="F959" s="516" t="n"/>
      <c r="G959" s="516" t="n"/>
      <c r="H959" s="516" t="n"/>
      <c r="I959" s="516" t="n"/>
      <c r="J959" s="516" t="n"/>
      <c r="K959" s="516" t="n"/>
    </row>
    <row r="960">
      <c r="A960" s="516" t="n"/>
      <c r="B960" s="516" t="n"/>
      <c r="C960" s="516" t="n"/>
      <c r="D960" s="516" t="n"/>
      <c r="E960" s="516" t="n"/>
      <c r="F960" s="516" t="n"/>
      <c r="G960" s="516" t="n"/>
      <c r="H960" s="516" t="n"/>
      <c r="I960" s="516" t="n"/>
      <c r="J960" s="516" t="n"/>
      <c r="K960" s="516" t="n"/>
    </row>
    <row r="961">
      <c r="A961" s="516" t="n"/>
      <c r="B961" s="516" t="n"/>
      <c r="C961" s="516" t="n"/>
      <c r="D961" s="516" t="n"/>
      <c r="E961" s="516" t="n"/>
      <c r="F961" s="516" t="n"/>
      <c r="G961" s="516" t="n"/>
      <c r="H961" s="516" t="n"/>
      <c r="I961" s="516" t="n"/>
      <c r="J961" s="516" t="n"/>
      <c r="K961" s="516" t="n"/>
    </row>
    <row r="962">
      <c r="A962" s="516" t="n"/>
      <c r="B962" s="516" t="n"/>
      <c r="C962" s="516" t="n"/>
      <c r="D962" s="516" t="n"/>
      <c r="E962" s="516" t="n"/>
      <c r="F962" s="516" t="n"/>
      <c r="G962" s="516" t="n"/>
      <c r="H962" s="516" t="n"/>
      <c r="I962" s="516" t="n"/>
      <c r="J962" s="516" t="n"/>
      <c r="K962" s="516" t="n"/>
    </row>
    <row r="963">
      <c r="A963" s="516" t="n"/>
      <c r="B963" s="516" t="n"/>
      <c r="C963" s="516" t="n"/>
      <c r="D963" s="516" t="n"/>
      <c r="E963" s="516" t="n"/>
      <c r="F963" s="516" t="n"/>
      <c r="G963" s="516" t="n"/>
      <c r="H963" s="516" t="n"/>
      <c r="I963" s="516" t="n"/>
      <c r="J963" s="516" t="n"/>
      <c r="K963" s="516" t="n"/>
    </row>
    <row r="964">
      <c r="A964" s="516" t="n"/>
      <c r="B964" s="516" t="n"/>
      <c r="C964" s="516" t="n"/>
      <c r="D964" s="516" t="n"/>
      <c r="E964" s="516" t="n"/>
      <c r="F964" s="516" t="n"/>
      <c r="G964" s="516" t="n"/>
      <c r="H964" s="516" t="n"/>
      <c r="I964" s="516" t="n"/>
      <c r="J964" s="516" t="n"/>
      <c r="K964" s="516" t="n"/>
    </row>
    <row r="965">
      <c r="A965" s="516" t="n"/>
      <c r="B965" s="516" t="n"/>
      <c r="C965" s="516" t="n"/>
      <c r="D965" s="516" t="n"/>
      <c r="E965" s="516" t="n"/>
      <c r="F965" s="516" t="n"/>
      <c r="G965" s="516" t="n"/>
      <c r="H965" s="516" t="n"/>
      <c r="I965" s="516" t="n"/>
      <c r="J965" s="516" t="n"/>
      <c r="K965" s="516" t="n"/>
    </row>
    <row r="966">
      <c r="A966" s="516" t="n"/>
      <c r="B966" s="516" t="n"/>
      <c r="C966" s="516" t="n"/>
      <c r="D966" s="516" t="n"/>
      <c r="E966" s="516" t="n"/>
      <c r="F966" s="516" t="n"/>
      <c r="G966" s="516" t="n"/>
      <c r="H966" s="516" t="n"/>
      <c r="I966" s="516" t="n"/>
      <c r="J966" s="516" t="n"/>
      <c r="K966" s="516" t="n"/>
    </row>
    <row r="967">
      <c r="A967" s="516" t="n"/>
      <c r="B967" s="516" t="n"/>
      <c r="C967" s="516" t="n"/>
      <c r="D967" s="516" t="n"/>
      <c r="E967" s="516" t="n"/>
      <c r="F967" s="516" t="n"/>
      <c r="G967" s="516" t="n"/>
      <c r="H967" s="516" t="n"/>
      <c r="I967" s="516" t="n"/>
      <c r="J967" s="516" t="n"/>
      <c r="K967" s="516" t="n"/>
    </row>
    <row r="968">
      <c r="A968" s="516" t="n"/>
      <c r="B968" s="516" t="n"/>
      <c r="C968" s="516" t="n"/>
      <c r="D968" s="516" t="n"/>
      <c r="E968" s="516" t="n"/>
      <c r="F968" s="516" t="n"/>
      <c r="G968" s="516" t="n"/>
      <c r="H968" s="516" t="n"/>
      <c r="I968" s="516" t="n"/>
      <c r="J968" s="516" t="n"/>
      <c r="K968" s="516" t="n"/>
    </row>
    <row r="969">
      <c r="A969" s="516" t="n"/>
      <c r="B969" s="516" t="n"/>
      <c r="C969" s="516" t="n"/>
      <c r="D969" s="516" t="n"/>
      <c r="E969" s="516" t="n"/>
      <c r="F969" s="516" t="n"/>
      <c r="G969" s="516" t="n"/>
      <c r="H969" s="516" t="n"/>
      <c r="I969" s="516" t="n"/>
      <c r="J969" s="516" t="n"/>
      <c r="K969" s="516" t="n"/>
    </row>
    <row r="970">
      <c r="A970" s="516" t="n"/>
      <c r="B970" s="516" t="n"/>
      <c r="C970" s="516" t="n"/>
      <c r="D970" s="516" t="n"/>
      <c r="E970" s="516" t="n"/>
      <c r="F970" s="516" t="n"/>
      <c r="G970" s="516" t="n"/>
      <c r="H970" s="516" t="n"/>
      <c r="I970" s="516" t="n"/>
      <c r="J970" s="516" t="n"/>
      <c r="K970" s="516" t="n"/>
    </row>
    <row r="971">
      <c r="A971" s="516" t="n"/>
      <c r="B971" s="516" t="n"/>
      <c r="C971" s="516" t="n"/>
      <c r="D971" s="516" t="n"/>
      <c r="E971" s="516" t="n"/>
      <c r="F971" s="516" t="n"/>
      <c r="G971" s="516" t="n"/>
      <c r="H971" s="516" t="n"/>
      <c r="I971" s="516" t="n"/>
      <c r="J971" s="516" t="n"/>
      <c r="K971" s="516" t="n"/>
    </row>
    <row r="972">
      <c r="A972" s="516" t="n"/>
      <c r="B972" s="516" t="n"/>
      <c r="C972" s="516" t="n"/>
      <c r="D972" s="516" t="n"/>
      <c r="E972" s="516" t="n"/>
      <c r="F972" s="516" t="n"/>
      <c r="G972" s="516" t="n"/>
      <c r="H972" s="516" t="n"/>
      <c r="I972" s="516" t="n"/>
      <c r="J972" s="516" t="n"/>
      <c r="K972" s="516" t="n"/>
    </row>
    <row r="973">
      <c r="A973" s="516" t="n"/>
      <c r="B973" s="516" t="n"/>
      <c r="C973" s="516" t="n"/>
      <c r="D973" s="516" t="n"/>
      <c r="E973" s="516" t="n"/>
      <c r="F973" s="516" t="n"/>
      <c r="G973" s="516" t="n"/>
      <c r="H973" s="516" t="n"/>
      <c r="I973" s="516" t="n"/>
      <c r="J973" s="516" t="n"/>
      <c r="K973" s="516" t="n"/>
    </row>
    <row r="974">
      <c r="A974" s="516" t="n"/>
      <c r="B974" s="516" t="n"/>
      <c r="C974" s="516" t="n"/>
      <c r="D974" s="516" t="n"/>
      <c r="E974" s="516" t="n"/>
      <c r="F974" s="516" t="n"/>
      <c r="G974" s="516" t="n"/>
      <c r="H974" s="516" t="n"/>
      <c r="I974" s="516" t="n"/>
      <c r="J974" s="516" t="n"/>
      <c r="K974" s="516" t="n"/>
    </row>
    <row r="975">
      <c r="A975" s="516" t="n"/>
      <c r="B975" s="516" t="n"/>
      <c r="C975" s="516" t="n"/>
      <c r="D975" s="516" t="n"/>
      <c r="E975" s="516" t="n"/>
      <c r="F975" s="516" t="n"/>
      <c r="G975" s="516" t="n"/>
      <c r="H975" s="516" t="n"/>
      <c r="I975" s="516" t="n"/>
      <c r="J975" s="516" t="n"/>
      <c r="K975" s="516" t="n"/>
    </row>
    <row r="976">
      <c r="A976" s="516" t="n"/>
      <c r="B976" s="516" t="n"/>
      <c r="C976" s="516" t="n"/>
      <c r="D976" s="516" t="n"/>
      <c r="E976" s="516" t="n"/>
      <c r="F976" s="516" t="n"/>
      <c r="G976" s="516" t="n"/>
      <c r="H976" s="516" t="n"/>
      <c r="I976" s="516" t="n"/>
      <c r="J976" s="516" t="n"/>
      <c r="K976" s="516" t="n"/>
    </row>
    <row r="977">
      <c r="A977" s="516" t="n"/>
      <c r="B977" s="516" t="n"/>
      <c r="C977" s="516" t="n"/>
      <c r="D977" s="516" t="n"/>
      <c r="E977" s="516" t="n"/>
      <c r="F977" s="516" t="n"/>
      <c r="G977" s="516" t="n"/>
      <c r="H977" s="516" t="n"/>
      <c r="I977" s="516" t="n"/>
      <c r="J977" s="516" t="n"/>
      <c r="K977" s="516" t="n"/>
    </row>
    <row r="978">
      <c r="A978" s="516" t="n"/>
      <c r="B978" s="516" t="n"/>
      <c r="C978" s="516" t="n"/>
      <c r="D978" s="516" t="n"/>
      <c r="E978" s="516" t="n"/>
      <c r="F978" s="516" t="n"/>
      <c r="G978" s="516" t="n"/>
      <c r="H978" s="516" t="n"/>
      <c r="I978" s="516" t="n"/>
      <c r="J978" s="516" t="n"/>
      <c r="K978" s="516" t="n"/>
    </row>
    <row r="979">
      <c r="A979" s="516" t="n"/>
      <c r="B979" s="516" t="n"/>
      <c r="C979" s="516" t="n"/>
      <c r="D979" s="516" t="n"/>
      <c r="E979" s="516" t="n"/>
      <c r="F979" s="516" t="n"/>
      <c r="G979" s="516" t="n"/>
      <c r="H979" s="516" t="n"/>
      <c r="I979" s="516" t="n"/>
      <c r="J979" s="516" t="n"/>
      <c r="K979" s="516" t="n"/>
    </row>
    <row r="980">
      <c r="A980" s="516" t="n"/>
      <c r="B980" s="516" t="n"/>
      <c r="C980" s="516" t="n"/>
      <c r="D980" s="516" t="n"/>
      <c r="E980" s="516" t="n"/>
      <c r="F980" s="516" t="n"/>
      <c r="G980" s="516" t="n"/>
      <c r="H980" s="516" t="n"/>
      <c r="I980" s="516" t="n"/>
      <c r="J980" s="516" t="n"/>
      <c r="K980" s="516" t="n"/>
    </row>
    <row r="981">
      <c r="A981" s="516" t="n"/>
      <c r="B981" s="516" t="n"/>
      <c r="C981" s="516" t="n"/>
      <c r="D981" s="516" t="n"/>
      <c r="E981" s="516" t="n"/>
      <c r="F981" s="516" t="n"/>
      <c r="G981" s="516" t="n"/>
      <c r="H981" s="516" t="n"/>
      <c r="I981" s="516" t="n"/>
      <c r="J981" s="516" t="n"/>
      <c r="K981" s="516" t="n"/>
    </row>
    <row r="982">
      <c r="A982" s="516" t="n"/>
      <c r="B982" s="516" t="n"/>
      <c r="C982" s="516" t="n"/>
      <c r="D982" s="516" t="n"/>
      <c r="E982" s="516" t="n"/>
      <c r="F982" s="516" t="n"/>
      <c r="G982" s="516" t="n"/>
      <c r="H982" s="516" t="n"/>
      <c r="I982" s="516" t="n"/>
      <c r="J982" s="516" t="n"/>
      <c r="K982" s="516" t="n"/>
    </row>
    <row r="983">
      <c r="A983" s="516" t="n"/>
      <c r="B983" s="516" t="n"/>
      <c r="C983" s="516" t="n"/>
      <c r="D983" s="516" t="n"/>
      <c r="E983" s="516" t="n"/>
      <c r="F983" s="516" t="n"/>
      <c r="G983" s="516" t="n"/>
      <c r="H983" s="516" t="n"/>
      <c r="I983" s="516" t="n"/>
      <c r="J983" s="516" t="n"/>
      <c r="K983" s="516" t="n"/>
    </row>
    <row r="984">
      <c r="A984" s="516" t="n"/>
      <c r="B984" s="516" t="n"/>
      <c r="C984" s="516" t="n"/>
      <c r="D984" s="516" t="n"/>
      <c r="E984" s="516" t="n"/>
      <c r="F984" s="516" t="n"/>
      <c r="G984" s="516" t="n"/>
      <c r="H984" s="516" t="n"/>
      <c r="I984" s="516" t="n"/>
      <c r="J984" s="516" t="n"/>
      <c r="K984" s="516" t="n"/>
    </row>
    <row r="985">
      <c r="A985" s="516" t="n"/>
      <c r="B985" s="516" t="n"/>
      <c r="C985" s="516" t="n"/>
      <c r="D985" s="516" t="n"/>
      <c r="E985" s="516" t="n"/>
      <c r="F985" s="516" t="n"/>
      <c r="G985" s="516" t="n"/>
      <c r="H985" s="516" t="n"/>
      <c r="I985" s="516" t="n"/>
      <c r="J985" s="516" t="n"/>
      <c r="K985" s="516" t="n"/>
    </row>
    <row r="986">
      <c r="A986" s="516" t="n"/>
      <c r="B986" s="516" t="n"/>
      <c r="C986" s="516" t="n"/>
      <c r="D986" s="516" t="n"/>
      <c r="E986" s="516" t="n"/>
      <c r="F986" s="516" t="n"/>
      <c r="G986" s="516" t="n"/>
      <c r="H986" s="516" t="n"/>
      <c r="I986" s="516" t="n"/>
      <c r="J986" s="516" t="n"/>
      <c r="K986" s="516" t="n"/>
    </row>
    <row r="987">
      <c r="A987" s="516" t="n"/>
      <c r="B987" s="516" t="n"/>
      <c r="C987" s="516" t="n"/>
      <c r="D987" s="516" t="n"/>
      <c r="E987" s="516" t="n"/>
      <c r="F987" s="516" t="n"/>
      <c r="G987" s="516" t="n"/>
      <c r="H987" s="516" t="n"/>
      <c r="I987" s="516" t="n"/>
      <c r="J987" s="516" t="n"/>
      <c r="K987" s="516" t="n"/>
    </row>
    <row r="988">
      <c r="A988" s="516" t="n"/>
      <c r="B988" s="516" t="n"/>
      <c r="C988" s="516" t="n"/>
      <c r="D988" s="516" t="n"/>
      <c r="E988" s="516" t="n"/>
      <c r="F988" s="516" t="n"/>
      <c r="G988" s="516" t="n"/>
      <c r="H988" s="516" t="n"/>
      <c r="I988" s="516" t="n"/>
      <c r="J988" s="516" t="n"/>
      <c r="K988" s="516" t="n"/>
    </row>
    <row r="989">
      <c r="A989" s="516" t="n"/>
      <c r="B989" s="516" t="n"/>
      <c r="C989" s="516" t="n"/>
      <c r="D989" s="516" t="n"/>
      <c r="E989" s="516" t="n"/>
      <c r="F989" s="516" t="n"/>
      <c r="G989" s="516" t="n"/>
      <c r="H989" s="516" t="n"/>
      <c r="I989" s="516" t="n"/>
      <c r="J989" s="516" t="n"/>
      <c r="K989" s="516" t="n"/>
    </row>
    <row r="990">
      <c r="A990" s="516" t="n"/>
      <c r="B990" s="516" t="n"/>
      <c r="C990" s="516" t="n"/>
      <c r="D990" s="516" t="n"/>
      <c r="E990" s="516" t="n"/>
      <c r="F990" s="516" t="n"/>
      <c r="G990" s="516" t="n"/>
      <c r="H990" s="516" t="n"/>
      <c r="I990" s="516" t="n"/>
      <c r="J990" s="516" t="n"/>
      <c r="K990" s="516" t="n"/>
    </row>
    <row r="991">
      <c r="A991" s="516" t="n"/>
      <c r="B991" s="516" t="n"/>
      <c r="C991" s="516" t="n"/>
      <c r="D991" s="516" t="n"/>
      <c r="E991" s="516" t="n"/>
      <c r="F991" s="516" t="n"/>
      <c r="G991" s="516" t="n"/>
      <c r="H991" s="516" t="n"/>
      <c r="I991" s="516" t="n"/>
      <c r="J991" s="516" t="n"/>
      <c r="K991" s="516" t="n"/>
    </row>
    <row r="992">
      <c r="A992" s="516" t="n"/>
      <c r="B992" s="516" t="n"/>
      <c r="C992" s="516" t="n"/>
      <c r="D992" s="516" t="n"/>
      <c r="E992" s="516" t="n"/>
      <c r="F992" s="516" t="n"/>
      <c r="G992" s="516" t="n"/>
      <c r="H992" s="516" t="n"/>
      <c r="I992" s="516" t="n"/>
      <c r="J992" s="516" t="n"/>
      <c r="K992" s="516" t="n"/>
    </row>
    <row r="993">
      <c r="A993" s="516" t="n"/>
      <c r="B993" s="516" t="n"/>
      <c r="C993" s="516" t="n"/>
      <c r="D993" s="516" t="n"/>
      <c r="E993" s="516" t="n"/>
      <c r="F993" s="516" t="n"/>
      <c r="G993" s="516" t="n"/>
      <c r="H993" s="516" t="n"/>
      <c r="I993" s="516" t="n"/>
      <c r="J993" s="516" t="n"/>
      <c r="K993" s="516" t="n"/>
    </row>
  </sheetData>
  <mergeCells count="138">
    <mergeCell ref="B295:B296"/>
    <mergeCell ref="B273:B274"/>
    <mergeCell ref="B43:B44"/>
    <mergeCell ref="B165:B166"/>
    <mergeCell ref="B223:B224"/>
    <mergeCell ref="B179:B180"/>
    <mergeCell ref="B61:B62"/>
    <mergeCell ref="B263:B264"/>
    <mergeCell ref="B247:B248"/>
    <mergeCell ref="B101:B102"/>
    <mergeCell ref="B29:B30"/>
    <mergeCell ref="B23:B24"/>
    <mergeCell ref="B117:B118"/>
    <mergeCell ref="B157:B158"/>
    <mergeCell ref="B13:B14"/>
    <mergeCell ref="B249:B250"/>
    <mergeCell ref="B119:B120"/>
    <mergeCell ref="B37:B38"/>
    <mergeCell ref="B15:B16"/>
    <mergeCell ref="B255:B256"/>
    <mergeCell ref="B211:B212"/>
    <mergeCell ref="B103:B104"/>
    <mergeCell ref="B205:B206"/>
    <mergeCell ref="B183:B184"/>
    <mergeCell ref="B241:B242"/>
    <mergeCell ref="B275:B276"/>
    <mergeCell ref="B63:B64"/>
    <mergeCell ref="B185:B186"/>
    <mergeCell ref="B197:B198"/>
    <mergeCell ref="B169:B170"/>
    <mergeCell ref="B227:B228"/>
    <mergeCell ref="B209:B210"/>
    <mergeCell ref="B25:B26"/>
    <mergeCell ref="B261:B262"/>
    <mergeCell ref="B97:B98"/>
    <mergeCell ref="B153:B154"/>
    <mergeCell ref="B35:B36"/>
    <mergeCell ref="B27:B28"/>
    <mergeCell ref="B155:B156"/>
    <mergeCell ref="B17:B18"/>
    <mergeCell ref="B301:B302"/>
    <mergeCell ref="B77:B78"/>
    <mergeCell ref="B11:B12"/>
    <mergeCell ref="B253:B254"/>
    <mergeCell ref="B145:B146"/>
    <mergeCell ref="B67:B68"/>
    <mergeCell ref="B287:B288"/>
    <mergeCell ref="B187:B188"/>
    <mergeCell ref="B69:B70"/>
    <mergeCell ref="B239:B240"/>
    <mergeCell ref="B143:B144"/>
    <mergeCell ref="B53:B54"/>
    <mergeCell ref="B289:B290"/>
    <mergeCell ref="B127:B128"/>
    <mergeCell ref="B55:B56"/>
    <mergeCell ref="B257:B258"/>
    <mergeCell ref="B95:B96"/>
    <mergeCell ref="B45:B46"/>
    <mergeCell ref="B79:B80"/>
    <mergeCell ref="B281:B282"/>
    <mergeCell ref="B213:B214"/>
    <mergeCell ref="B7:B8"/>
    <mergeCell ref="B81:B82"/>
    <mergeCell ref="B31:B32"/>
    <mergeCell ref="B233:B234"/>
    <mergeCell ref="B215:B216"/>
    <mergeCell ref="B71:B72"/>
    <mergeCell ref="B131:B132"/>
    <mergeCell ref="B297:B298"/>
    <mergeCell ref="B121:B122"/>
    <mergeCell ref="B235:B236"/>
    <mergeCell ref="B291:B292"/>
    <mergeCell ref="B73:B74"/>
    <mergeCell ref="B195:B196"/>
    <mergeCell ref="B167:B168"/>
    <mergeCell ref="B231:B232"/>
    <mergeCell ref="B105:B106"/>
    <mergeCell ref="B161:B162"/>
    <mergeCell ref="B57:B58"/>
    <mergeCell ref="B259:B260"/>
    <mergeCell ref="B293:B294"/>
    <mergeCell ref="B225:B226"/>
    <mergeCell ref="B107:B108"/>
    <mergeCell ref="B283:B284"/>
    <mergeCell ref="B279:B280"/>
    <mergeCell ref="B9:B10"/>
    <mergeCell ref="B49:B50"/>
    <mergeCell ref="B171:B172"/>
    <mergeCell ref="B83:B84"/>
    <mergeCell ref="B207:B208"/>
    <mergeCell ref="B33:B34"/>
    <mergeCell ref="B217:B218"/>
    <mergeCell ref="B99:B100"/>
    <mergeCell ref="B269:B270"/>
    <mergeCell ref="B133:B134"/>
    <mergeCell ref="B173:B174"/>
    <mergeCell ref="B265:B266"/>
    <mergeCell ref="B163:B164"/>
    <mergeCell ref="B141:B142"/>
    <mergeCell ref="B75:B76"/>
    <mergeCell ref="B135:B136"/>
    <mergeCell ref="B193:B194"/>
    <mergeCell ref="B203:B204"/>
    <mergeCell ref="B85:B86"/>
    <mergeCell ref="B125:B126"/>
    <mergeCell ref="B199:B200"/>
    <mergeCell ref="B109:B110"/>
    <mergeCell ref="B47:B48"/>
    <mergeCell ref="B149:B150"/>
    <mergeCell ref="B219:B220"/>
    <mergeCell ref="B111:B112"/>
    <mergeCell ref="B191:B192"/>
    <mergeCell ref="B243:B244"/>
    <mergeCell ref="B39:B40"/>
    <mergeCell ref="B175:B176"/>
    <mergeCell ref="B267:B268"/>
    <mergeCell ref="B299:B300"/>
    <mergeCell ref="B181:B182"/>
    <mergeCell ref="B137:B138"/>
    <mergeCell ref="B19:B20"/>
    <mergeCell ref="B177:B178"/>
    <mergeCell ref="B65:B66"/>
    <mergeCell ref="B147:B148"/>
    <mergeCell ref="B245:B246"/>
    <mergeCell ref="B201:B202"/>
    <mergeCell ref="B139:B140"/>
    <mergeCell ref="B285:B286"/>
    <mergeCell ref="B129:B130"/>
    <mergeCell ref="B123:B124"/>
    <mergeCell ref="B251:B252"/>
    <mergeCell ref="B189:B190"/>
    <mergeCell ref="B221:B222"/>
    <mergeCell ref="B113:B114"/>
    <mergeCell ref="B237:B238"/>
    <mergeCell ref="B271:B272"/>
    <mergeCell ref="B41:B42"/>
    <mergeCell ref="B59:B60"/>
    <mergeCell ref="B115:B116"/>
  </mergeCells>
  <conditionalFormatting sqref="K1:Y993">
    <cfRule type="cellIs" priority="1" operator="equal" dxfId="1">
      <formula>"NA"</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D45"/>
  <sheetViews>
    <sheetView workbookViewId="0">
      <selection activeCell="A1" sqref="A1"/>
    </sheetView>
  </sheetViews>
  <sheetFormatPr baseColWidth="8" defaultColWidth="12.63" defaultRowHeight="15.75" customHeight="1"/>
  <sheetData>
    <row r="1">
      <c r="A1" s="204" t="inlineStr">
        <is>
          <t>COHORT 5 CM1 2022-2023</t>
        </is>
      </c>
      <c r="D1" s="520" t="inlineStr">
        <is>
          <t>Cohorte 7 (paires)</t>
        </is>
      </c>
    </row>
    <row r="2">
      <c r="A2" s="687" t="inlineStr">
        <is>
          <t>Barouana</t>
        </is>
      </c>
      <c r="D2" s="503" t="inlineStr">
        <is>
          <t>Takalmaoua 1</t>
        </is>
      </c>
    </row>
    <row r="3">
      <c r="A3" s="687" t="inlineStr">
        <is>
          <t>Dan Gamji</t>
        </is>
      </c>
      <c r="D3" s="688" t="inlineStr">
        <is>
          <t>Kontagora Tsohoua</t>
        </is>
      </c>
    </row>
    <row r="4">
      <c r="A4" s="687" t="inlineStr">
        <is>
          <t>Danja 1</t>
        </is>
      </c>
      <c r="D4" s="500" t="inlineStr">
        <is>
          <t>Sabon Garin Kolta</t>
        </is>
      </c>
    </row>
    <row r="5">
      <c r="A5" s="687" t="inlineStr">
        <is>
          <t>El Kokia</t>
        </is>
      </c>
      <c r="D5" s="500" t="inlineStr">
        <is>
          <t>Galadantchi</t>
        </is>
      </c>
    </row>
    <row r="6">
      <c r="A6" s="687" t="inlineStr">
        <is>
          <t>Garin Yari Idi</t>
        </is>
      </c>
      <c r="D6" s="503" t="inlineStr">
        <is>
          <t>Danja 1</t>
        </is>
      </c>
    </row>
    <row r="7">
      <c r="A7" s="687" t="inlineStr">
        <is>
          <t>Kadata</t>
        </is>
      </c>
      <c r="D7" s="503" t="inlineStr">
        <is>
          <t>Djirataoua Bilingue</t>
        </is>
      </c>
    </row>
    <row r="8">
      <c r="A8" s="687" t="inlineStr">
        <is>
          <t>Kadigaoua</t>
        </is>
      </c>
      <c r="D8" s="500" t="inlineStr">
        <is>
          <t>Danja 2</t>
        </is>
      </c>
    </row>
    <row r="9">
      <c r="A9" s="687" t="inlineStr">
        <is>
          <t>Katare Guidan Ousmane 1</t>
        </is>
      </c>
      <c r="D9" s="500" t="inlineStr">
        <is>
          <t>Kontagora Goussawa</t>
        </is>
      </c>
    </row>
    <row r="10">
      <c r="A10" s="687" t="inlineStr">
        <is>
          <t>Katare Guidan Ousmane 2</t>
        </is>
      </c>
      <c r="D10" s="503" t="inlineStr">
        <is>
          <t>Takalmaoua 2</t>
        </is>
      </c>
    </row>
    <row r="11">
      <c r="A11" s="687" t="inlineStr">
        <is>
          <t>Koderaoua</t>
        </is>
      </c>
      <c r="D11" s="689" t="inlineStr">
        <is>
          <t>Tajaye Djirataoua</t>
        </is>
      </c>
    </row>
    <row r="12">
      <c r="A12" s="687" t="inlineStr">
        <is>
          <t>Kountarou Mai Rairai</t>
        </is>
      </c>
      <c r="D12" s="500" t="inlineStr">
        <is>
          <t>Safo Nassaraoua</t>
        </is>
      </c>
    </row>
    <row r="13">
      <c r="A13" s="687" t="inlineStr">
        <is>
          <t>Louloubi</t>
        </is>
      </c>
      <c r="D13" s="690" t="inlineStr">
        <is>
          <t>Radi Centre 2</t>
        </is>
      </c>
    </row>
    <row r="14">
      <c r="A14" s="687" t="inlineStr">
        <is>
          <t>Mallamai Saboua</t>
        </is>
      </c>
      <c r="D14" s="503" t="inlineStr">
        <is>
          <t>Maradou Centre</t>
        </is>
      </c>
    </row>
    <row r="15">
      <c r="A15" s="687" t="inlineStr">
        <is>
          <t>Maradou Centre</t>
        </is>
      </c>
      <c r="D15" s="689" t="inlineStr">
        <is>
          <t>Radi Quartier</t>
        </is>
      </c>
    </row>
    <row r="16">
      <c r="A16" s="687" t="inlineStr">
        <is>
          <t>Oubandawaki Alfacha</t>
        </is>
      </c>
      <c r="D16" s="500" t="inlineStr">
        <is>
          <t>Yari Idi</t>
        </is>
      </c>
    </row>
    <row r="17">
      <c r="A17" s="687" t="inlineStr">
        <is>
          <t>Sabon Gari Kolta</t>
        </is>
      </c>
      <c r="D17" s="500" t="inlineStr">
        <is>
          <t>Maza Tsaye 1</t>
        </is>
      </c>
    </row>
    <row r="18">
      <c r="A18" s="687" t="inlineStr">
        <is>
          <t>Sae Saboua</t>
        </is>
      </c>
      <c r="D18" s="503" t="inlineStr">
        <is>
          <t>Kalgon Waraou</t>
        </is>
      </c>
    </row>
    <row r="19">
      <c r="A19" s="687" t="inlineStr">
        <is>
          <t>Soura 1</t>
        </is>
      </c>
      <c r="D19" s="689" t="inlineStr">
        <is>
          <t>Guigamaoua</t>
        </is>
      </c>
    </row>
    <row r="20">
      <c r="A20" s="687" t="inlineStr">
        <is>
          <t>Tagaza</t>
        </is>
      </c>
      <c r="D20" s="690" t="inlineStr">
        <is>
          <t>Dan Fillo</t>
        </is>
      </c>
    </row>
    <row r="21">
      <c r="A21" s="687" t="inlineStr">
        <is>
          <t>Takalmaoua 1</t>
        </is>
      </c>
      <c r="D21" s="500" t="inlineStr">
        <is>
          <t>Karakara 2</t>
        </is>
      </c>
    </row>
    <row r="22">
      <c r="A22" s="687" t="inlineStr">
        <is>
          <t>Tchikadji Centre</t>
        </is>
      </c>
      <c r="D22" s="503" t="inlineStr">
        <is>
          <t>Galma 1</t>
        </is>
      </c>
    </row>
    <row r="23">
      <c r="A23" s="516" t="inlineStr">
        <is>
          <t>Tibiri Nord 3</t>
        </is>
      </c>
      <c r="D23" s="503" t="inlineStr">
        <is>
          <t>Yan Belbelou 3</t>
        </is>
      </c>
    </row>
    <row r="24">
      <c r="A24" s="687" t="inlineStr">
        <is>
          <t>Tibiri Dan Fillo 3</t>
        </is>
      </c>
      <c r="D24" s="691" t="inlineStr">
        <is>
          <t>Galma 2</t>
        </is>
      </c>
    </row>
    <row r="25">
      <c r="A25" s="687" t="inlineStr">
        <is>
          <t>Waraou</t>
        </is>
      </c>
      <c r="D25" s="692" t="inlineStr">
        <is>
          <t>Sarkin Aski</t>
        </is>
      </c>
    </row>
    <row r="26">
      <c r="A26" s="204" t="inlineStr">
        <is>
          <t>COHORT 5 CM1 2023-2024</t>
        </is>
      </c>
      <c r="D26" s="693" t="inlineStr">
        <is>
          <t>Soura Magagin Rogo</t>
        </is>
      </c>
    </row>
    <row r="27">
      <c r="A27" s="687" t="inlineStr">
        <is>
          <t>Danja 1</t>
        </is>
      </c>
      <c r="D27" s="693" t="inlineStr">
        <is>
          <t>Maisso</t>
        </is>
      </c>
    </row>
    <row r="28">
      <c r="A28" s="687" t="inlineStr">
        <is>
          <t>El Kokia</t>
        </is>
      </c>
      <c r="D28" s="691" t="inlineStr">
        <is>
          <t>Waraou</t>
        </is>
      </c>
    </row>
    <row r="29">
      <c r="A29" s="687" t="inlineStr">
        <is>
          <t>Sabon Gari Kolta</t>
        </is>
      </c>
      <c r="D29" s="691" t="inlineStr">
        <is>
          <t>Garin Daoure 2</t>
        </is>
      </c>
    </row>
    <row r="30">
      <c r="A30" s="687" t="inlineStr">
        <is>
          <t>Takalmaoua 1</t>
        </is>
      </c>
      <c r="D30" s="693" t="inlineStr">
        <is>
          <t>Nord 3</t>
        </is>
      </c>
    </row>
    <row r="31">
      <c r="A31" s="687" t="inlineStr">
        <is>
          <t>Waraou</t>
        </is>
      </c>
      <c r="D31" s="693" t="inlineStr">
        <is>
          <t>Garin Daoure 1</t>
        </is>
      </c>
    </row>
    <row r="32">
      <c r="D32" s="691" t="inlineStr">
        <is>
          <t>Barouana</t>
        </is>
      </c>
    </row>
    <row r="33">
      <c r="D33" s="691" t="inlineStr">
        <is>
          <t xml:space="preserve">Dan Gara </t>
        </is>
      </c>
    </row>
    <row r="34">
      <c r="D34" s="693" t="inlineStr">
        <is>
          <t>Kadata</t>
        </is>
      </c>
    </row>
    <row r="35">
      <c r="D35" s="693" t="inlineStr">
        <is>
          <t xml:space="preserve">Karhin Hali </t>
        </is>
      </c>
    </row>
    <row r="36">
      <c r="D36" s="691" t="inlineStr">
        <is>
          <t>Gadigaoua</t>
        </is>
      </c>
    </row>
    <row r="37">
      <c r="D37" s="691" t="inlineStr">
        <is>
          <t>Tsanna Publique</t>
        </is>
      </c>
    </row>
    <row r="38">
      <c r="D38" s="693" t="inlineStr">
        <is>
          <t>Kountarou Mai Rairai</t>
        </is>
      </c>
    </row>
    <row r="39">
      <c r="D39" s="693" t="inlineStr">
        <is>
          <t xml:space="preserve">Touzza </t>
        </is>
      </c>
    </row>
    <row r="40">
      <c r="D40" s="691" t="inlineStr">
        <is>
          <t>Malloumai Saboua</t>
        </is>
      </c>
    </row>
    <row r="41">
      <c r="D41" s="692" t="inlineStr">
        <is>
          <t>Yan Doto Garin Malam</t>
        </is>
      </c>
    </row>
    <row r="42">
      <c r="D42" s="693" t="inlineStr">
        <is>
          <t>Mountarou Bermo</t>
        </is>
      </c>
    </row>
    <row r="43">
      <c r="D43" s="694" t="inlineStr">
        <is>
          <t>Alssaoua</t>
        </is>
      </c>
    </row>
    <row r="44">
      <c r="D44" s="691" t="inlineStr">
        <is>
          <t>Oubandawaki Alfacha</t>
        </is>
      </c>
    </row>
    <row r="45">
      <c r="D45" s="692" t="inlineStr">
        <is>
          <t>Karambi Tsofoua</t>
        </is>
      </c>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C41"/>
  <sheetViews>
    <sheetView workbookViewId="0">
      <selection activeCell="A1" sqref="A1"/>
    </sheetView>
  </sheetViews>
  <sheetFormatPr baseColWidth="8" defaultColWidth="12.63" defaultRowHeight="15.75" customHeight="1"/>
  <sheetData>
    <row r="1">
      <c r="A1" s="520" t="inlineStr">
        <is>
          <t>Ecoles Hasken Mata cohorte 2</t>
        </is>
      </c>
    </row>
    <row r="2">
      <c r="A2" s="7" t="n">
        <v>79</v>
      </c>
      <c r="B2" s="7" t="inlineStr">
        <is>
          <t>Sae Saboua publique</t>
        </is>
      </c>
      <c r="C2" s="343" t="inlineStr">
        <is>
          <t>Sae Saboua</t>
        </is>
      </c>
    </row>
    <row r="3">
      <c r="A3" s="7" t="n">
        <v>80</v>
      </c>
      <c r="B3" s="7" t="inlineStr">
        <is>
          <t xml:space="preserve">Mallamai Saboua </t>
        </is>
      </c>
      <c r="C3" s="343" t="inlineStr">
        <is>
          <t>Sae Saboua</t>
        </is>
      </c>
    </row>
    <row r="4">
      <c r="A4" s="7" t="n">
        <v>81</v>
      </c>
      <c r="B4" s="7" t="inlineStr">
        <is>
          <t xml:space="preserve">Barouana </t>
        </is>
      </c>
      <c r="C4" s="343" t="inlineStr">
        <is>
          <t>Sae Saboua</t>
        </is>
      </c>
    </row>
    <row r="5">
      <c r="A5" s="7" t="n">
        <v>82</v>
      </c>
      <c r="B5" s="7" t="inlineStr">
        <is>
          <t>Kadata</t>
        </is>
      </c>
      <c r="C5" s="343" t="inlineStr">
        <is>
          <t>Sae Saboua</t>
        </is>
      </c>
    </row>
    <row r="6">
      <c r="A6" s="7" t="n">
        <v>83</v>
      </c>
      <c r="B6" s="7" t="inlineStr">
        <is>
          <t>Oubandawaki Alfacha</t>
        </is>
      </c>
      <c r="C6" s="343" t="inlineStr">
        <is>
          <t>Sae Saboua</t>
        </is>
      </c>
    </row>
    <row r="7">
      <c r="A7" s="7" t="n">
        <v>84</v>
      </c>
      <c r="B7" s="7" t="inlineStr">
        <is>
          <t>Mountarou Barmo</t>
        </is>
      </c>
      <c r="C7" s="343" t="inlineStr">
        <is>
          <t>Sae Saboua</t>
        </is>
      </c>
    </row>
    <row r="8">
      <c r="A8" s="7" t="n">
        <v>85</v>
      </c>
      <c r="B8" s="7" t="inlineStr">
        <is>
          <t>Kountarou Mairairai</t>
        </is>
      </c>
      <c r="C8" s="343" t="inlineStr">
        <is>
          <t>Sae Saboua</t>
        </is>
      </c>
    </row>
    <row r="9">
      <c r="A9" s="7" t="n">
        <v>86</v>
      </c>
      <c r="B9" s="7" t="inlineStr">
        <is>
          <t xml:space="preserve">Tagaza </t>
        </is>
      </c>
      <c r="C9" s="343" t="inlineStr">
        <is>
          <t>Sae Saboua</t>
        </is>
      </c>
    </row>
    <row r="10">
      <c r="A10" s="7" t="n">
        <v>87</v>
      </c>
      <c r="B10" s="7" t="inlineStr">
        <is>
          <t>Dan Gamdji</t>
        </is>
      </c>
      <c r="C10" s="343" t="inlineStr">
        <is>
          <t>Sae Saboua</t>
        </is>
      </c>
    </row>
    <row r="11">
      <c r="A11" s="7" t="inlineStr">
        <is>
          <t>88'</t>
        </is>
      </c>
      <c r="B11" s="7" t="inlineStr">
        <is>
          <t xml:space="preserve">Kadigawa </t>
        </is>
      </c>
      <c r="C11" s="343" t="inlineStr">
        <is>
          <t>Sae Saboua</t>
        </is>
      </c>
    </row>
    <row r="12">
      <c r="A12" s="7" t="n">
        <v>13</v>
      </c>
      <c r="B12" s="7" t="inlineStr">
        <is>
          <t>Garin Yari Idi</t>
        </is>
      </c>
      <c r="C12" s="338" t="inlineStr">
        <is>
          <t>Tibiri</t>
        </is>
      </c>
    </row>
    <row r="13">
      <c r="A13" s="7" t="n">
        <v>25</v>
      </c>
      <c r="B13" s="7" t="inlineStr">
        <is>
          <t>Soura Magadji Rogo</t>
        </is>
      </c>
      <c r="C13" s="338" t="inlineStr">
        <is>
          <t>Tibiri</t>
        </is>
      </c>
    </row>
    <row r="14">
      <c r="A14" s="7" t="n">
        <v>5</v>
      </c>
      <c r="B14" s="7" t="inlineStr">
        <is>
          <t>Tibiri Nord 3</t>
        </is>
      </c>
      <c r="C14" s="338" t="inlineStr">
        <is>
          <t>Tibiri</t>
        </is>
      </c>
    </row>
    <row r="15">
      <c r="A15" s="7" t="n">
        <v>15</v>
      </c>
      <c r="B15" s="7" t="inlineStr">
        <is>
          <t>Waraou</t>
        </is>
      </c>
      <c r="C15" s="338" t="inlineStr">
        <is>
          <t>Tibiri</t>
        </is>
      </c>
    </row>
    <row r="16">
      <c r="A16" s="7" t="n">
        <v>27</v>
      </c>
      <c r="B16" s="7" t="inlineStr">
        <is>
          <t xml:space="preserve">Kalgon Waraou </t>
        </is>
      </c>
      <c r="C16" s="338" t="inlineStr">
        <is>
          <t>Tibiri</t>
        </is>
      </c>
    </row>
    <row r="17">
      <c r="A17" s="7" t="n">
        <v>8</v>
      </c>
      <c r="B17" s="7" t="inlineStr">
        <is>
          <t xml:space="preserve">Dan Fillo </t>
        </is>
      </c>
      <c r="C17" s="338" t="inlineStr">
        <is>
          <t>Tibiri</t>
        </is>
      </c>
    </row>
    <row r="18">
      <c r="A18" s="7" t="n">
        <v>31</v>
      </c>
      <c r="B18" s="7" t="inlineStr">
        <is>
          <t>Soura Sarkin Galma 1</t>
        </is>
      </c>
      <c r="C18" s="338" t="inlineStr">
        <is>
          <t>Tibiri</t>
        </is>
      </c>
    </row>
    <row r="19">
      <c r="A19" s="7" t="n">
        <v>16</v>
      </c>
      <c r="B19" s="7" t="inlineStr">
        <is>
          <t>Soura Sarkin Galma 2</t>
        </is>
      </c>
      <c r="C19" s="338" t="inlineStr">
        <is>
          <t>Tibiri</t>
        </is>
      </c>
    </row>
    <row r="20">
      <c r="A20" s="7" t="n">
        <v>1</v>
      </c>
      <c r="B20" s="7" t="inlineStr">
        <is>
          <t>Kataré 1</t>
        </is>
      </c>
      <c r="C20" s="338" t="inlineStr">
        <is>
          <t>Tibiri</t>
        </is>
      </c>
    </row>
    <row r="21">
      <c r="A21" s="7" t="n">
        <v>3</v>
      </c>
      <c r="B21" s="7" t="inlineStr">
        <is>
          <t>Kataré 2</t>
        </is>
      </c>
      <c r="C21" s="338" t="inlineStr">
        <is>
          <t>Tibiri</t>
        </is>
      </c>
    </row>
    <row r="22">
      <c r="A22" s="7" t="n">
        <v>46</v>
      </c>
      <c r="B22" s="7" t="inlineStr">
        <is>
          <t xml:space="preserve">Soura 1 </t>
        </is>
      </c>
      <c r="C22" s="338" t="inlineStr">
        <is>
          <t>Tibiri</t>
        </is>
      </c>
    </row>
    <row r="23">
      <c r="A23" s="7" t="n">
        <v>12</v>
      </c>
      <c r="B23" s="7" t="inlineStr">
        <is>
          <t>Soura 2</t>
        </is>
      </c>
      <c r="C23" s="338" t="inlineStr">
        <is>
          <t>Tibiri</t>
        </is>
      </c>
    </row>
    <row r="24">
      <c r="A24" s="7" t="n">
        <v>2</v>
      </c>
      <c r="B24" s="7" t="inlineStr">
        <is>
          <t>Soura 3</t>
        </is>
      </c>
      <c r="C24" s="338" t="inlineStr">
        <is>
          <t>Tibiri</t>
        </is>
      </c>
    </row>
    <row r="25">
      <c r="A25" s="7" t="n">
        <v>36</v>
      </c>
      <c r="B25" s="7" t="inlineStr">
        <is>
          <t>Takalmawa 1</t>
        </is>
      </c>
      <c r="C25" s="338" t="inlineStr">
        <is>
          <t>Djirataoua</t>
        </is>
      </c>
    </row>
    <row r="26">
      <c r="A26" s="7" t="n">
        <v>44</v>
      </c>
      <c r="B26" s="7" t="inlineStr">
        <is>
          <t>Sabon Garin kolta</t>
        </is>
      </c>
      <c r="C26" s="338" t="inlineStr">
        <is>
          <t>Djirataoua</t>
        </is>
      </c>
    </row>
    <row r="27">
      <c r="A27" s="7" t="n">
        <v>40</v>
      </c>
      <c r="B27" s="7" t="inlineStr">
        <is>
          <t xml:space="preserve">Elkokia </t>
        </is>
      </c>
      <c r="C27" s="338" t="inlineStr">
        <is>
          <t>Djirataoua</t>
        </is>
      </c>
    </row>
    <row r="28">
      <c r="A28" s="7" t="n">
        <v>34</v>
      </c>
      <c r="B28" s="7" t="inlineStr">
        <is>
          <t>Kodéraoua</t>
        </is>
      </c>
      <c r="C28" s="338" t="inlineStr">
        <is>
          <t>Djirataoua</t>
        </is>
      </c>
    </row>
    <row r="29">
      <c r="A29" s="7" t="n">
        <v>39</v>
      </c>
      <c r="B29" s="7" t="inlineStr">
        <is>
          <t xml:space="preserve">Kantagora Sofoua </t>
        </is>
      </c>
      <c r="C29" s="338" t="inlineStr">
        <is>
          <t>Djirataoua</t>
        </is>
      </c>
    </row>
    <row r="30">
      <c r="A30" s="7" t="n">
        <v>67</v>
      </c>
      <c r="B30" s="7" t="inlineStr">
        <is>
          <t xml:space="preserve">Galadantchi </t>
        </is>
      </c>
      <c r="C30" s="338" t="inlineStr">
        <is>
          <t>Djirataoua</t>
        </is>
      </c>
    </row>
    <row r="31">
      <c r="A31" s="7" t="n">
        <v>45</v>
      </c>
      <c r="B31" s="7" t="inlineStr">
        <is>
          <t>Djiratawa Bilingue</t>
        </is>
      </c>
      <c r="C31" s="338" t="inlineStr">
        <is>
          <t>Djirataoua</t>
        </is>
      </c>
    </row>
    <row r="32">
      <c r="A32" s="7" t="n">
        <v>35</v>
      </c>
      <c r="B32" s="7" t="inlineStr">
        <is>
          <t>Oumarou Lawali Gago</t>
        </is>
      </c>
      <c r="C32" s="338" t="inlineStr">
        <is>
          <t>Djirataoua</t>
        </is>
      </c>
    </row>
    <row r="33">
      <c r="A33" s="7" t="n">
        <v>33</v>
      </c>
      <c r="B33" s="7" t="inlineStr">
        <is>
          <t xml:space="preserve">Dallia </t>
        </is>
      </c>
      <c r="C33" s="338" t="inlineStr">
        <is>
          <t>Djirataoua</t>
        </is>
      </c>
    </row>
    <row r="34">
      <c r="A34" s="7" t="n">
        <v>64</v>
      </c>
      <c r="B34" s="7" t="inlineStr">
        <is>
          <t xml:space="preserve">Bassarawa </t>
        </is>
      </c>
      <c r="C34" s="338" t="inlineStr">
        <is>
          <t>Djirataoua</t>
        </is>
      </c>
    </row>
    <row r="35">
      <c r="A35" s="7" t="n">
        <v>55</v>
      </c>
      <c r="B35" s="7" t="inlineStr">
        <is>
          <t>Safo Dan Ali</t>
        </is>
      </c>
      <c r="C35" s="338" t="inlineStr">
        <is>
          <t>Safo</t>
        </is>
      </c>
    </row>
    <row r="36">
      <c r="A36" s="7" t="n">
        <v>56</v>
      </c>
      <c r="B36" s="7" t="inlineStr">
        <is>
          <t>Safo Nassarawa</t>
        </is>
      </c>
      <c r="C36" s="338" t="inlineStr">
        <is>
          <t>Safo</t>
        </is>
      </c>
    </row>
    <row r="37">
      <c r="A37" s="7" t="n">
        <v>60</v>
      </c>
      <c r="B37" s="7" t="inlineStr">
        <is>
          <t>Tchikadji Centre</t>
        </is>
      </c>
      <c r="C37" s="338" t="inlineStr">
        <is>
          <t>Safo</t>
        </is>
      </c>
    </row>
    <row r="38">
      <c r="A38" s="7" t="n">
        <v>61</v>
      </c>
      <c r="B38" s="7" t="inlineStr">
        <is>
          <t>Maradou Centre</t>
        </is>
      </c>
      <c r="C38" s="338" t="inlineStr">
        <is>
          <t>Safo</t>
        </is>
      </c>
    </row>
    <row r="39">
      <c r="A39" s="7" t="n">
        <v>73</v>
      </c>
      <c r="B39" s="7" t="inlineStr">
        <is>
          <t>Riadi centre 1</t>
        </is>
      </c>
      <c r="C39" s="338" t="inlineStr">
        <is>
          <t>Safo</t>
        </is>
      </c>
    </row>
    <row r="40">
      <c r="A40" s="7" t="n">
        <v>75</v>
      </c>
      <c r="B40" s="7" t="inlineStr">
        <is>
          <t>Riadi centre 2</t>
        </is>
      </c>
      <c r="C40" s="338" t="inlineStr">
        <is>
          <t>Safo</t>
        </is>
      </c>
    </row>
    <row r="41">
      <c r="A41" s="7" t="n">
        <v>70</v>
      </c>
      <c r="B41" s="7" t="inlineStr">
        <is>
          <t xml:space="preserve">Soumarana </t>
        </is>
      </c>
      <c r="C41" s="338" t="inlineStr">
        <is>
          <t>Safo</t>
        </is>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3"/>
  <sheetViews>
    <sheetView workbookViewId="0">
      <selection activeCell="A1" sqref="A1"/>
    </sheetView>
  </sheetViews>
  <sheetFormatPr baseColWidth="8" defaultColWidth="12.63" defaultRowHeight="15.75" customHeight="1"/>
  <sheetData>
    <row r="1">
      <c r="A1" s="520" t="inlineStr">
        <is>
          <t>Greetings,</t>
        </is>
      </c>
    </row>
    <row r="3">
      <c r="A3" s="520" t="inlineStr">
        <is>
          <t>Meghan, after talking with Layla, I'd like to share how we'd like to more fully document the content/sources and decisions made in assembling this data. Let's talk tomorrow about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2026-04-28T07:06:13Z</dcterms:created>
  <dcterms:modified xmlns:dcterms="http://purl.org/dc/terms/" xmlns:xsi="http://www.w3.org/2001/XMLSchema-instance" xsi:type="dcterms:W3CDTF">2026-04-28T07:10:37Z</dcterms:modified>
</cp:coreProperties>
</file>