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19425" windowHeight="11025" activeTab="1"/>
  </bookViews>
  <sheets>
    <sheet name="Groupe Intervention " sheetId="1" r:id="rId1"/>
    <sheet name="Groupe Temoin " sheetId="2" r:id="rId2"/>
    <sheet name="Matching 2023" sheetId="3" r:id="rId3"/>
  </sheets>
  <externalReferences>
    <externalReference r:id="rId4"/>
  </externalReferences>
  <definedNames>
    <definedName name="_xlnm._FilterDatabase" localSheetId="0" hidden="1">'Groupe Intervention '!$A$5:$V$82</definedName>
  </definedNames>
  <calcPr calcId="144525"/>
</workbook>
</file>

<file path=xl/calcChain.xml><?xml version="1.0" encoding="utf-8"?>
<calcChain xmlns="http://schemas.openxmlformats.org/spreadsheetml/2006/main">
  <c r="J7" i="1" l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T6" i="2" l="1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P60" i="2" l="1"/>
  <c r="S82" i="1"/>
  <c r="R82" i="1"/>
  <c r="Q82" i="1"/>
  <c r="O82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7" i="1"/>
  <c r="T8" i="1"/>
  <c r="T9" i="1"/>
  <c r="T10" i="1"/>
  <c r="T11" i="1"/>
  <c r="T6" i="1"/>
  <c r="T82" i="1" l="1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1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O62" i="2" l="1"/>
  <c r="N62" i="2"/>
  <c r="L62" i="2"/>
  <c r="K62" i="2"/>
  <c r="N82" i="1"/>
  <c r="P82" i="1" s="1"/>
  <c r="L82" i="1"/>
  <c r="K82" i="1"/>
  <c r="P62" i="2" l="1"/>
  <c r="M62" i="2"/>
  <c r="M82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6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" i="1"/>
  <c r="M7" i="1"/>
  <c r="M6" i="1"/>
  <c r="J61" i="2" l="1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6" i="1"/>
</calcChain>
</file>

<file path=xl/sharedStrings.xml><?xml version="1.0" encoding="utf-8"?>
<sst xmlns="http://schemas.openxmlformats.org/spreadsheetml/2006/main" count="908" uniqueCount="328">
  <si>
    <t xml:space="preserve"> </t>
  </si>
  <si>
    <t>Identifiant de la fille</t>
  </si>
  <si>
    <t xml:space="preserve">Examens </t>
  </si>
  <si>
    <t xml:space="preserve">Ecole </t>
  </si>
  <si>
    <t>Nom et Prénom</t>
  </si>
  <si>
    <t>Date et lieu de naissance</t>
  </si>
  <si>
    <t>Nom et prénom du père</t>
  </si>
  <si>
    <t xml:space="preserve">Nom de la commune </t>
  </si>
  <si>
    <t xml:space="preserve">Nombre des filles </t>
  </si>
  <si>
    <t>Annee d'inscription au programme</t>
  </si>
  <si>
    <t>Numero HM de la fille</t>
  </si>
  <si>
    <t>Identifiant Unique</t>
  </si>
  <si>
    <t>1ère composition/10</t>
  </si>
  <si>
    <t>2è composition/10</t>
  </si>
  <si>
    <t>Moyenne générale</t>
  </si>
  <si>
    <t>Louloubi</t>
  </si>
  <si>
    <t>Azima Alassan</t>
  </si>
  <si>
    <t>30/12/2009 à Louloubi</t>
  </si>
  <si>
    <t>Alassan Ibrahim</t>
  </si>
  <si>
    <t>Sae Saboua</t>
  </si>
  <si>
    <t>Azima Idi</t>
  </si>
  <si>
    <t>31/12/2010 à Louloubi</t>
  </si>
  <si>
    <t>Idi Daouda</t>
  </si>
  <si>
    <t xml:space="preserve">Aicha Salissou </t>
  </si>
  <si>
    <t>Salissou Soulé</t>
  </si>
  <si>
    <t>Barira Moussa</t>
  </si>
  <si>
    <t>01/01/2010 à Louloubi</t>
  </si>
  <si>
    <t>Moussa Labo</t>
  </si>
  <si>
    <t>Bassira Haladou</t>
  </si>
  <si>
    <t>16/02/2009 à Louloubi</t>
  </si>
  <si>
    <t>Haladou Ousmane</t>
  </si>
  <si>
    <t>Ramatou Yahaya</t>
  </si>
  <si>
    <t>20/12/2009 à Louloubi</t>
  </si>
  <si>
    <t>Yahaya Abdou</t>
  </si>
  <si>
    <t xml:space="preserve">Roumanatou Chaibou </t>
  </si>
  <si>
    <t>14/10/2009 à Louloubi</t>
  </si>
  <si>
    <t>Chaibou Salissou</t>
  </si>
  <si>
    <t>31/12/2009 à Louloubi</t>
  </si>
  <si>
    <t>Napissa Oumarou</t>
  </si>
  <si>
    <t>Oumarou Yacouba</t>
  </si>
  <si>
    <t>Marliya Iliassou</t>
  </si>
  <si>
    <t>Iliassou</t>
  </si>
  <si>
    <t>Mansoura Moussa</t>
  </si>
  <si>
    <t>15/12/2011 à Louloubi</t>
  </si>
  <si>
    <t>Moussa Oumarou</t>
  </si>
  <si>
    <t>Liyanatou Oumarou</t>
  </si>
  <si>
    <t>17/10/2009 à Louloubi</t>
  </si>
  <si>
    <t>Moumarou Harouna</t>
  </si>
  <si>
    <t>Lantana Laouali</t>
  </si>
  <si>
    <t>20/10/2009 à Louloubi</t>
  </si>
  <si>
    <t>Laouali Djadi</t>
  </si>
  <si>
    <t>Habiba Aliou</t>
  </si>
  <si>
    <t>Aliou Yahaya</t>
  </si>
  <si>
    <t>Habsatou Oumarou</t>
  </si>
  <si>
    <t>Oumarou Issoufou</t>
  </si>
  <si>
    <t>Fatima Ibrahim</t>
  </si>
  <si>
    <t>Ibrahim Adamou</t>
  </si>
  <si>
    <t>Farida Saàdou</t>
  </si>
  <si>
    <t>Saàdou Bala</t>
  </si>
  <si>
    <t>Fatima Massaoudou</t>
  </si>
  <si>
    <t>Massaoudou Hamidin</t>
  </si>
  <si>
    <t>Ramatou Oumarou</t>
  </si>
  <si>
    <t>26/06/2009 à Louloubi</t>
  </si>
  <si>
    <t>Oumarou</t>
  </si>
  <si>
    <t>Ramatou Abdoul Karim</t>
  </si>
  <si>
    <t>Abdoul Karim</t>
  </si>
  <si>
    <t xml:space="preserve">13/03/2009 à Tsaraki Saboua </t>
  </si>
  <si>
    <t>Ma'azou</t>
  </si>
  <si>
    <t>Kadata</t>
  </si>
  <si>
    <t>Chappa Achirou</t>
  </si>
  <si>
    <t xml:space="preserve">Vers 2011 à Kadata </t>
  </si>
  <si>
    <t>Achirou Samaila</t>
  </si>
  <si>
    <t>Charifa Idi</t>
  </si>
  <si>
    <t xml:space="preserve">Vers 2010 à Kadata </t>
  </si>
  <si>
    <t>Idi Abdou</t>
  </si>
  <si>
    <t>Chamsia Rabé</t>
  </si>
  <si>
    <t>Rabé Salifou</t>
  </si>
  <si>
    <t>Fassouma Aboubacar</t>
  </si>
  <si>
    <t>Aboubacar Ibrahim</t>
  </si>
  <si>
    <t>Kadidja Ali</t>
  </si>
  <si>
    <t>Ali Barmo</t>
  </si>
  <si>
    <t>Kadija Idi</t>
  </si>
  <si>
    <t>Idi Issa</t>
  </si>
  <si>
    <t xml:space="preserve">Laria Habibou </t>
  </si>
  <si>
    <t>Habibou Hassan</t>
  </si>
  <si>
    <t xml:space="preserve">Manira Halilou </t>
  </si>
  <si>
    <t>Halilou Maàzou</t>
  </si>
  <si>
    <t>Ousseina Garba</t>
  </si>
  <si>
    <t>Garba Mahaman</t>
  </si>
  <si>
    <t>Rapia Idi</t>
  </si>
  <si>
    <t>Idi Malan Abdou</t>
  </si>
  <si>
    <t>Safina Kabirou</t>
  </si>
  <si>
    <t>Kabirou Moussa</t>
  </si>
  <si>
    <t>Safia Yahaya</t>
  </si>
  <si>
    <t>Yahaya Tsalha</t>
  </si>
  <si>
    <t>Souéba Moussa</t>
  </si>
  <si>
    <t>Moussa Issoufou</t>
  </si>
  <si>
    <t>Zeinab Ibrahim</t>
  </si>
  <si>
    <t xml:space="preserve">Ibrahim </t>
  </si>
  <si>
    <t>Barouana</t>
  </si>
  <si>
    <t>Assamaou Hassan</t>
  </si>
  <si>
    <t>31/12/ 2011 à Barouana</t>
  </si>
  <si>
    <t>Hassan Halilou</t>
  </si>
  <si>
    <t>Bassira Oumarou</t>
  </si>
  <si>
    <t>31/12/2011 à Barouana</t>
  </si>
  <si>
    <t>Oumarou Chaibou</t>
  </si>
  <si>
    <t xml:space="preserve">Choukouria Moussa </t>
  </si>
  <si>
    <t>Moussa Mamane</t>
  </si>
  <si>
    <t>Fa'iza Inoussa</t>
  </si>
  <si>
    <t>31/12/2011 à bBarouana</t>
  </si>
  <si>
    <t>Inoussa Garba</t>
  </si>
  <si>
    <t xml:space="preserve">Haoua Mamane </t>
  </si>
  <si>
    <t>Mamane Bowey</t>
  </si>
  <si>
    <t>Hazima Moumouni</t>
  </si>
  <si>
    <t>Moumouni Garba</t>
  </si>
  <si>
    <t xml:space="preserve">Habiba Chaibou </t>
  </si>
  <si>
    <t>Chaibou Adamou</t>
  </si>
  <si>
    <t>Hanifa Maliki</t>
  </si>
  <si>
    <t xml:space="preserve"> Maliki Yahaya</t>
  </si>
  <si>
    <t>Kalifa Habibou</t>
  </si>
  <si>
    <t>Habibou Issa</t>
  </si>
  <si>
    <t>Kadidja Saley</t>
  </si>
  <si>
    <t>Salé Garba</t>
  </si>
  <si>
    <t>Kadidja Chapiou</t>
  </si>
  <si>
    <t>Chapiou Laouali</t>
  </si>
  <si>
    <t>Laritou Abdou</t>
  </si>
  <si>
    <t>Abdou Issa</t>
  </si>
  <si>
    <t>Mariama Mansour</t>
  </si>
  <si>
    <t>Mansour Garba</t>
  </si>
  <si>
    <t>Marliya Yahaya</t>
  </si>
  <si>
    <t>Yahaya Isoufou</t>
  </si>
  <si>
    <t>Nana Aicha Issaka</t>
  </si>
  <si>
    <t>Issaka Adamou</t>
  </si>
  <si>
    <t>Rabi Issaka</t>
  </si>
  <si>
    <t>Razina Abdoul Karim</t>
  </si>
  <si>
    <t>Abdoul Karim Moussa</t>
  </si>
  <si>
    <t>Samira Yacouba</t>
  </si>
  <si>
    <t>Yacouba Maman Laouali</t>
  </si>
  <si>
    <t>Soumaya Moussa</t>
  </si>
  <si>
    <t>Moussa Laouali</t>
  </si>
  <si>
    <t>Salaha Tsayabou</t>
  </si>
  <si>
    <t>Tsahirou Issa</t>
  </si>
  <si>
    <t>Tsayaba Laouali</t>
  </si>
  <si>
    <t>Laouali Garba</t>
  </si>
  <si>
    <t>Zeitouna Abdou</t>
  </si>
  <si>
    <t>Zeinabou Ousmane</t>
  </si>
  <si>
    <t>Ousma Dan Ali</t>
  </si>
  <si>
    <t>Zeinabou Aminou</t>
  </si>
  <si>
    <t>Aminou Harouna</t>
  </si>
  <si>
    <t>Zeinabou Yacoubou</t>
  </si>
  <si>
    <t>Yacoubou Issa</t>
  </si>
  <si>
    <t>Zoulfaou Abaché</t>
  </si>
  <si>
    <t>Abaché Harouna</t>
  </si>
  <si>
    <t xml:space="preserve">Code des écoles </t>
  </si>
  <si>
    <t>3è composition/10</t>
  </si>
  <si>
    <t>Base de donnée du programme Hilin Mu</t>
  </si>
  <si>
    <t xml:space="preserve">Niveau :CM2 </t>
  </si>
  <si>
    <t>Situation (fin d'annee scolaire 2022-2023)</t>
  </si>
  <si>
    <t>Moyenne Génerale /20</t>
  </si>
  <si>
    <t>Post-Test</t>
  </si>
  <si>
    <t xml:space="preserve">Pré-Test </t>
  </si>
  <si>
    <t>Code d'ecole</t>
  </si>
  <si>
    <t>3è composition</t>
  </si>
  <si>
    <t xml:space="preserve">BASE CONTRÔLE CM2 </t>
  </si>
  <si>
    <t xml:space="preserve">2022-2023 </t>
  </si>
  <si>
    <t>Mata Milki</t>
  </si>
  <si>
    <t xml:space="preserve">Aicha Inoussa </t>
  </si>
  <si>
    <t>Biba Abdou</t>
  </si>
  <si>
    <t xml:space="preserve">Balkissa Achirou </t>
  </si>
  <si>
    <t>Firdaoussi Ali</t>
  </si>
  <si>
    <t xml:space="preserve">Fatiha Abdoul Aziz </t>
  </si>
  <si>
    <t>Hanafiya Baraou</t>
  </si>
  <si>
    <t>Massa'ouda Sidi</t>
  </si>
  <si>
    <t>Malika Laouali</t>
  </si>
  <si>
    <t xml:space="preserve">Mariama Garba </t>
  </si>
  <si>
    <t xml:space="preserve">Nana Na'ima Tassiou </t>
  </si>
  <si>
    <t xml:space="preserve">Ousseina Issaka </t>
  </si>
  <si>
    <t>Rachida Abdou</t>
  </si>
  <si>
    <t xml:space="preserve">Ramatou Yacouba </t>
  </si>
  <si>
    <t>Safara'ou Ibrahim</t>
  </si>
  <si>
    <t xml:space="preserve">Safia Alassan </t>
  </si>
  <si>
    <t xml:space="preserve">Sabida Issaka </t>
  </si>
  <si>
    <t>Soumaya Amadou</t>
  </si>
  <si>
    <t>Soumaya Souley</t>
  </si>
  <si>
    <t xml:space="preserve">Salima Baraou </t>
  </si>
  <si>
    <t xml:space="preserve">Yassira Abdou </t>
  </si>
  <si>
    <t xml:space="preserve">Habsatou Ibrahim </t>
  </si>
  <si>
    <t xml:space="preserve">Inoussa </t>
  </si>
  <si>
    <t xml:space="preserve">Abdou </t>
  </si>
  <si>
    <t xml:space="preserve">Achirou </t>
  </si>
  <si>
    <t>Ali</t>
  </si>
  <si>
    <t xml:space="preserve">Abdoul Aziz </t>
  </si>
  <si>
    <t>Baraou</t>
  </si>
  <si>
    <t xml:space="preserve">Sidi </t>
  </si>
  <si>
    <t xml:space="preserve">Laouali </t>
  </si>
  <si>
    <t xml:space="preserve">Garba </t>
  </si>
  <si>
    <t xml:space="preserve">Tassiou </t>
  </si>
  <si>
    <t xml:space="preserve">Issaka </t>
  </si>
  <si>
    <t>Abdou</t>
  </si>
  <si>
    <t xml:space="preserve">Yacouba </t>
  </si>
  <si>
    <t>Ibrahim</t>
  </si>
  <si>
    <t xml:space="preserve">Alassan </t>
  </si>
  <si>
    <t xml:space="preserve">Amadou </t>
  </si>
  <si>
    <t>Souley</t>
  </si>
  <si>
    <t xml:space="preserve">END-LINE </t>
  </si>
  <si>
    <t xml:space="preserve">BASE-LINE </t>
  </si>
  <si>
    <t>Mathématique /20</t>
  </si>
  <si>
    <t>Français /20</t>
  </si>
  <si>
    <t xml:space="preserve">Moyenne Générale/40 </t>
  </si>
  <si>
    <t>Français/20</t>
  </si>
  <si>
    <t>Mathématique/20</t>
  </si>
  <si>
    <t>Moyenne Générale /40</t>
  </si>
  <si>
    <t>31/12/11 à Mata Mulki</t>
  </si>
  <si>
    <t>31/12/10  à Mata Mulki</t>
  </si>
  <si>
    <t>31/12/10 à Mata Mulki</t>
  </si>
  <si>
    <t xml:space="preserve">Azima Inoussa </t>
  </si>
  <si>
    <t xml:space="preserve">Dardiya Ousmane </t>
  </si>
  <si>
    <t>Habsatou Haladou</t>
  </si>
  <si>
    <t xml:space="preserve">Nana Firdaoussi Inoussa </t>
  </si>
  <si>
    <t>Roumma Oumarou</t>
  </si>
  <si>
    <t>Yasmina Sa'adou</t>
  </si>
  <si>
    <t xml:space="preserve">Zeinabou Sabiou </t>
  </si>
  <si>
    <t xml:space="preserve">Ousmane </t>
  </si>
  <si>
    <t>Haladou</t>
  </si>
  <si>
    <t xml:space="preserve">Sa'adou </t>
  </si>
  <si>
    <t xml:space="preserve">Sabiou </t>
  </si>
  <si>
    <t>Badariya Hachimou</t>
  </si>
  <si>
    <t xml:space="preserve">Nafissatou Boukari </t>
  </si>
  <si>
    <t>Ramatou Adamou</t>
  </si>
  <si>
    <t xml:space="preserve">Kadata </t>
  </si>
  <si>
    <t>Hachimou</t>
  </si>
  <si>
    <t>Boukari</t>
  </si>
  <si>
    <t>Adamou</t>
  </si>
  <si>
    <t>Nassaiba Yacoubou</t>
  </si>
  <si>
    <t>Yacoubou Ousmane</t>
  </si>
  <si>
    <t>Ramanatou Ma'azou</t>
  </si>
  <si>
    <t xml:space="preserve">Chappa'atou Illiassou </t>
  </si>
  <si>
    <t>Nadja'atou Oumarou</t>
  </si>
  <si>
    <t xml:space="preserve">Razina Mamane </t>
  </si>
  <si>
    <t xml:space="preserve">Hassana Sanoussi </t>
  </si>
  <si>
    <t xml:space="preserve">Louloubi </t>
  </si>
  <si>
    <t>Illiassou</t>
  </si>
  <si>
    <t>Mamane</t>
  </si>
  <si>
    <t>Sanoussi</t>
  </si>
  <si>
    <t xml:space="preserve">Code </t>
  </si>
  <si>
    <t xml:space="preserve">Barouana </t>
  </si>
  <si>
    <t xml:space="preserve">Mata Milki </t>
  </si>
  <si>
    <t>Mountarou 1</t>
  </si>
  <si>
    <t xml:space="preserve">Karambi Sofoua </t>
  </si>
  <si>
    <t xml:space="preserve">Amira Issaka </t>
  </si>
  <si>
    <t xml:space="preserve">Fadila Yaou </t>
  </si>
  <si>
    <t xml:space="preserve">Zahara'ou Zayya </t>
  </si>
  <si>
    <t xml:space="preserve">Mansoura Aboubacar </t>
  </si>
  <si>
    <t>Anissa Sani</t>
  </si>
  <si>
    <t xml:space="preserve">Yasmina Yaou </t>
  </si>
  <si>
    <t>Manira Sani</t>
  </si>
  <si>
    <t>Rafia Idi</t>
  </si>
  <si>
    <t xml:space="preserve">Nana Samira Sani Saidou </t>
  </si>
  <si>
    <t>Fatima Sani</t>
  </si>
  <si>
    <t xml:space="preserve">Haoua'ou Issaka </t>
  </si>
  <si>
    <t xml:space="preserve">Soumaya Zouladeini </t>
  </si>
  <si>
    <t xml:space="preserve">Badariya Salissou </t>
  </si>
  <si>
    <t xml:space="preserve">Zeinab Sani Idi </t>
  </si>
  <si>
    <t xml:space="preserve">Kadidja Ibrahim </t>
  </si>
  <si>
    <t xml:space="preserve">Mastoura Hassan </t>
  </si>
  <si>
    <t xml:space="preserve">Maryam Biniya </t>
  </si>
  <si>
    <t>Ya'ou</t>
  </si>
  <si>
    <t xml:space="preserve">Zayya </t>
  </si>
  <si>
    <t xml:space="preserve">Aboubacar </t>
  </si>
  <si>
    <t>Sani</t>
  </si>
  <si>
    <t>Yaou</t>
  </si>
  <si>
    <t>Idi</t>
  </si>
  <si>
    <t>Sani Saidou</t>
  </si>
  <si>
    <t>Zouladeini</t>
  </si>
  <si>
    <t>Salissou</t>
  </si>
  <si>
    <t>Sani Idi</t>
  </si>
  <si>
    <t xml:space="preserve">Hassan </t>
  </si>
  <si>
    <t xml:space="preserve">Biniya </t>
  </si>
  <si>
    <t xml:space="preserve">Matching 2023 CM2 </t>
  </si>
  <si>
    <t>Rakia Maman Nassirou</t>
  </si>
  <si>
    <t xml:space="preserve">Nisseifa Yacouba </t>
  </si>
  <si>
    <t xml:space="preserve">Soueba Kabirou </t>
  </si>
  <si>
    <t xml:space="preserve">Rahila Moustapha </t>
  </si>
  <si>
    <t xml:space="preserve">Mariama Mamouda </t>
  </si>
  <si>
    <t xml:space="preserve">Tsalouba Nouhou </t>
  </si>
  <si>
    <t xml:space="preserve">Ainaou Mahajourou </t>
  </si>
  <si>
    <t>Laouratou Abdoullahi</t>
  </si>
  <si>
    <t xml:space="preserve">Rachida Rabiou </t>
  </si>
  <si>
    <t>Azima Abdoul Moumouni</t>
  </si>
  <si>
    <t>Aicha Haladou</t>
  </si>
  <si>
    <t xml:space="preserve">Nisseiba Yacouba </t>
  </si>
  <si>
    <t>Safia Ma'azou</t>
  </si>
  <si>
    <t>Chamsiya Moutari</t>
  </si>
  <si>
    <t>Bachariya Halarou</t>
  </si>
  <si>
    <t xml:space="preserve">Souéba Yacouba </t>
  </si>
  <si>
    <t>Idrissa</t>
  </si>
  <si>
    <t>Maman Nassirou</t>
  </si>
  <si>
    <t>Kabirou</t>
  </si>
  <si>
    <t>Moustapha</t>
  </si>
  <si>
    <t>Mamouda</t>
  </si>
  <si>
    <t>Nouhou</t>
  </si>
  <si>
    <t>Mahajourou</t>
  </si>
  <si>
    <t>Abdoullahi</t>
  </si>
  <si>
    <t>Rabiou</t>
  </si>
  <si>
    <t>Abdoul Moumouni</t>
  </si>
  <si>
    <t>Moutari</t>
  </si>
  <si>
    <t>Halarou</t>
  </si>
  <si>
    <t xml:space="preserve">Ramatou Idrissa </t>
  </si>
  <si>
    <t xml:space="preserve">Site intervention </t>
  </si>
  <si>
    <t>Site contrôle</t>
  </si>
  <si>
    <t xml:space="preserve">Rouffa'atou Idrissa </t>
  </si>
  <si>
    <t>MOYENNE</t>
  </si>
  <si>
    <t>Français 20</t>
  </si>
  <si>
    <t>Mathématique /2O</t>
  </si>
  <si>
    <t xml:space="preserve">Année :2022-2023 </t>
  </si>
  <si>
    <t>Redouble</t>
  </si>
  <si>
    <t>Scolarité épuisée</t>
  </si>
  <si>
    <t>Abandon</t>
  </si>
  <si>
    <t>05/10/2010 à Louloubi</t>
  </si>
  <si>
    <t>03/10/2010 à Louloubi</t>
  </si>
  <si>
    <t>Vers 2OO9  à Louloubi</t>
  </si>
  <si>
    <t>Admise</t>
  </si>
  <si>
    <t>Suivi des filles pour le colege</t>
  </si>
  <si>
    <t xml:space="preserve">Actuellement au college </t>
  </si>
  <si>
    <t xml:space="preserve">Exode </t>
  </si>
  <si>
    <t>Transféré</t>
  </si>
  <si>
    <t xml:space="preserve">Abandon </t>
  </si>
  <si>
    <t xml:space="preserve">Transféré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</si>
</sst>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Arial Black"/>
      <family val="2"/>
    </font>
    <font>
      <sz val="11"/>
      <color theme="1"/>
      <name val="Arial Black"/>
      <family val="2"/>
    </font>
    <font>
      <sz val="12"/>
      <name val="Calibri"/>
      <scheme val="minor"/>
    </font>
    <font>
      <sz val="12"/>
      <color theme="1"/>
      <name val="Calibri"/>
      <scheme val="minor"/>
    </font>
    <font>
      <sz val="14"/>
      <color theme="1"/>
      <name val="Calibri"/>
      <family val="2"/>
      <scheme val="minor"/>
    </font>
    <font>
      <sz val="12"/>
      <color theme="1"/>
      <name val="Bahnschrift Condensed"/>
      <family val="2"/>
    </font>
    <font>
      <b/>
      <sz val="11"/>
      <color theme="1"/>
      <name val="Cambria"/>
      <family val="1"/>
      <scheme val="major"/>
    </font>
    <font>
      <b/>
      <sz val="14"/>
      <name val="Times New Roman"/>
      <family val="1"/>
    </font>
    <font>
      <sz val="14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Cambria"/>
      <family val="1"/>
      <scheme val="maj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4"/>
      <color theme="1"/>
      <name val="Cambria"/>
      <family val="1"/>
      <scheme val="maj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mbria"/>
      <family val="1"/>
      <scheme val="major"/>
    </font>
    <font>
      <b/>
      <sz val="11"/>
      <color theme="1"/>
      <name val="Times New Roman"/>
      <family val="1"/>
    </font>
    <font>
      <b/>
      <sz val="11"/>
      <color theme="1"/>
      <name val="Arial Black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3" fillId="0" borderId="1" xfId="0" applyFont="1" applyBorder="1"/>
    <xf numFmtId="14" fontId="3" fillId="0" borderId="1" xfId="0" applyNumberFormat="1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14" fontId="4" fillId="0" borderId="1" xfId="0" applyNumberFormat="1" applyFont="1" applyBorder="1" applyAlignment="1">
      <alignment horizontal="left" vertical="top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4" fillId="0" borderId="1" xfId="0" applyFont="1" applyBorder="1" applyAlignment="1">
      <alignment horizontal="right"/>
    </xf>
    <xf numFmtId="0" fontId="3" fillId="0" borderId="4" xfId="0" applyFont="1" applyBorder="1"/>
    <xf numFmtId="0" fontId="4" fillId="0" borderId="4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10" fillId="3" borderId="1" xfId="0" applyFont="1" applyFill="1" applyBorder="1" applyAlignment="1">
      <alignment horizontal="left" textRotation="45" wrapText="1"/>
    </xf>
    <xf numFmtId="0" fontId="10" fillId="2" borderId="0" xfId="0" applyFont="1" applyFill="1" applyAlignment="1">
      <alignment horizontal="left" textRotation="45" wrapText="1"/>
    </xf>
    <xf numFmtId="0" fontId="10" fillId="2" borderId="3" xfId="0" applyFont="1" applyFill="1" applyBorder="1" applyAlignment="1">
      <alignment horizontal="left" textRotation="45" wrapText="1"/>
    </xf>
    <xf numFmtId="0" fontId="10" fillId="2" borderId="1" xfId="0" applyFont="1" applyFill="1" applyBorder="1" applyAlignment="1">
      <alignment horizontal="left" textRotation="45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9" fillId="0" borderId="0" xfId="0" applyFont="1"/>
    <xf numFmtId="0" fontId="10" fillId="3" borderId="4" xfId="0" applyFont="1" applyFill="1" applyBorder="1" applyAlignment="1">
      <alignment horizontal="left" textRotation="45" wrapText="1"/>
    </xf>
    <xf numFmtId="0" fontId="10" fillId="3" borderId="6" xfId="0" applyFont="1" applyFill="1" applyBorder="1" applyAlignment="1">
      <alignment horizontal="left" textRotation="45" wrapText="1"/>
    </xf>
    <xf numFmtId="0" fontId="4" fillId="4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0" fillId="2" borderId="0" xfId="0" applyFill="1"/>
    <xf numFmtId="0" fontId="4" fillId="5" borderId="1" xfId="0" applyFont="1" applyFill="1" applyBorder="1" applyAlignment="1">
      <alignment textRotation="45" wrapText="1"/>
    </xf>
    <xf numFmtId="0" fontId="4" fillId="5" borderId="1" xfId="0" applyFont="1" applyFill="1" applyBorder="1" applyAlignment="1">
      <alignment horizontal="center" textRotation="45" wrapText="1"/>
    </xf>
    <xf numFmtId="0" fontId="4" fillId="2" borderId="1" xfId="0" applyFont="1" applyFill="1" applyBorder="1" applyAlignment="1">
      <alignment horizontal="center"/>
    </xf>
    <xf numFmtId="0" fontId="16" fillId="0" borderId="1" xfId="0" applyFont="1" applyBorder="1"/>
    <xf numFmtId="0" fontId="16" fillId="0" borderId="0" xfId="0" applyFont="1"/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/>
    <xf numFmtId="0" fontId="19" fillId="0" borderId="0" xfId="0" applyFont="1"/>
    <xf numFmtId="0" fontId="4" fillId="0" borderId="1" xfId="0" applyFont="1" applyBorder="1" applyAlignment="1">
      <alignment horizontal="center" wrapText="1"/>
    </xf>
    <xf numFmtId="0" fontId="20" fillId="0" borderId="0" xfId="0" applyFont="1"/>
    <xf numFmtId="14" fontId="4" fillId="2" borderId="1" xfId="0" applyNumberFormat="1" applyFont="1" applyFill="1" applyBorder="1" applyAlignment="1">
      <alignment horizontal="left"/>
    </xf>
    <xf numFmtId="0" fontId="4" fillId="0" borderId="10" xfId="0" applyFont="1" applyBorder="1"/>
    <xf numFmtId="0" fontId="4" fillId="0" borderId="10" xfId="0" applyFont="1" applyBorder="1" applyAlignment="1">
      <alignment horizontal="left"/>
    </xf>
    <xf numFmtId="14" fontId="4" fillId="0" borderId="10" xfId="0" applyNumberFormat="1" applyFont="1" applyBorder="1" applyAlignment="1">
      <alignment horizontal="left"/>
    </xf>
    <xf numFmtId="0" fontId="4" fillId="0" borderId="10" xfId="0" applyFont="1" applyBorder="1" applyAlignment="1">
      <alignment horizontal="right"/>
    </xf>
    <xf numFmtId="0" fontId="7" fillId="5" borderId="4" xfId="0" applyFont="1" applyFill="1" applyBorder="1" applyAlignment="1">
      <alignment textRotation="45" wrapText="1"/>
    </xf>
    <xf numFmtId="0" fontId="4" fillId="6" borderId="4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6" borderId="10" xfId="0" applyFont="1" applyFill="1" applyBorder="1" applyAlignment="1">
      <alignment horizontal="left"/>
    </xf>
    <xf numFmtId="0" fontId="4" fillId="7" borderId="4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4" fillId="7" borderId="10" xfId="0" applyFont="1" applyFill="1" applyBorder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0" fillId="3" borderId="1" xfId="0" applyFont="1" applyFill="1" applyBorder="1" applyAlignment="1">
      <alignment horizontal="left" textRotation="45"/>
    </xf>
    <xf numFmtId="0" fontId="11" fillId="0" borderId="1" xfId="0" applyFont="1" applyBorder="1"/>
    <xf numFmtId="0" fontId="11" fillId="2" borderId="1" xfId="0" applyFont="1" applyFill="1" applyBorder="1" applyAlignment="1">
      <alignment wrapText="1"/>
    </xf>
    <xf numFmtId="0" fontId="1" fillId="0" borderId="0" xfId="0" applyFont="1"/>
    <xf numFmtId="0" fontId="21" fillId="8" borderId="10" xfId="0" applyFont="1" applyFill="1" applyBorder="1"/>
    <xf numFmtId="0" fontId="21" fillId="8" borderId="10" xfId="0" applyFont="1" applyFill="1" applyBorder="1" applyAlignment="1">
      <alignment horizontal="left"/>
    </xf>
    <xf numFmtId="0" fontId="21" fillId="8" borderId="10" xfId="0" applyNumberFormat="1" applyFont="1" applyFill="1" applyBorder="1" applyAlignment="1">
      <alignment horizontal="left"/>
    </xf>
    <xf numFmtId="0" fontId="21" fillId="8" borderId="10" xfId="0" applyFont="1" applyFill="1" applyBorder="1" applyAlignment="1"/>
    <xf numFmtId="0" fontId="23" fillId="8" borderId="1" xfId="0" applyFont="1" applyFill="1" applyBorder="1" applyAlignment="1">
      <alignment horizontal="center"/>
    </xf>
    <xf numFmtId="0" fontId="23" fillId="8" borderId="1" xfId="0" applyFont="1" applyFill="1" applyBorder="1"/>
    <xf numFmtId="0" fontId="24" fillId="0" borderId="1" xfId="0" applyFont="1" applyBorder="1"/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1" fillId="0" borderId="2" xfId="0" applyFont="1" applyBorder="1"/>
    <xf numFmtId="0" fontId="11" fillId="2" borderId="2" xfId="0" applyFont="1" applyFill="1" applyBorder="1" applyAlignment="1">
      <alignment wrapText="1"/>
    </xf>
    <xf numFmtId="0" fontId="25" fillId="0" borderId="0" xfId="0" applyFont="1"/>
    <xf numFmtId="0" fontId="26" fillId="0" borderId="0" xfId="0" applyFont="1"/>
    <xf numFmtId="0" fontId="21" fillId="5" borderId="4" xfId="0" applyFont="1" applyFill="1" applyBorder="1" applyAlignment="1">
      <alignment textRotation="45" wrapText="1"/>
    </xf>
    <xf numFmtId="0" fontId="21" fillId="0" borderId="1" xfId="0" applyFont="1" applyBorder="1"/>
    <xf numFmtId="0" fontId="22" fillId="0" borderId="1" xfId="0" applyFont="1" applyBorder="1"/>
    <xf numFmtId="0" fontId="17" fillId="0" borderId="0" xfId="0" applyFont="1"/>
    <xf numFmtId="0" fontId="1" fillId="0" borderId="4" xfId="0" applyFont="1" applyBorder="1" applyAlignment="1">
      <alignment wrapText="1"/>
    </xf>
    <xf numFmtId="0" fontId="1" fillId="0" borderId="1" xfId="0" applyFont="1" applyBorder="1" applyAlignment="1"/>
    <xf numFmtId="0" fontId="0" fillId="0" borderId="0" xfId="0" applyFill="1"/>
    <xf numFmtId="0" fontId="13" fillId="0" borderId="0" xfId="0" applyFont="1" applyFill="1" applyAlignment="1">
      <alignment horizontal="center"/>
    </xf>
    <xf numFmtId="0" fontId="4" fillId="0" borderId="4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8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0" fontId="21" fillId="0" borderId="1" xfId="0" applyFont="1" applyFill="1" applyBorder="1" applyAlignment="1">
      <alignment horizontal="left"/>
    </xf>
    <xf numFmtId="0" fontId="22" fillId="0" borderId="1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3" borderId="1" xfId="0" applyFont="1" applyFill="1" applyBorder="1" applyAlignment="1">
      <alignment textRotation="45" wrapText="1"/>
    </xf>
    <xf numFmtId="0" fontId="0" fillId="3" borderId="0" xfId="0" applyFont="1" applyFill="1" applyBorder="1" applyAlignment="1">
      <alignment textRotation="45" wrapText="1"/>
    </xf>
    <xf numFmtId="0" fontId="0" fillId="0" borderId="0" xfId="0" applyFont="1"/>
    <xf numFmtId="0" fontId="21" fillId="0" borderId="1" xfId="0" applyFont="1" applyFill="1" applyBorder="1" applyAlignment="1">
      <alignment horizontal="center"/>
    </xf>
    <xf numFmtId="0" fontId="1" fillId="0" borderId="1" xfId="0" applyFont="1" applyFill="1" applyBorder="1"/>
    <xf numFmtId="0" fontId="1" fillId="0" borderId="1" xfId="0" applyFont="1" applyFill="1" applyBorder="1" applyAlignment="1">
      <alignment wrapText="1"/>
    </xf>
    <xf numFmtId="0" fontId="1" fillId="0" borderId="0" xfId="0" applyFont="1" applyFill="1"/>
  </cellXfs>
  <cellStyles count="1">
    <cellStyle name="Normal" xfId="0" builtinId="0"/>
  </cellStyles>
  <dxfs count="52">
    <dxf>
      <font>
        <b/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minor"/>
      </font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fill>
        <patternFill patternType="solid">
          <fgColor indexed="64"/>
          <bgColor theme="5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fill>
        <patternFill>
          <fgColor indexed="64"/>
          <bgColor theme="7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 tint="-0.499984740745262"/>
        </patternFill>
      </fill>
      <alignment vertical="bottom" textRotation="45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.CM2/SUIVI-EVALUATION/SE%202022/PHASE%20PILOTE/Base%20de%20donn&#233;e%20Phase%20pilote%20CM1.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 Base de donnée Intervention"/>
      <sheetName val="Base de donnée Phase pilote CM1"/>
    </sheetNames>
    <sheetDataSet>
      <sheetData sheetId="0"/>
      <sheetData sheetId="1" refreshError="1"/>
    </sheetDataSet>
  </externalBook>
</externalLink>
</file>

<file path=xl/tables/table1.xml><?xml version="1.0" encoding="utf-8"?>
<table xmlns="http://schemas.openxmlformats.org/spreadsheetml/2006/main" id="1" name="Tableau2" displayName="Tableau2" ref="A5:V62" totalsRowShown="0" headerRowDxfId="51" dataDxfId="49" totalsRowDxfId="47" headerRowBorderDxfId="50" tableBorderDxfId="48" totalsRowBorderDxfId="46">
  <autoFilter ref="A5:V62">
    <filterColumn colId="21">
      <filters>
        <filter val="Abandon"/>
        <filter val="Exode"/>
        <filter val="Transféré"/>
      </filters>
    </filterColumn>
  </autoFilter>
  <tableColumns count="22">
    <tableColumn id="62" name="Ecole " dataDxfId="45" totalsRowDxfId="44"/>
    <tableColumn id="3" name="Nom et Prénom" dataDxfId="43" totalsRowDxfId="42"/>
    <tableColumn id="4" name="Date et lieu de naissance" dataDxfId="41" totalsRowDxfId="40"/>
    <tableColumn id="5" name="Nom et prénom du père" dataDxfId="39" totalsRowDxfId="38"/>
    <tableColumn id="6" name="Nom de la commune " dataDxfId="37" totalsRowDxfId="36"/>
    <tableColumn id="7" name="Nombre des filles " dataDxfId="35" totalsRowDxfId="34"/>
    <tableColumn id="56" name="Annee d'inscription au programme" dataDxfId="33" totalsRowDxfId="32"/>
    <tableColumn id="57" name="Code d'ecole" dataDxfId="31" totalsRowDxfId="30"/>
    <tableColumn id="59" name="Numero HM de la fille" dataDxfId="29" totalsRowDxfId="28"/>
    <tableColumn id="60" name="Identifiant Unique" dataDxfId="27" totalsRowDxfId="26">
      <calculatedColumnFormula>Tableau2[[#This Row],[Annee d''inscription au programme]]&amp;"-"&amp;Tableau2[[#This Row],[Code d''ecole]]&amp;"-"&amp;Tableau2[[#This Row],[Numero HM de la fille]]</calculatedColumnFormula>
    </tableColumn>
    <tableColumn id="14" name="Français /20" dataDxfId="25" totalsRowDxfId="24"/>
    <tableColumn id="13" name="Mathématique /20" dataDxfId="23" totalsRowDxfId="22"/>
    <tableColumn id="9" name="Moyenne Générale/40 " dataDxfId="21" totalsRowDxfId="20">
      <calculatedColumnFormula>AVERAGE(Tableau2[[#This Row],[Français /20]]+Tableau2[[#This Row],[Mathématique /20]])/2</calculatedColumnFormula>
    </tableColumn>
    <tableColumn id="8" name="Français/20" dataDxfId="19" totalsRowDxfId="18"/>
    <tableColumn id="2" name="Mathématique/20" dataDxfId="17" totalsRowDxfId="16"/>
    <tableColumn id="1" name="Moyenne Générale /40" dataDxfId="15">
      <calculatedColumnFormula>AVERAGE(Tableau2[[#This Row],[Français/20]]+Tableau2[[#This Row],[Mathématique/20]])/2</calculatedColumnFormula>
    </tableColumn>
    <tableColumn id="11" name="1ère composition/10" dataDxfId="14" totalsRowDxfId="13"/>
    <tableColumn id="10" name="2è composition/10" dataDxfId="12" totalsRowDxfId="11"/>
    <tableColumn id="12" name="3è composition" dataDxfId="10" totalsRowDxfId="9"/>
    <tableColumn id="54" name="Moyenne générale" dataDxfId="8" totalsRowDxfId="7">
      <calculatedColumnFormula>AVERAGE(Q6+R6+S6)/3</calculatedColumnFormula>
    </tableColumn>
    <tableColumn id="15" name="Situation (fin d'annee scolaire 2022-2023)" dataDxfId="1" totalsRowDxfId="6"/>
    <tableColumn id="16" name="Suivi des filles pour le colege" dataDxfId="0" totalsRowDxfId="2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NV402"/>
  <sheetViews>
    <sheetView topLeftCell="Q1" workbookViewId="0">
      <selection activeCell="V7" sqref="V7"/>
    </sheetView>
  </sheetViews>
  <sheetFormatPr baseColWidth="10" defaultRowHeight="15" x14ac:dyDescent="0.25"/>
  <cols>
    <col min="1" max="1" width="17.140625" customWidth="1"/>
    <col min="2" max="2" width="24.85546875" customWidth="1"/>
    <col min="3" max="3" width="24" customWidth="1"/>
    <col min="4" max="4" width="21.5703125" customWidth="1"/>
    <col min="5" max="5" width="12.7109375" customWidth="1"/>
    <col min="6" max="6" width="9.7109375" customWidth="1"/>
    <col min="7" max="7" width="15.42578125" customWidth="1"/>
    <col min="8" max="8" width="8.5703125" customWidth="1"/>
    <col min="9" max="9" width="8.7109375" customWidth="1"/>
    <col min="10" max="10" width="8.85546875" hidden="1" customWidth="1"/>
    <col min="11" max="11" width="8.85546875" customWidth="1"/>
    <col min="12" max="12" width="8.28515625" customWidth="1"/>
    <col min="13" max="13" width="10.140625" customWidth="1"/>
    <col min="14" max="14" width="9.85546875" customWidth="1"/>
    <col min="15" max="15" width="11.28515625" customWidth="1"/>
    <col min="16" max="16" width="12.28515625" style="93" customWidth="1"/>
    <col min="17" max="17" width="12.5703125" style="93" customWidth="1"/>
    <col min="18" max="18" width="12" style="93" customWidth="1"/>
    <col min="19" max="19" width="12.5703125" style="93" customWidth="1"/>
    <col min="20" max="20" width="15.85546875" style="93" customWidth="1"/>
    <col min="21" max="21" width="18.85546875" customWidth="1"/>
    <col min="22" max="22" width="25.7109375" style="64" customWidth="1"/>
  </cols>
  <sheetData>
    <row r="1" spans="1:1062" ht="18.75" x14ac:dyDescent="0.3">
      <c r="A1" s="22" t="s">
        <v>155</v>
      </c>
      <c r="B1" s="23"/>
    </row>
    <row r="2" spans="1:1062" ht="18.75" x14ac:dyDescent="0.4">
      <c r="A2" s="9" t="s">
        <v>156</v>
      </c>
      <c r="B2" s="10"/>
    </row>
    <row r="3" spans="1:1062" ht="15.75" x14ac:dyDescent="0.25">
      <c r="A3" s="21" t="s">
        <v>314</v>
      </c>
      <c r="B3" s="21"/>
      <c r="C3" s="2"/>
    </row>
    <row r="4" spans="1:1062" s="24" customFormat="1" ht="18.75" x14ac:dyDescent="0.3">
      <c r="C4" s="23" t="s">
        <v>0</v>
      </c>
      <c r="D4" s="23"/>
      <c r="E4" s="23"/>
      <c r="F4" s="23"/>
      <c r="G4" s="23"/>
      <c r="H4" s="23"/>
      <c r="I4" s="23"/>
      <c r="J4" s="23"/>
      <c r="K4" s="72" t="s">
        <v>160</v>
      </c>
      <c r="L4" s="73"/>
      <c r="M4" s="74"/>
      <c r="N4" s="72" t="s">
        <v>159</v>
      </c>
      <c r="O4" s="73"/>
      <c r="P4" s="74"/>
      <c r="Q4" s="94"/>
      <c r="R4" s="94"/>
      <c r="S4" s="94"/>
      <c r="T4" s="94"/>
      <c r="V4" s="90"/>
    </row>
    <row r="5" spans="1:1062" s="106" customFormat="1" ht="60.75" customHeight="1" x14ac:dyDescent="0.25">
      <c r="A5" s="17" t="s">
        <v>3</v>
      </c>
      <c r="B5" s="61" t="s">
        <v>4</v>
      </c>
      <c r="C5" s="17" t="s">
        <v>5</v>
      </c>
      <c r="D5" s="17" t="s">
        <v>6</v>
      </c>
      <c r="E5" s="17" t="s">
        <v>7</v>
      </c>
      <c r="F5" s="17" t="s">
        <v>8</v>
      </c>
      <c r="G5" s="17" t="s">
        <v>9</v>
      </c>
      <c r="H5" s="17" t="s">
        <v>153</v>
      </c>
      <c r="I5" s="17" t="s">
        <v>10</v>
      </c>
      <c r="J5" s="17" t="s">
        <v>11</v>
      </c>
      <c r="K5" s="17" t="s">
        <v>207</v>
      </c>
      <c r="L5" s="17" t="s">
        <v>210</v>
      </c>
      <c r="M5" s="17" t="s">
        <v>158</v>
      </c>
      <c r="N5" s="25" t="s">
        <v>312</v>
      </c>
      <c r="O5" s="25" t="s">
        <v>313</v>
      </c>
      <c r="P5" s="26" t="s">
        <v>158</v>
      </c>
      <c r="Q5" s="17" t="s">
        <v>12</v>
      </c>
      <c r="R5" s="17" t="s">
        <v>13</v>
      </c>
      <c r="S5" s="17" t="s">
        <v>154</v>
      </c>
      <c r="T5" s="17" t="s">
        <v>14</v>
      </c>
      <c r="U5" s="104" t="s">
        <v>157</v>
      </c>
      <c r="V5" s="105" t="s">
        <v>322</v>
      </c>
    </row>
    <row r="6" spans="1:1062" s="21" customFormat="1" ht="15.75" hidden="1" x14ac:dyDescent="0.25">
      <c r="A6" s="13" t="s">
        <v>15</v>
      </c>
      <c r="B6" s="14" t="s">
        <v>16</v>
      </c>
      <c r="C6" s="14" t="s">
        <v>17</v>
      </c>
      <c r="D6" s="14" t="s">
        <v>18</v>
      </c>
      <c r="E6" s="14" t="s">
        <v>19</v>
      </c>
      <c r="F6" s="30">
        <v>1</v>
      </c>
      <c r="G6" s="30">
        <v>2022</v>
      </c>
      <c r="H6" s="30">
        <v>1</v>
      </c>
      <c r="I6" s="30">
        <v>1</v>
      </c>
      <c r="J6" s="27" t="e">
        <f>[1]!Tableau2[[#This Row],[Annee d''inscription au programme]]&amp;"-"&amp;[1]!Tableau2[[#This Row],[Code d''ecole]]&amp;"-"&amp;[1]!Tableau2[[#This Row],[Numero HM de la fille]]</f>
        <v>#REF!</v>
      </c>
      <c r="K6" s="14">
        <v>2.5</v>
      </c>
      <c r="L6" s="14">
        <v>3.5</v>
      </c>
      <c r="M6" s="95">
        <f>SUM(K6+L6)/2</f>
        <v>3</v>
      </c>
      <c r="N6" s="14">
        <v>11.5</v>
      </c>
      <c r="O6" s="14">
        <v>16</v>
      </c>
      <c r="P6" s="95">
        <f>SUM(N6+O6)/2</f>
        <v>13.75</v>
      </c>
      <c r="Q6" s="96">
        <v>2.08</v>
      </c>
      <c r="R6" s="96">
        <v>1.72</v>
      </c>
      <c r="S6" s="96">
        <v>1.61</v>
      </c>
      <c r="T6" s="96">
        <f>AVERAGE(Q6+R6+S6)/3</f>
        <v>1.8033333333333335</v>
      </c>
      <c r="U6" s="83" t="s">
        <v>315</v>
      </c>
      <c r="V6" s="91"/>
    </row>
    <row r="7" spans="1:1062" s="17" customFormat="1" ht="16.5" hidden="1" customHeight="1" x14ac:dyDescent="0.25">
      <c r="A7" s="5" t="s">
        <v>15</v>
      </c>
      <c r="B7" s="4" t="s">
        <v>20</v>
      </c>
      <c r="C7" s="4" t="s">
        <v>21</v>
      </c>
      <c r="D7" s="4" t="s">
        <v>22</v>
      </c>
      <c r="E7" s="4" t="s">
        <v>19</v>
      </c>
      <c r="F7" s="31">
        <v>2</v>
      </c>
      <c r="G7" s="31">
        <v>2022</v>
      </c>
      <c r="H7" s="31">
        <v>1</v>
      </c>
      <c r="I7" s="31">
        <v>2</v>
      </c>
      <c r="J7" s="27" t="e">
        <f>[1]!Tableau2[[#This Row],[Annee d''inscription au programme]]&amp;"-"&amp;[1]!Tableau2[[#This Row],[Code d''ecole]]&amp;"-"&amp;[1]!Tableau2[[#This Row],[Numero HM de la fille]]</f>
        <v>#REF!</v>
      </c>
      <c r="K7" s="4">
        <v>7</v>
      </c>
      <c r="L7" s="4">
        <v>4.5</v>
      </c>
      <c r="M7" s="95">
        <f>SUM(K7+L7)/2</f>
        <v>5.75</v>
      </c>
      <c r="N7" s="4">
        <v>14.5</v>
      </c>
      <c r="O7" s="14">
        <v>12.5</v>
      </c>
      <c r="P7" s="95">
        <f t="shared" ref="P7:P67" si="0">SUM(N7+O7)/2</f>
        <v>13.5</v>
      </c>
      <c r="Q7" s="97">
        <v>4.1100000000000003</v>
      </c>
      <c r="R7" s="97">
        <v>3.03</v>
      </c>
      <c r="S7" s="97">
        <v>7.85</v>
      </c>
      <c r="T7" s="96">
        <f t="shared" ref="T7:T67" si="1">AVERAGE(Q7+R7+S7)/3</f>
        <v>4.996666666666667</v>
      </c>
      <c r="U7" s="84" t="s">
        <v>321</v>
      </c>
      <c r="V7" s="92" t="s">
        <v>323</v>
      </c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  <c r="IX7" s="18"/>
      <c r="IY7" s="18"/>
      <c r="IZ7" s="18"/>
      <c r="JA7" s="18"/>
      <c r="JB7" s="18"/>
      <c r="JC7" s="18"/>
      <c r="JD7" s="18"/>
      <c r="JE7" s="18"/>
      <c r="JF7" s="18"/>
      <c r="JG7" s="18"/>
      <c r="JH7" s="18"/>
      <c r="JI7" s="18"/>
      <c r="JJ7" s="18"/>
      <c r="JK7" s="18"/>
      <c r="JL7" s="18"/>
      <c r="JM7" s="18"/>
      <c r="JN7" s="18"/>
      <c r="JO7" s="18"/>
      <c r="JP7" s="18"/>
      <c r="JQ7" s="18"/>
      <c r="JR7" s="18"/>
      <c r="JS7" s="18"/>
      <c r="JT7" s="18"/>
      <c r="JU7" s="19"/>
      <c r="JV7" s="20"/>
      <c r="JW7" s="20"/>
      <c r="JX7" s="20"/>
      <c r="JY7" s="20"/>
      <c r="JZ7" s="20"/>
      <c r="KA7" s="20"/>
      <c r="KB7" s="20"/>
      <c r="KC7" s="20"/>
      <c r="KD7" s="20"/>
      <c r="KE7" s="20"/>
      <c r="KF7" s="20"/>
      <c r="KG7" s="20"/>
      <c r="KH7" s="20"/>
      <c r="KI7" s="20"/>
      <c r="KJ7" s="20"/>
      <c r="KK7" s="20"/>
      <c r="KL7" s="20"/>
      <c r="KM7" s="20"/>
      <c r="KN7" s="20"/>
      <c r="KO7" s="20"/>
      <c r="KP7" s="20"/>
      <c r="KQ7" s="20"/>
      <c r="KR7" s="20"/>
      <c r="KS7" s="20"/>
      <c r="KT7" s="20"/>
      <c r="KU7" s="20"/>
      <c r="KV7" s="20"/>
      <c r="KW7" s="20"/>
      <c r="KX7" s="20"/>
      <c r="KY7" s="20"/>
      <c r="KZ7" s="20"/>
      <c r="LA7" s="20"/>
      <c r="LB7" s="20"/>
      <c r="LC7" s="20"/>
      <c r="LD7" s="20"/>
      <c r="LE7" s="20"/>
      <c r="LF7" s="20"/>
      <c r="LG7" s="20"/>
      <c r="LH7" s="20"/>
      <c r="LI7" s="20"/>
      <c r="LJ7" s="20"/>
      <c r="LK7" s="20"/>
      <c r="LL7" s="20"/>
      <c r="LM7" s="20"/>
      <c r="LN7" s="20"/>
      <c r="LO7" s="20"/>
      <c r="LP7" s="20"/>
      <c r="LQ7" s="20"/>
      <c r="LR7" s="20"/>
      <c r="LS7" s="20"/>
      <c r="LT7" s="20"/>
      <c r="LU7" s="20"/>
      <c r="LV7" s="20"/>
      <c r="LW7" s="20"/>
      <c r="LX7" s="20"/>
      <c r="LY7" s="20"/>
      <c r="LZ7" s="20"/>
      <c r="MA7" s="20"/>
      <c r="MB7" s="20"/>
      <c r="MC7" s="20"/>
      <c r="MD7" s="20"/>
      <c r="ME7" s="20"/>
      <c r="MF7" s="20"/>
      <c r="MG7" s="20"/>
      <c r="MH7" s="20"/>
      <c r="MI7" s="20"/>
      <c r="MJ7" s="20"/>
      <c r="MK7" s="20"/>
      <c r="ML7" s="20"/>
      <c r="MM7" s="20"/>
      <c r="MN7" s="20"/>
      <c r="MO7" s="20"/>
      <c r="MP7" s="20"/>
      <c r="MQ7" s="20"/>
      <c r="MR7" s="20"/>
      <c r="MS7" s="20"/>
      <c r="MT7" s="20"/>
      <c r="MU7" s="20"/>
      <c r="MV7" s="20"/>
      <c r="MW7" s="20"/>
      <c r="MX7" s="20"/>
      <c r="MY7" s="20"/>
      <c r="MZ7" s="20"/>
      <c r="NA7" s="20"/>
      <c r="NB7" s="20"/>
      <c r="NC7" s="20"/>
      <c r="ND7" s="20"/>
      <c r="NE7" s="20"/>
      <c r="NF7" s="20"/>
      <c r="NG7" s="20"/>
      <c r="NH7" s="20"/>
      <c r="NI7" s="20"/>
      <c r="NJ7" s="20"/>
      <c r="NK7" s="20"/>
      <c r="NL7" s="20"/>
      <c r="NM7" s="20"/>
      <c r="NN7" s="20"/>
      <c r="NO7" s="20"/>
      <c r="NP7" s="20"/>
      <c r="NQ7" s="20"/>
      <c r="NR7" s="20"/>
      <c r="NS7" s="20"/>
      <c r="NT7" s="20"/>
      <c r="NU7" s="20"/>
      <c r="NV7" s="20"/>
      <c r="NW7" s="20"/>
      <c r="NX7" s="20"/>
      <c r="NY7" s="20"/>
      <c r="NZ7" s="20"/>
      <c r="OA7" s="20"/>
      <c r="OB7" s="20"/>
      <c r="OC7" s="20"/>
      <c r="OD7" s="20"/>
      <c r="OE7" s="20"/>
      <c r="OF7" s="20"/>
      <c r="OG7" s="20"/>
      <c r="OH7" s="20"/>
      <c r="OI7" s="20"/>
      <c r="OJ7" s="20"/>
      <c r="OK7" s="20"/>
      <c r="OL7" s="20"/>
      <c r="OM7" s="20"/>
      <c r="ON7" s="20"/>
      <c r="OO7" s="20"/>
      <c r="OP7" s="20"/>
      <c r="OQ7" s="20"/>
      <c r="OR7" s="20"/>
      <c r="OS7" s="20"/>
      <c r="OT7" s="20"/>
      <c r="OU7" s="20"/>
      <c r="OV7" s="20"/>
      <c r="OW7" s="20"/>
      <c r="OX7" s="20"/>
      <c r="OY7" s="20"/>
      <c r="OZ7" s="20"/>
      <c r="PA7" s="20"/>
      <c r="PB7" s="20"/>
      <c r="PC7" s="20"/>
      <c r="PD7" s="20"/>
      <c r="PE7" s="20"/>
      <c r="PF7" s="20"/>
      <c r="PG7" s="20"/>
      <c r="PH7" s="20"/>
      <c r="PI7" s="20"/>
      <c r="PJ7" s="20"/>
      <c r="PK7" s="20"/>
      <c r="PL7" s="20"/>
      <c r="PM7" s="20"/>
      <c r="PN7" s="20"/>
      <c r="PO7" s="20"/>
      <c r="PP7" s="20"/>
      <c r="PQ7" s="20"/>
      <c r="PR7" s="20"/>
      <c r="PS7" s="20"/>
      <c r="PT7" s="20"/>
      <c r="PU7" s="20"/>
      <c r="PV7" s="20"/>
      <c r="PW7" s="20"/>
      <c r="PX7" s="20"/>
      <c r="PY7" s="20"/>
      <c r="PZ7" s="20"/>
      <c r="QA7" s="20"/>
      <c r="QB7" s="20"/>
      <c r="QC7" s="20"/>
      <c r="QD7" s="20"/>
      <c r="QE7" s="20"/>
      <c r="QF7" s="20"/>
      <c r="QG7" s="20"/>
      <c r="QH7" s="20"/>
      <c r="QI7" s="20"/>
      <c r="QJ7" s="20"/>
      <c r="QK7" s="20"/>
      <c r="QL7" s="20"/>
      <c r="QM7" s="20"/>
      <c r="QN7" s="20"/>
      <c r="QO7" s="20"/>
      <c r="QP7" s="20"/>
      <c r="QQ7" s="20"/>
      <c r="QR7" s="20"/>
      <c r="QS7" s="20"/>
      <c r="QT7" s="20"/>
      <c r="QU7" s="20"/>
      <c r="QV7" s="20"/>
      <c r="QW7" s="20"/>
      <c r="QX7" s="20"/>
      <c r="QY7" s="20"/>
      <c r="QZ7" s="20"/>
      <c r="RA7" s="20"/>
      <c r="RB7" s="20"/>
      <c r="RC7" s="20"/>
      <c r="RD7" s="20"/>
      <c r="RE7" s="20"/>
      <c r="RF7" s="20"/>
      <c r="RG7" s="20"/>
      <c r="RH7" s="20"/>
      <c r="RI7" s="20"/>
      <c r="RJ7" s="20"/>
      <c r="RK7" s="20"/>
      <c r="RL7" s="20"/>
      <c r="RM7" s="20"/>
      <c r="RN7" s="20"/>
      <c r="RO7" s="20"/>
      <c r="RP7" s="20"/>
      <c r="RQ7" s="20"/>
      <c r="RR7" s="20"/>
      <c r="RS7" s="20"/>
      <c r="RT7" s="20"/>
      <c r="RU7" s="20"/>
      <c r="RV7" s="20"/>
      <c r="RW7" s="20"/>
      <c r="RX7" s="20"/>
      <c r="RY7" s="20"/>
      <c r="RZ7" s="20"/>
      <c r="SA7" s="20"/>
      <c r="SB7" s="20"/>
      <c r="SC7" s="20"/>
      <c r="SD7" s="20"/>
      <c r="SE7" s="20"/>
      <c r="SF7" s="20"/>
      <c r="SG7" s="20"/>
      <c r="SH7" s="20"/>
      <c r="SI7" s="20"/>
      <c r="SJ7" s="20"/>
      <c r="SK7" s="20"/>
      <c r="SL7" s="20"/>
      <c r="SM7" s="20"/>
      <c r="SN7" s="20"/>
      <c r="SO7" s="20"/>
      <c r="SP7" s="20"/>
      <c r="SQ7" s="20"/>
      <c r="SR7" s="20"/>
      <c r="SS7" s="20"/>
      <c r="ST7" s="20"/>
      <c r="SU7" s="20"/>
      <c r="SV7" s="20"/>
      <c r="SW7" s="20"/>
      <c r="SX7" s="20"/>
      <c r="SY7" s="20"/>
      <c r="SZ7" s="20"/>
      <c r="TA7" s="20"/>
      <c r="TB7" s="20"/>
      <c r="TC7" s="20"/>
      <c r="TD7" s="20"/>
      <c r="TE7" s="20"/>
      <c r="TF7" s="20"/>
      <c r="TG7" s="20"/>
      <c r="TH7" s="20"/>
      <c r="TI7" s="20"/>
      <c r="TJ7" s="20"/>
      <c r="TK7" s="20"/>
      <c r="TL7" s="20"/>
      <c r="TM7" s="20"/>
      <c r="TN7" s="20"/>
      <c r="TO7" s="20"/>
      <c r="TP7" s="20"/>
      <c r="TQ7" s="20"/>
      <c r="TR7" s="20"/>
      <c r="TS7" s="20"/>
      <c r="TT7" s="20"/>
      <c r="TU7" s="20"/>
      <c r="TV7" s="20"/>
      <c r="TW7" s="20"/>
      <c r="TX7" s="20"/>
      <c r="TY7" s="20"/>
      <c r="TZ7" s="20"/>
      <c r="UA7" s="20"/>
      <c r="UB7" s="20"/>
      <c r="UC7" s="20"/>
      <c r="UD7" s="20"/>
      <c r="UE7" s="20"/>
      <c r="UF7" s="20"/>
      <c r="UG7" s="20"/>
      <c r="UH7" s="20"/>
      <c r="UI7" s="20"/>
      <c r="UJ7" s="20"/>
      <c r="UK7" s="20"/>
      <c r="UL7" s="20"/>
      <c r="UM7" s="20"/>
      <c r="UN7" s="20"/>
      <c r="UO7" s="20"/>
      <c r="UP7" s="20"/>
      <c r="UQ7" s="20"/>
      <c r="UR7" s="20"/>
      <c r="US7" s="20"/>
      <c r="UT7" s="20"/>
      <c r="UU7" s="20"/>
      <c r="UV7" s="20"/>
      <c r="UW7" s="20"/>
      <c r="UX7" s="20"/>
      <c r="UY7" s="20"/>
      <c r="UZ7" s="20"/>
      <c r="VA7" s="20"/>
      <c r="VB7" s="20"/>
      <c r="VC7" s="20"/>
      <c r="VD7" s="20"/>
      <c r="VE7" s="20"/>
      <c r="VF7" s="20"/>
      <c r="VG7" s="20"/>
      <c r="VH7" s="20"/>
      <c r="VI7" s="20"/>
      <c r="VJ7" s="20"/>
      <c r="VK7" s="20"/>
      <c r="VL7" s="20"/>
      <c r="VM7" s="20"/>
      <c r="VN7" s="20"/>
      <c r="VO7" s="20"/>
      <c r="VP7" s="20"/>
      <c r="VQ7" s="20"/>
      <c r="VR7" s="20"/>
      <c r="VS7" s="20"/>
      <c r="VT7" s="20"/>
      <c r="VU7" s="20"/>
      <c r="VV7" s="20"/>
      <c r="VW7" s="20"/>
      <c r="VX7" s="20"/>
      <c r="VY7" s="20"/>
      <c r="VZ7" s="20"/>
      <c r="WA7" s="20"/>
      <c r="WB7" s="20"/>
      <c r="WC7" s="20"/>
      <c r="WD7" s="20"/>
      <c r="WE7" s="20"/>
      <c r="WF7" s="20"/>
      <c r="WG7" s="20"/>
      <c r="WH7" s="20"/>
      <c r="WI7" s="20"/>
      <c r="WJ7" s="20"/>
      <c r="WK7" s="20"/>
      <c r="WL7" s="20"/>
      <c r="WM7" s="20"/>
      <c r="WN7" s="20"/>
      <c r="WO7" s="20"/>
      <c r="WP7" s="20"/>
      <c r="WQ7" s="20"/>
      <c r="WR7" s="20"/>
      <c r="WS7" s="20"/>
      <c r="WT7" s="20"/>
      <c r="WU7" s="20"/>
      <c r="WV7" s="20"/>
      <c r="WW7" s="20"/>
      <c r="WX7" s="20"/>
      <c r="WY7" s="20"/>
      <c r="WZ7" s="20"/>
      <c r="XA7" s="20"/>
      <c r="XB7" s="20"/>
      <c r="XC7" s="20"/>
      <c r="XD7" s="20"/>
      <c r="XE7" s="20"/>
      <c r="XF7" s="20"/>
      <c r="XG7" s="20"/>
      <c r="XH7" s="20"/>
      <c r="XI7" s="20"/>
      <c r="XJ7" s="20"/>
      <c r="XK7" s="20"/>
      <c r="XL7" s="20"/>
      <c r="XM7" s="20"/>
      <c r="XN7" s="20"/>
      <c r="XO7" s="20"/>
      <c r="XP7" s="20"/>
      <c r="XQ7" s="20"/>
      <c r="XR7" s="20"/>
      <c r="XS7" s="20"/>
      <c r="XT7" s="20"/>
      <c r="XU7" s="20"/>
      <c r="XV7" s="20"/>
      <c r="XW7" s="20"/>
      <c r="XX7" s="20"/>
      <c r="XY7" s="20"/>
      <c r="XZ7" s="20"/>
      <c r="YA7" s="20"/>
      <c r="YB7" s="20"/>
      <c r="YC7" s="20"/>
      <c r="YD7" s="20"/>
      <c r="YE7" s="20"/>
      <c r="YF7" s="20"/>
      <c r="YG7" s="20"/>
      <c r="YH7" s="20"/>
      <c r="YI7" s="20"/>
      <c r="YJ7" s="20"/>
      <c r="YK7" s="20"/>
      <c r="YL7" s="20"/>
      <c r="YM7" s="20"/>
      <c r="YN7" s="20"/>
      <c r="YO7" s="20"/>
      <c r="YP7" s="20"/>
      <c r="YQ7" s="20"/>
      <c r="YR7" s="20"/>
      <c r="YS7" s="20"/>
      <c r="YT7" s="20"/>
      <c r="YU7" s="20"/>
      <c r="YV7" s="20"/>
      <c r="YW7" s="20"/>
      <c r="YX7" s="20"/>
      <c r="YY7" s="20"/>
      <c r="YZ7" s="20"/>
      <c r="ZA7" s="20"/>
      <c r="ZB7" s="20"/>
      <c r="ZC7" s="20"/>
      <c r="ZD7" s="20"/>
      <c r="ZE7" s="20"/>
      <c r="ZF7" s="20"/>
      <c r="ZG7" s="20"/>
      <c r="ZH7" s="20"/>
      <c r="ZI7" s="20"/>
      <c r="ZJ7" s="20"/>
      <c r="ZK7" s="20"/>
      <c r="ZL7" s="20"/>
      <c r="ZM7" s="20"/>
      <c r="ZN7" s="20"/>
      <c r="ZO7" s="20"/>
      <c r="ZP7" s="20"/>
      <c r="ZQ7" s="20"/>
      <c r="ZR7" s="20"/>
      <c r="ZS7" s="20"/>
      <c r="ZT7" s="20"/>
      <c r="ZU7" s="20"/>
      <c r="ZV7" s="20"/>
      <c r="ZW7" s="20"/>
      <c r="ZX7" s="20"/>
      <c r="ZY7" s="20"/>
      <c r="ZZ7" s="20"/>
      <c r="AAA7" s="20"/>
      <c r="AAB7" s="20"/>
      <c r="AAC7" s="20"/>
      <c r="AAD7" s="20"/>
      <c r="AAE7" s="20"/>
      <c r="AAF7" s="20"/>
      <c r="AAG7" s="20"/>
      <c r="AAH7" s="20"/>
      <c r="AAI7" s="20"/>
      <c r="AAJ7" s="20"/>
      <c r="AAK7" s="20"/>
      <c r="AAL7" s="20"/>
      <c r="AAM7" s="20"/>
      <c r="AAN7" s="20"/>
      <c r="AAO7" s="20"/>
      <c r="AAP7" s="20"/>
      <c r="AAQ7" s="20"/>
      <c r="AAR7" s="20"/>
      <c r="AAS7" s="20"/>
      <c r="AAT7" s="20"/>
      <c r="AAU7" s="20"/>
      <c r="AAV7" s="20"/>
      <c r="AAW7" s="20"/>
      <c r="AAX7" s="20"/>
      <c r="AAY7" s="20"/>
      <c r="AAZ7" s="20"/>
      <c r="ABA7" s="20"/>
      <c r="ABB7" s="20"/>
      <c r="ABC7" s="20"/>
      <c r="ABD7" s="20"/>
      <c r="ABE7" s="20"/>
      <c r="ABF7" s="20"/>
      <c r="ABG7" s="20"/>
      <c r="ABH7" s="20"/>
      <c r="ABI7" s="20"/>
      <c r="ABJ7" s="20"/>
      <c r="ABK7" s="20"/>
      <c r="ABL7" s="20"/>
      <c r="ABM7" s="20"/>
      <c r="ABN7" s="20"/>
      <c r="ABO7" s="20"/>
      <c r="ABP7" s="20"/>
      <c r="ABQ7" s="20"/>
      <c r="ABR7" s="20"/>
      <c r="ABS7" s="20"/>
      <c r="ABT7" s="20"/>
      <c r="ABU7" s="20"/>
      <c r="ABV7" s="20"/>
      <c r="ABW7" s="20"/>
      <c r="ABX7" s="20"/>
      <c r="ABY7" s="20"/>
      <c r="ABZ7" s="20"/>
      <c r="ACA7" s="20"/>
      <c r="ACB7" s="20"/>
      <c r="ACC7" s="20"/>
      <c r="ACD7" s="20"/>
      <c r="ACE7" s="20"/>
      <c r="ACF7" s="20"/>
      <c r="ACG7" s="20"/>
      <c r="ACH7" s="20"/>
      <c r="ACI7" s="20"/>
      <c r="ACJ7" s="20"/>
      <c r="ACK7" s="20"/>
      <c r="ACL7" s="20"/>
      <c r="ACM7" s="20"/>
      <c r="ACN7" s="20"/>
      <c r="ACO7" s="20"/>
      <c r="ACP7" s="20"/>
      <c r="ACQ7" s="20"/>
      <c r="ACR7" s="20"/>
      <c r="ACS7" s="20"/>
      <c r="ACT7" s="20"/>
      <c r="ACU7" s="20"/>
      <c r="ACV7" s="20"/>
      <c r="ACW7" s="20"/>
      <c r="ACX7" s="20"/>
      <c r="ACY7" s="20"/>
      <c r="ACZ7" s="20"/>
      <c r="ADA7" s="20"/>
      <c r="ADB7" s="20"/>
      <c r="ADC7" s="20"/>
      <c r="ADD7" s="20"/>
      <c r="ADE7" s="20"/>
      <c r="ADF7" s="20"/>
      <c r="ADG7" s="20"/>
      <c r="ADH7" s="20"/>
      <c r="ADI7" s="20"/>
      <c r="ADJ7" s="20"/>
      <c r="ADK7" s="20"/>
      <c r="ADL7" s="20"/>
      <c r="ADM7" s="20"/>
      <c r="ADN7" s="20"/>
      <c r="ADO7" s="20"/>
      <c r="ADP7" s="20"/>
      <c r="ADQ7" s="20"/>
      <c r="ADR7" s="20"/>
      <c r="ADS7" s="20"/>
      <c r="ADT7" s="20"/>
      <c r="ADU7" s="20"/>
      <c r="ADV7" s="20"/>
      <c r="ADW7" s="20"/>
      <c r="ADX7" s="20"/>
      <c r="ADY7" s="20"/>
      <c r="ADZ7" s="20"/>
      <c r="AEA7" s="20"/>
      <c r="AEB7" s="20"/>
      <c r="AEC7" s="20"/>
      <c r="AED7" s="20"/>
      <c r="AEE7" s="20"/>
      <c r="AEF7" s="20"/>
      <c r="AEG7" s="20"/>
      <c r="AEH7" s="20"/>
      <c r="AEI7" s="20"/>
      <c r="AEJ7" s="20"/>
      <c r="AEK7" s="20"/>
      <c r="AEL7" s="20"/>
      <c r="AEM7" s="20"/>
      <c r="AEN7" s="20"/>
      <c r="AEO7" s="20"/>
      <c r="AEP7" s="20"/>
      <c r="AEQ7" s="20"/>
      <c r="AER7" s="20"/>
      <c r="AES7" s="20"/>
      <c r="AET7" s="20"/>
      <c r="AEU7" s="20"/>
      <c r="AEV7" s="20"/>
      <c r="AEW7" s="20"/>
      <c r="AEX7" s="20"/>
      <c r="AEY7" s="20"/>
      <c r="AEZ7" s="20"/>
      <c r="AFA7" s="20"/>
      <c r="AFB7" s="20"/>
      <c r="AFC7" s="20"/>
      <c r="AFD7" s="20"/>
      <c r="AFE7" s="20"/>
      <c r="AFF7" s="20"/>
      <c r="AFG7" s="20"/>
      <c r="AFH7" s="20"/>
      <c r="AFI7" s="20"/>
      <c r="AFJ7" s="20"/>
      <c r="AFK7" s="20"/>
      <c r="AFL7" s="20"/>
      <c r="AFM7" s="20"/>
      <c r="AFN7" s="20"/>
      <c r="AFO7" s="20"/>
      <c r="AFP7" s="20"/>
      <c r="AFQ7" s="20"/>
      <c r="AFR7" s="20"/>
      <c r="AFS7" s="20"/>
      <c r="AFT7" s="20"/>
      <c r="AFU7" s="20"/>
      <c r="AFV7" s="20"/>
      <c r="AFW7" s="20"/>
      <c r="AFX7" s="20"/>
      <c r="AFY7" s="20"/>
      <c r="AFZ7" s="20"/>
      <c r="AGA7" s="20"/>
      <c r="AGB7" s="20"/>
      <c r="AGC7" s="20"/>
      <c r="AGD7" s="20"/>
      <c r="AGE7" s="20"/>
      <c r="AGF7" s="20"/>
      <c r="AGG7" s="20"/>
      <c r="AGH7" s="20"/>
      <c r="AGI7" s="20"/>
      <c r="AGJ7" s="20"/>
      <c r="AGK7" s="20"/>
      <c r="AGL7" s="20"/>
      <c r="AGM7" s="20"/>
      <c r="AGN7" s="20"/>
      <c r="AGO7" s="20"/>
      <c r="AGP7" s="20"/>
      <c r="AGQ7" s="20"/>
      <c r="AGR7" s="20"/>
      <c r="AGS7" s="20"/>
      <c r="AGT7" s="20"/>
      <c r="AGU7" s="20"/>
      <c r="AGV7" s="20"/>
      <c r="AGW7" s="20"/>
      <c r="AGX7" s="20"/>
      <c r="AGY7" s="20"/>
      <c r="AGZ7" s="20"/>
      <c r="AHA7" s="20"/>
      <c r="AHB7" s="20"/>
      <c r="AHC7" s="20"/>
      <c r="AHD7" s="20"/>
      <c r="AHE7" s="20"/>
      <c r="AHF7" s="20"/>
      <c r="AHG7" s="20"/>
      <c r="AHH7" s="20"/>
      <c r="AHI7" s="20"/>
      <c r="AHJ7" s="20"/>
      <c r="AHK7" s="20"/>
      <c r="AHL7" s="20"/>
      <c r="AHM7" s="20"/>
      <c r="AHN7" s="20"/>
      <c r="AHO7" s="20"/>
      <c r="AHP7" s="20"/>
      <c r="AHQ7" s="20"/>
      <c r="AHR7" s="20"/>
      <c r="AHS7" s="20"/>
      <c r="AHT7" s="20"/>
      <c r="AHU7" s="20"/>
      <c r="AHV7" s="20"/>
      <c r="AHW7" s="20"/>
      <c r="AHX7" s="20"/>
      <c r="AHY7" s="20"/>
      <c r="AHZ7" s="20"/>
      <c r="AIA7" s="20"/>
      <c r="AIB7" s="20"/>
      <c r="AIC7" s="20"/>
      <c r="AID7" s="20"/>
      <c r="AIE7" s="20"/>
      <c r="AIF7" s="20"/>
      <c r="AIG7" s="20"/>
      <c r="AIH7" s="20"/>
      <c r="AII7" s="20"/>
      <c r="AIJ7" s="20"/>
      <c r="AIK7" s="20"/>
      <c r="AIL7" s="20"/>
      <c r="AIM7" s="20"/>
      <c r="AIN7" s="20"/>
      <c r="AIO7" s="20"/>
      <c r="AIP7" s="20"/>
      <c r="AIQ7" s="20"/>
      <c r="AIR7" s="20"/>
      <c r="AIS7" s="20"/>
      <c r="AIT7" s="20"/>
      <c r="AIU7" s="20"/>
      <c r="AIV7" s="20"/>
      <c r="AIW7" s="20"/>
      <c r="AIX7" s="20"/>
      <c r="AIY7" s="20"/>
      <c r="AIZ7" s="20"/>
      <c r="AJA7" s="20"/>
      <c r="AJB7" s="20"/>
      <c r="AJC7" s="20"/>
      <c r="AJD7" s="20"/>
      <c r="AJE7" s="20"/>
      <c r="AJF7" s="20"/>
      <c r="AJG7" s="20"/>
      <c r="AJH7" s="20"/>
      <c r="AJI7" s="20"/>
      <c r="AJJ7" s="20"/>
      <c r="AJK7" s="20"/>
      <c r="AJL7" s="20"/>
      <c r="AJM7" s="20"/>
      <c r="AJN7" s="20"/>
      <c r="AJO7" s="20"/>
      <c r="AJP7" s="20"/>
      <c r="AJQ7" s="20"/>
      <c r="AJR7" s="20"/>
      <c r="AJS7" s="20"/>
      <c r="AJT7" s="20"/>
      <c r="AJU7" s="20"/>
      <c r="AJV7" s="20"/>
      <c r="AJW7" s="20"/>
      <c r="AJX7" s="20"/>
      <c r="AJY7" s="20"/>
      <c r="AJZ7" s="20"/>
      <c r="AKA7" s="20"/>
      <c r="AKB7" s="20"/>
      <c r="AKC7" s="20"/>
      <c r="AKD7" s="20"/>
      <c r="AKE7" s="20"/>
      <c r="AKF7" s="20"/>
      <c r="AKG7" s="20"/>
      <c r="AKH7" s="20"/>
      <c r="AKI7" s="20"/>
      <c r="AKJ7" s="20"/>
      <c r="AKK7" s="20"/>
      <c r="AKL7" s="20"/>
      <c r="AKM7" s="20"/>
      <c r="AKN7" s="20"/>
      <c r="AKO7" s="20"/>
      <c r="AKP7" s="20"/>
      <c r="AKQ7" s="20"/>
      <c r="AKR7" s="20"/>
      <c r="AKS7" s="20"/>
      <c r="AKT7" s="20"/>
      <c r="AKU7" s="20"/>
      <c r="AKV7" s="20"/>
      <c r="AKW7" s="20"/>
      <c r="AKX7" s="20"/>
      <c r="AKY7" s="20"/>
      <c r="AKZ7" s="20"/>
      <c r="ALA7" s="20"/>
      <c r="ALB7" s="20"/>
      <c r="ALC7" s="20"/>
      <c r="ALD7" s="20"/>
      <c r="ALE7" s="20"/>
      <c r="ALF7" s="20"/>
      <c r="ALG7" s="20"/>
      <c r="ALH7" s="20"/>
      <c r="ALI7" s="20"/>
      <c r="ALJ7" s="20"/>
      <c r="ALK7" s="20"/>
      <c r="ALL7" s="20"/>
      <c r="ALM7" s="20"/>
      <c r="ALN7" s="20"/>
      <c r="ALO7" s="20"/>
      <c r="ALP7" s="20"/>
      <c r="ALQ7" s="20"/>
      <c r="ALR7" s="20"/>
      <c r="ALS7" s="20"/>
      <c r="ALT7" s="20"/>
      <c r="ALU7" s="20"/>
      <c r="ALV7" s="20"/>
      <c r="ALW7" s="20"/>
      <c r="ALX7" s="20"/>
      <c r="ALY7" s="20"/>
      <c r="ALZ7" s="20"/>
      <c r="AMA7" s="20"/>
      <c r="AMB7" s="20"/>
      <c r="AMC7" s="20"/>
      <c r="AMD7" s="20"/>
      <c r="AME7" s="20"/>
      <c r="AMF7" s="20"/>
      <c r="AMG7" s="20"/>
      <c r="AMH7" s="20"/>
      <c r="AMI7" s="20"/>
      <c r="AMJ7" s="20"/>
      <c r="AMK7" s="20"/>
      <c r="AML7" s="20"/>
      <c r="AMM7" s="20"/>
      <c r="AMN7" s="20"/>
      <c r="AMO7" s="20"/>
      <c r="AMP7" s="20"/>
      <c r="AMQ7" s="20"/>
      <c r="AMR7" s="20"/>
      <c r="AMS7" s="20"/>
      <c r="AMT7" s="20"/>
      <c r="AMU7" s="20"/>
      <c r="AMV7" s="20"/>
      <c r="AMW7" s="20"/>
      <c r="AMX7" s="20"/>
      <c r="AMY7" s="20"/>
      <c r="AMZ7" s="20"/>
      <c r="ANA7" s="20"/>
      <c r="ANB7" s="20"/>
      <c r="ANC7" s="20"/>
      <c r="AND7" s="20"/>
      <c r="ANE7" s="20"/>
      <c r="ANF7" s="20"/>
      <c r="ANG7" s="20"/>
      <c r="ANH7" s="20"/>
      <c r="ANI7" s="20"/>
      <c r="ANJ7" s="20"/>
      <c r="ANK7" s="20"/>
      <c r="ANL7" s="20"/>
      <c r="ANM7" s="20"/>
      <c r="ANN7" s="20"/>
      <c r="ANO7" s="20"/>
      <c r="ANP7" s="20"/>
      <c r="ANQ7" s="20"/>
      <c r="ANR7" s="20"/>
      <c r="ANS7" s="20"/>
      <c r="ANT7" s="20"/>
      <c r="ANU7" s="20"/>
      <c r="ANV7" s="20"/>
    </row>
    <row r="8" spans="1:1062" ht="15.75" hidden="1" x14ac:dyDescent="0.25">
      <c r="A8" s="5" t="s">
        <v>15</v>
      </c>
      <c r="B8" s="5" t="s">
        <v>23</v>
      </c>
      <c r="C8" s="6" t="s">
        <v>21</v>
      </c>
      <c r="D8" s="5" t="s">
        <v>24</v>
      </c>
      <c r="E8" s="4" t="s">
        <v>19</v>
      </c>
      <c r="F8" s="31">
        <v>3</v>
      </c>
      <c r="G8" s="31">
        <v>2022</v>
      </c>
      <c r="H8" s="31">
        <v>1</v>
      </c>
      <c r="I8" s="31">
        <v>3</v>
      </c>
      <c r="J8" s="27" t="e">
        <f>[1]!Tableau2[[#This Row],[Annee d''inscription au programme]]&amp;"-"&amp;[1]!Tableau2[[#This Row],[Code d''ecole]]&amp;"-"&amp;[1]!Tableau2[[#This Row],[Numero HM de la fille]]</f>
        <v>#REF!</v>
      </c>
      <c r="K8" s="4">
        <v>7.5</v>
      </c>
      <c r="L8" s="4">
        <v>7</v>
      </c>
      <c r="M8" s="95">
        <f>SUM(K8+L8)/2</f>
        <v>7.25</v>
      </c>
      <c r="N8" s="4">
        <v>16</v>
      </c>
      <c r="O8" s="4">
        <v>12.5</v>
      </c>
      <c r="P8" s="95">
        <f t="shared" si="0"/>
        <v>14.25</v>
      </c>
      <c r="Q8" s="98">
        <v>7.41</v>
      </c>
      <c r="R8" s="98">
        <v>6.04</v>
      </c>
      <c r="S8" s="98">
        <v>6.44</v>
      </c>
      <c r="T8" s="96">
        <f t="shared" si="1"/>
        <v>6.63</v>
      </c>
      <c r="U8" s="84" t="s">
        <v>321</v>
      </c>
      <c r="V8" s="92" t="s">
        <v>323</v>
      </c>
    </row>
    <row r="9" spans="1:1062" ht="15.75" hidden="1" x14ac:dyDescent="0.25">
      <c r="A9" s="5" t="s">
        <v>15</v>
      </c>
      <c r="B9" s="4" t="s">
        <v>25</v>
      </c>
      <c r="C9" s="7" t="s">
        <v>26</v>
      </c>
      <c r="D9" s="4" t="s">
        <v>27</v>
      </c>
      <c r="E9" s="4" t="s">
        <v>19</v>
      </c>
      <c r="F9" s="31">
        <v>4</v>
      </c>
      <c r="G9" s="31">
        <v>2022</v>
      </c>
      <c r="H9" s="31">
        <v>1</v>
      </c>
      <c r="I9" s="31">
        <v>4</v>
      </c>
      <c r="J9" s="27" t="e">
        <f>[1]!Tableau2[[#This Row],[Annee d''inscription au programme]]&amp;"-"&amp;[1]!Tableau2[[#This Row],[Code d''ecole]]&amp;"-"&amp;[1]!Tableau2[[#This Row],[Numero HM de la fille]]</f>
        <v>#REF!</v>
      </c>
      <c r="K9" s="4">
        <v>12</v>
      </c>
      <c r="L9" s="4">
        <v>5.5</v>
      </c>
      <c r="M9" s="95">
        <f t="shared" ref="M9:M69" si="2">SUM(K9+L9)/2</f>
        <v>8.75</v>
      </c>
      <c r="N9" s="4">
        <v>15.75</v>
      </c>
      <c r="O9" s="4">
        <v>16</v>
      </c>
      <c r="P9" s="95">
        <f t="shared" si="0"/>
        <v>15.875</v>
      </c>
      <c r="Q9" s="97">
        <v>6.82</v>
      </c>
      <c r="R9" s="97">
        <v>6.82</v>
      </c>
      <c r="S9" s="97">
        <v>5.35</v>
      </c>
      <c r="T9" s="96">
        <f t="shared" si="1"/>
        <v>6.330000000000001</v>
      </c>
      <c r="U9" s="84" t="s">
        <v>321</v>
      </c>
      <c r="V9" s="92" t="s">
        <v>323</v>
      </c>
    </row>
    <row r="10" spans="1:1062" ht="15.75" hidden="1" x14ac:dyDescent="0.25">
      <c r="A10" s="5" t="s">
        <v>15</v>
      </c>
      <c r="B10" s="4" t="s">
        <v>28</v>
      </c>
      <c r="C10" s="7" t="s">
        <v>29</v>
      </c>
      <c r="D10" s="4" t="s">
        <v>30</v>
      </c>
      <c r="E10" s="4" t="s">
        <v>19</v>
      </c>
      <c r="F10" s="31">
        <v>5</v>
      </c>
      <c r="G10" s="31">
        <v>2022</v>
      </c>
      <c r="H10" s="31">
        <v>1</v>
      </c>
      <c r="I10" s="31">
        <v>5</v>
      </c>
      <c r="J10" s="27" t="e">
        <f>[1]!Tableau2[[#This Row],[Annee d''inscription au programme]]&amp;"-"&amp;[1]!Tableau2[[#This Row],[Code d''ecole]]&amp;"-"&amp;[1]!Tableau2[[#This Row],[Numero HM de la fille]]</f>
        <v>#REF!</v>
      </c>
      <c r="K10" s="4">
        <v>8.5</v>
      </c>
      <c r="L10" s="4">
        <v>5</v>
      </c>
      <c r="M10" s="95">
        <f t="shared" si="2"/>
        <v>6.75</v>
      </c>
      <c r="N10" s="4">
        <v>18.5</v>
      </c>
      <c r="O10" s="4">
        <v>10</v>
      </c>
      <c r="P10" s="95">
        <f t="shared" si="0"/>
        <v>14.25</v>
      </c>
      <c r="Q10" s="97">
        <v>8.4700000000000006</v>
      </c>
      <c r="R10" s="97">
        <v>7.82</v>
      </c>
      <c r="S10" s="97">
        <v>6.82</v>
      </c>
      <c r="T10" s="96">
        <f t="shared" si="1"/>
        <v>7.7033333333333331</v>
      </c>
      <c r="U10" s="63" t="s">
        <v>321</v>
      </c>
      <c r="V10" s="92" t="s">
        <v>323</v>
      </c>
    </row>
    <row r="11" spans="1:1062" ht="15.75" hidden="1" x14ac:dyDescent="0.25">
      <c r="A11" s="5" t="s">
        <v>15</v>
      </c>
      <c r="B11" s="5" t="s">
        <v>31</v>
      </c>
      <c r="C11" s="6" t="s">
        <v>32</v>
      </c>
      <c r="D11" s="5" t="s">
        <v>33</v>
      </c>
      <c r="E11" s="4" t="s">
        <v>19</v>
      </c>
      <c r="F11" s="31">
        <v>6</v>
      </c>
      <c r="G11" s="31">
        <v>2022</v>
      </c>
      <c r="H11" s="31">
        <v>1</v>
      </c>
      <c r="I11" s="31">
        <v>6</v>
      </c>
      <c r="J11" s="27" t="e">
        <f>[1]!Tableau2[[#This Row],[Annee d''inscription au programme]]&amp;"-"&amp;[1]!Tableau2[[#This Row],[Code d''ecole]]&amp;"-"&amp;[1]!Tableau2[[#This Row],[Numero HM de la fille]]</f>
        <v>#REF!</v>
      </c>
      <c r="K11" s="4">
        <v>5</v>
      </c>
      <c r="L11" s="4">
        <v>4</v>
      </c>
      <c r="M11" s="95">
        <f t="shared" si="2"/>
        <v>4.5</v>
      </c>
      <c r="N11" s="4">
        <v>15.5</v>
      </c>
      <c r="O11" s="4">
        <v>14</v>
      </c>
      <c r="P11" s="95">
        <f t="shared" si="0"/>
        <v>14.75</v>
      </c>
      <c r="Q11" s="98">
        <v>4</v>
      </c>
      <c r="R11" s="98">
        <v>4</v>
      </c>
      <c r="S11" s="98">
        <v>7</v>
      </c>
      <c r="T11" s="96">
        <f t="shared" si="1"/>
        <v>5</v>
      </c>
      <c r="U11" s="63" t="s">
        <v>321</v>
      </c>
      <c r="V11" s="92" t="s">
        <v>323</v>
      </c>
    </row>
    <row r="12" spans="1:1062" ht="15.75" hidden="1" x14ac:dyDescent="0.25">
      <c r="A12" s="5" t="s">
        <v>15</v>
      </c>
      <c r="B12" s="5" t="s">
        <v>34</v>
      </c>
      <c r="C12" s="6" t="s">
        <v>35</v>
      </c>
      <c r="D12" s="5" t="s">
        <v>36</v>
      </c>
      <c r="E12" s="4" t="s">
        <v>19</v>
      </c>
      <c r="F12" s="31">
        <v>7</v>
      </c>
      <c r="G12" s="31">
        <v>2022</v>
      </c>
      <c r="H12" s="31">
        <v>1</v>
      </c>
      <c r="I12" s="31">
        <v>7</v>
      </c>
      <c r="J12" s="27" t="e">
        <f>[1]!Tableau2[[#This Row],[Annee d''inscription au programme]]&amp;"-"&amp;[1]!Tableau2[[#This Row],[Code d''ecole]]&amp;"-"&amp;[1]!Tableau2[[#This Row],[Numero HM de la fille]]</f>
        <v>#REF!</v>
      </c>
      <c r="K12" s="4">
        <v>6</v>
      </c>
      <c r="L12" s="4">
        <v>5</v>
      </c>
      <c r="M12" s="95">
        <f t="shared" si="2"/>
        <v>5.5</v>
      </c>
      <c r="N12" s="4">
        <v>18</v>
      </c>
      <c r="O12" s="4">
        <v>15</v>
      </c>
      <c r="P12" s="95">
        <f t="shared" si="0"/>
        <v>16.5</v>
      </c>
      <c r="Q12" s="98">
        <v>5.7</v>
      </c>
      <c r="R12" s="98">
        <v>6.13</v>
      </c>
      <c r="S12" s="98">
        <v>5.67</v>
      </c>
      <c r="T12" s="96">
        <f t="shared" si="1"/>
        <v>5.833333333333333</v>
      </c>
      <c r="U12" s="63" t="s">
        <v>321</v>
      </c>
      <c r="V12" s="92" t="s">
        <v>323</v>
      </c>
    </row>
    <row r="13" spans="1:1062" ht="15.75" hidden="1" x14ac:dyDescent="0.25">
      <c r="A13" s="5" t="s">
        <v>15</v>
      </c>
      <c r="B13" s="5" t="s">
        <v>233</v>
      </c>
      <c r="C13" s="6" t="s">
        <v>37</v>
      </c>
      <c r="D13" s="5" t="s">
        <v>234</v>
      </c>
      <c r="E13" s="4" t="s">
        <v>19</v>
      </c>
      <c r="F13" s="31">
        <v>8</v>
      </c>
      <c r="G13" s="31">
        <v>2022</v>
      </c>
      <c r="H13" s="31">
        <v>1</v>
      </c>
      <c r="I13" s="31">
        <v>8</v>
      </c>
      <c r="J13" s="27" t="e">
        <f>[1]!Tableau2[[#This Row],[Annee d''inscription au programme]]&amp;"-"&amp;[1]!Tableau2[[#This Row],[Code d''ecole]]&amp;"-"&amp;[1]!Tableau2[[#This Row],[Numero HM de la fille]]</f>
        <v>#REF!</v>
      </c>
      <c r="K13" s="4">
        <v>8</v>
      </c>
      <c r="L13" s="4">
        <v>6</v>
      </c>
      <c r="M13" s="95">
        <f t="shared" si="2"/>
        <v>7</v>
      </c>
      <c r="N13" s="4">
        <v>13</v>
      </c>
      <c r="O13" s="4">
        <v>15.5</v>
      </c>
      <c r="P13" s="95">
        <f t="shared" si="0"/>
        <v>14.25</v>
      </c>
      <c r="Q13" s="98">
        <v>1.88</v>
      </c>
      <c r="R13" s="98">
        <v>1.83</v>
      </c>
      <c r="S13" s="98">
        <v>1.85</v>
      </c>
      <c r="T13" s="96">
        <f t="shared" si="1"/>
        <v>1.8533333333333335</v>
      </c>
      <c r="U13" s="62" t="s">
        <v>315</v>
      </c>
      <c r="V13" s="82"/>
    </row>
    <row r="14" spans="1:1062" ht="15.75" hidden="1" x14ac:dyDescent="0.25">
      <c r="A14" s="5" t="s">
        <v>15</v>
      </c>
      <c r="B14" s="5" t="s">
        <v>38</v>
      </c>
      <c r="C14" s="6" t="s">
        <v>37</v>
      </c>
      <c r="D14" s="5" t="s">
        <v>39</v>
      </c>
      <c r="E14" s="4" t="s">
        <v>19</v>
      </c>
      <c r="F14" s="31">
        <v>9</v>
      </c>
      <c r="G14" s="31">
        <v>2022</v>
      </c>
      <c r="H14" s="31">
        <v>1</v>
      </c>
      <c r="I14" s="31">
        <v>9</v>
      </c>
      <c r="J14" s="27" t="e">
        <f>[1]!Tableau2[[#This Row],[Annee d''inscription au programme]]&amp;"-"&amp;[1]!Tableau2[[#This Row],[Code d''ecole]]&amp;"-"&amp;[1]!Tableau2[[#This Row],[Numero HM de la fille]]</f>
        <v>#REF!</v>
      </c>
      <c r="K14" s="4"/>
      <c r="L14" s="4"/>
      <c r="M14" s="95">
        <f t="shared" si="2"/>
        <v>0</v>
      </c>
      <c r="N14" s="4">
        <v>9</v>
      </c>
      <c r="O14" s="4">
        <v>16.5</v>
      </c>
      <c r="P14" s="95">
        <f t="shared" si="0"/>
        <v>12.75</v>
      </c>
      <c r="Q14" s="98">
        <v>2.82</v>
      </c>
      <c r="R14" s="98">
        <v>2.94</v>
      </c>
      <c r="S14" s="98">
        <v>2.17</v>
      </c>
      <c r="T14" s="96">
        <f t="shared" si="1"/>
        <v>2.6433333333333331</v>
      </c>
      <c r="U14" s="62" t="s">
        <v>315</v>
      </c>
      <c r="V14" s="82"/>
    </row>
    <row r="15" spans="1:1062" ht="15.75" hidden="1" x14ac:dyDescent="0.25">
      <c r="A15" s="5" t="s">
        <v>15</v>
      </c>
      <c r="B15" s="5" t="s">
        <v>40</v>
      </c>
      <c r="C15" s="6" t="s">
        <v>21</v>
      </c>
      <c r="D15" s="5" t="s">
        <v>41</v>
      </c>
      <c r="E15" s="4" t="s">
        <v>19</v>
      </c>
      <c r="F15" s="31">
        <v>10</v>
      </c>
      <c r="G15" s="31">
        <v>2022</v>
      </c>
      <c r="H15" s="31">
        <v>1</v>
      </c>
      <c r="I15" s="31">
        <v>10</v>
      </c>
      <c r="J15" s="27" t="e">
        <f>[1]!Tableau2[[#This Row],[Annee d''inscription au programme]]&amp;"-"&amp;[1]!Tableau2[[#This Row],[Code d''ecole]]&amp;"-"&amp;[1]!Tableau2[[#This Row],[Numero HM de la fille]]</f>
        <v>#REF!</v>
      </c>
      <c r="K15" s="4">
        <v>8</v>
      </c>
      <c r="L15" s="4">
        <v>3</v>
      </c>
      <c r="M15" s="95">
        <f t="shared" si="2"/>
        <v>5.5</v>
      </c>
      <c r="N15" s="4">
        <v>14</v>
      </c>
      <c r="O15" s="4">
        <v>16</v>
      </c>
      <c r="P15" s="95">
        <f t="shared" si="0"/>
        <v>15</v>
      </c>
      <c r="Q15" s="98">
        <v>5.32</v>
      </c>
      <c r="R15" s="98">
        <v>6.25</v>
      </c>
      <c r="S15" s="98">
        <v>5.05</v>
      </c>
      <c r="T15" s="96">
        <f t="shared" si="1"/>
        <v>5.54</v>
      </c>
      <c r="U15" s="63" t="s">
        <v>321</v>
      </c>
      <c r="V15" s="82" t="s">
        <v>323</v>
      </c>
    </row>
    <row r="16" spans="1:1062" ht="15.75" x14ac:dyDescent="0.25">
      <c r="A16" s="5" t="s">
        <v>15</v>
      </c>
      <c r="B16" s="5" t="s">
        <v>42</v>
      </c>
      <c r="C16" s="6" t="s">
        <v>43</v>
      </c>
      <c r="D16" s="5" t="s">
        <v>44</v>
      </c>
      <c r="E16" s="4" t="s">
        <v>19</v>
      </c>
      <c r="F16" s="31">
        <v>11</v>
      </c>
      <c r="G16" s="31">
        <v>2022</v>
      </c>
      <c r="H16" s="31">
        <v>1</v>
      </c>
      <c r="I16" s="31">
        <v>11</v>
      </c>
      <c r="J16" s="27" t="e">
        <f>[1]!Tableau2[[#This Row],[Annee d''inscription au programme]]&amp;"-"&amp;[1]!Tableau2[[#This Row],[Code d''ecole]]&amp;"-"&amp;[1]!Tableau2[[#This Row],[Numero HM de la fille]]</f>
        <v>#REF!</v>
      </c>
      <c r="K16" s="4">
        <v>9.5</v>
      </c>
      <c r="L16" s="4">
        <v>4.5</v>
      </c>
      <c r="M16" s="95">
        <f t="shared" si="2"/>
        <v>7</v>
      </c>
      <c r="N16" s="4">
        <v>15.5</v>
      </c>
      <c r="O16" s="4">
        <v>15</v>
      </c>
      <c r="P16" s="95">
        <f t="shared" si="0"/>
        <v>15.25</v>
      </c>
      <c r="Q16" s="98">
        <v>7.52</v>
      </c>
      <c r="R16" s="98">
        <v>7.36</v>
      </c>
      <c r="S16" s="98">
        <v>5.79</v>
      </c>
      <c r="T16" s="96">
        <f t="shared" si="1"/>
        <v>6.89</v>
      </c>
      <c r="U16" s="63" t="s">
        <v>321</v>
      </c>
      <c r="V16" s="82" t="s">
        <v>325</v>
      </c>
    </row>
    <row r="17" spans="1:22" ht="15.75" hidden="1" x14ac:dyDescent="0.25">
      <c r="A17" s="5" t="s">
        <v>15</v>
      </c>
      <c r="B17" s="5" t="s">
        <v>45</v>
      </c>
      <c r="C17" s="6" t="s">
        <v>46</v>
      </c>
      <c r="D17" s="5" t="s">
        <v>47</v>
      </c>
      <c r="E17" s="4" t="s">
        <v>19</v>
      </c>
      <c r="F17" s="31">
        <v>12</v>
      </c>
      <c r="G17" s="31">
        <v>2022</v>
      </c>
      <c r="H17" s="31">
        <v>1</v>
      </c>
      <c r="I17" s="31">
        <v>12</v>
      </c>
      <c r="J17" s="27" t="e">
        <f>[1]!Tableau2[[#This Row],[Annee d''inscription au programme]]&amp;"-"&amp;[1]!Tableau2[[#This Row],[Code d''ecole]]&amp;"-"&amp;[1]!Tableau2[[#This Row],[Numero HM de la fille]]</f>
        <v>#REF!</v>
      </c>
      <c r="K17" s="4">
        <v>9</v>
      </c>
      <c r="L17" s="4">
        <v>7</v>
      </c>
      <c r="M17" s="95">
        <f t="shared" si="2"/>
        <v>8</v>
      </c>
      <c r="N17" s="4">
        <v>18</v>
      </c>
      <c r="O17" s="4">
        <v>18.5</v>
      </c>
      <c r="P17" s="95">
        <f t="shared" si="0"/>
        <v>18.25</v>
      </c>
      <c r="Q17" s="98">
        <v>8.7899999999999991</v>
      </c>
      <c r="R17" s="98">
        <v>7.44</v>
      </c>
      <c r="S17" s="98">
        <v>7.32</v>
      </c>
      <c r="T17" s="96">
        <f t="shared" si="1"/>
        <v>7.8500000000000005</v>
      </c>
      <c r="U17" s="63" t="s">
        <v>321</v>
      </c>
      <c r="V17" s="82" t="s">
        <v>323</v>
      </c>
    </row>
    <row r="18" spans="1:22" ht="15.75" hidden="1" x14ac:dyDescent="0.25">
      <c r="A18" s="5" t="s">
        <v>15</v>
      </c>
      <c r="B18" s="5" t="s">
        <v>48</v>
      </c>
      <c r="C18" s="6" t="s">
        <v>49</v>
      </c>
      <c r="D18" s="5" t="s">
        <v>50</v>
      </c>
      <c r="E18" s="4" t="s">
        <v>19</v>
      </c>
      <c r="F18" s="31">
        <v>13</v>
      </c>
      <c r="G18" s="31">
        <v>2022</v>
      </c>
      <c r="H18" s="31">
        <v>1</v>
      </c>
      <c r="I18" s="31">
        <v>13</v>
      </c>
      <c r="J18" s="27" t="e">
        <f>[1]!Tableau2[[#This Row],[Annee d''inscription au programme]]&amp;"-"&amp;[1]!Tableau2[[#This Row],[Code d''ecole]]&amp;"-"&amp;[1]!Tableau2[[#This Row],[Numero HM de la fille]]</f>
        <v>#REF!</v>
      </c>
      <c r="K18" s="4">
        <v>7</v>
      </c>
      <c r="L18" s="4">
        <v>5.5</v>
      </c>
      <c r="M18" s="95">
        <f t="shared" si="2"/>
        <v>6.25</v>
      </c>
      <c r="N18" s="4">
        <v>14.5</v>
      </c>
      <c r="O18" s="4">
        <v>13.5</v>
      </c>
      <c r="P18" s="95">
        <f t="shared" si="0"/>
        <v>14</v>
      </c>
      <c r="Q18" s="98">
        <v>6.29</v>
      </c>
      <c r="R18" s="98">
        <v>4.47</v>
      </c>
      <c r="S18" s="99">
        <v>4.6399999999999997</v>
      </c>
      <c r="T18" s="96">
        <f t="shared" si="1"/>
        <v>5.1333333333333329</v>
      </c>
      <c r="U18" s="63" t="s">
        <v>321</v>
      </c>
      <c r="V18" s="82" t="s">
        <v>323</v>
      </c>
    </row>
    <row r="19" spans="1:22" ht="15.75" hidden="1" x14ac:dyDescent="0.25">
      <c r="A19" s="5" t="s">
        <v>15</v>
      </c>
      <c r="B19" s="4" t="s">
        <v>51</v>
      </c>
      <c r="C19" s="8" t="s">
        <v>318</v>
      </c>
      <c r="D19" s="4" t="s">
        <v>52</v>
      </c>
      <c r="E19" s="4" t="s">
        <v>19</v>
      </c>
      <c r="F19" s="31">
        <v>14</v>
      </c>
      <c r="G19" s="31">
        <v>2022</v>
      </c>
      <c r="H19" s="31">
        <v>1</v>
      </c>
      <c r="I19" s="31">
        <v>14</v>
      </c>
      <c r="J19" s="27" t="e">
        <f>[1]!Tableau2[[#This Row],[Annee d''inscription au programme]]&amp;"-"&amp;[1]!Tableau2[[#This Row],[Code d''ecole]]&amp;"-"&amp;[1]!Tableau2[[#This Row],[Numero HM de la fille]]</f>
        <v>#REF!</v>
      </c>
      <c r="K19" s="4">
        <v>1</v>
      </c>
      <c r="L19" s="4">
        <v>2.5</v>
      </c>
      <c r="M19" s="95">
        <f t="shared" si="2"/>
        <v>1.75</v>
      </c>
      <c r="N19" s="4">
        <v>10.25</v>
      </c>
      <c r="O19" s="4">
        <v>12.5</v>
      </c>
      <c r="P19" s="95">
        <f t="shared" si="0"/>
        <v>11.375</v>
      </c>
      <c r="Q19" s="97">
        <v>2.44</v>
      </c>
      <c r="R19" s="97">
        <v>2.2999999999999998</v>
      </c>
      <c r="S19" s="97">
        <v>1.88</v>
      </c>
      <c r="T19" s="96">
        <f t="shared" si="1"/>
        <v>2.2066666666666666</v>
      </c>
      <c r="U19" s="62" t="s">
        <v>315</v>
      </c>
      <c r="V19" s="82"/>
    </row>
    <row r="20" spans="1:22" ht="15.75" hidden="1" x14ac:dyDescent="0.25">
      <c r="A20" s="5" t="s">
        <v>15</v>
      </c>
      <c r="B20" s="4" t="s">
        <v>53</v>
      </c>
      <c r="C20" s="8" t="s">
        <v>319</v>
      </c>
      <c r="D20" s="4" t="s">
        <v>54</v>
      </c>
      <c r="E20" s="4" t="s">
        <v>19</v>
      </c>
      <c r="F20" s="31">
        <v>15</v>
      </c>
      <c r="G20" s="31">
        <v>2022</v>
      </c>
      <c r="H20" s="31">
        <v>1</v>
      </c>
      <c r="I20" s="31">
        <v>15</v>
      </c>
      <c r="J20" s="27" t="e">
        <f>[1]!Tableau2[[#This Row],[Annee d''inscription au programme]]&amp;"-"&amp;[1]!Tableau2[[#This Row],[Code d''ecole]]&amp;"-"&amp;[1]!Tableau2[[#This Row],[Numero HM de la fille]]</f>
        <v>#REF!</v>
      </c>
      <c r="K20" s="4">
        <v>6</v>
      </c>
      <c r="L20" s="4">
        <v>5</v>
      </c>
      <c r="M20" s="95">
        <f t="shared" si="2"/>
        <v>5.5</v>
      </c>
      <c r="N20" s="4">
        <v>15</v>
      </c>
      <c r="O20" s="4">
        <v>14.25</v>
      </c>
      <c r="P20" s="95">
        <f t="shared" si="0"/>
        <v>14.625</v>
      </c>
      <c r="Q20" s="97">
        <v>6.47</v>
      </c>
      <c r="R20" s="97">
        <v>4.55</v>
      </c>
      <c r="S20" s="97">
        <v>4.05</v>
      </c>
      <c r="T20" s="96">
        <f t="shared" si="1"/>
        <v>5.0233333333333334</v>
      </c>
      <c r="U20" s="63" t="s">
        <v>321</v>
      </c>
      <c r="V20" s="82" t="s">
        <v>323</v>
      </c>
    </row>
    <row r="21" spans="1:22" ht="15.75" hidden="1" x14ac:dyDescent="0.25">
      <c r="A21" s="5" t="s">
        <v>15</v>
      </c>
      <c r="B21" s="4" t="s">
        <v>55</v>
      </c>
      <c r="C21" s="8" t="s">
        <v>21</v>
      </c>
      <c r="D21" s="4" t="s">
        <v>56</v>
      </c>
      <c r="E21" s="4" t="s">
        <v>19</v>
      </c>
      <c r="F21" s="31">
        <v>16</v>
      </c>
      <c r="G21" s="31">
        <v>2022</v>
      </c>
      <c r="H21" s="31">
        <v>1</v>
      </c>
      <c r="I21" s="31">
        <v>16</v>
      </c>
      <c r="J21" s="27" t="e">
        <f>[1]!Tableau2[[#This Row],[Annee d''inscription au programme]]&amp;"-"&amp;[1]!Tableau2[[#This Row],[Code d''ecole]]&amp;"-"&amp;[1]!Tableau2[[#This Row],[Numero HM de la fille]]</f>
        <v>#REF!</v>
      </c>
      <c r="K21" s="4">
        <v>9</v>
      </c>
      <c r="L21" s="4">
        <v>5</v>
      </c>
      <c r="M21" s="95">
        <f t="shared" si="2"/>
        <v>7</v>
      </c>
      <c r="N21" s="4">
        <v>15</v>
      </c>
      <c r="O21" s="4">
        <v>14.25</v>
      </c>
      <c r="P21" s="95">
        <f t="shared" si="0"/>
        <v>14.625</v>
      </c>
      <c r="Q21" s="97">
        <v>3.47</v>
      </c>
      <c r="R21" s="97">
        <v>3.82</v>
      </c>
      <c r="S21" s="97">
        <v>7.7</v>
      </c>
      <c r="T21" s="96">
        <f t="shared" si="1"/>
        <v>4.996666666666667</v>
      </c>
      <c r="U21" s="63" t="s">
        <v>321</v>
      </c>
      <c r="V21" s="82" t="s">
        <v>323</v>
      </c>
    </row>
    <row r="22" spans="1:22" ht="15.75" x14ac:dyDescent="0.25">
      <c r="A22" s="5" t="s">
        <v>15</v>
      </c>
      <c r="B22" s="4" t="s">
        <v>57</v>
      </c>
      <c r="C22" s="8" t="s">
        <v>17</v>
      </c>
      <c r="D22" s="4" t="s">
        <v>58</v>
      </c>
      <c r="E22" s="4" t="s">
        <v>19</v>
      </c>
      <c r="F22" s="31">
        <v>17</v>
      </c>
      <c r="G22" s="31">
        <v>2022</v>
      </c>
      <c r="H22" s="31">
        <v>1</v>
      </c>
      <c r="I22" s="31">
        <v>17</v>
      </c>
      <c r="J22" s="27" t="e">
        <f>[1]!Tableau2[[#This Row],[Annee d''inscription au programme]]&amp;"-"&amp;[1]!Tableau2[[#This Row],[Code d''ecole]]&amp;"-"&amp;[1]!Tableau2[[#This Row],[Numero HM de la fille]]</f>
        <v>#REF!</v>
      </c>
      <c r="K22" s="4">
        <v>5</v>
      </c>
      <c r="L22" s="4">
        <v>4</v>
      </c>
      <c r="M22" s="95">
        <f t="shared" si="2"/>
        <v>4.5</v>
      </c>
      <c r="N22" s="4">
        <v>10</v>
      </c>
      <c r="O22" s="4">
        <v>15.75</v>
      </c>
      <c r="P22" s="95">
        <f t="shared" si="0"/>
        <v>12.875</v>
      </c>
      <c r="Q22" s="97">
        <v>3.82</v>
      </c>
      <c r="R22" s="97">
        <v>3.92</v>
      </c>
      <c r="S22" s="97">
        <v>7.26</v>
      </c>
      <c r="T22" s="96">
        <f t="shared" si="1"/>
        <v>5</v>
      </c>
      <c r="U22" s="63" t="s">
        <v>321</v>
      </c>
      <c r="V22" s="82" t="s">
        <v>325</v>
      </c>
    </row>
    <row r="23" spans="1:22" ht="15.75" hidden="1" x14ac:dyDescent="0.25">
      <c r="A23" s="5" t="s">
        <v>15</v>
      </c>
      <c r="B23" s="4" t="s">
        <v>59</v>
      </c>
      <c r="C23" s="8" t="s">
        <v>21</v>
      </c>
      <c r="D23" s="4" t="s">
        <v>60</v>
      </c>
      <c r="E23" s="4" t="s">
        <v>19</v>
      </c>
      <c r="F23" s="31">
        <v>18</v>
      </c>
      <c r="G23" s="31">
        <v>2022</v>
      </c>
      <c r="H23" s="31">
        <v>1</v>
      </c>
      <c r="I23" s="31">
        <v>18</v>
      </c>
      <c r="J23" s="27" t="e">
        <f>[1]!Tableau2[[#This Row],[Annee d''inscription au programme]]&amp;"-"&amp;[1]!Tableau2[[#This Row],[Code d''ecole]]&amp;"-"&amp;[1]!Tableau2[[#This Row],[Numero HM de la fille]]</f>
        <v>#REF!</v>
      </c>
      <c r="K23" s="4">
        <v>11.5</v>
      </c>
      <c r="L23" s="4">
        <v>6</v>
      </c>
      <c r="M23" s="95">
        <f t="shared" si="2"/>
        <v>8.75</v>
      </c>
      <c r="N23" s="4">
        <v>15.5</v>
      </c>
      <c r="O23" s="4">
        <v>14</v>
      </c>
      <c r="P23" s="95">
        <f t="shared" si="0"/>
        <v>14.75</v>
      </c>
      <c r="Q23" s="97">
        <v>6</v>
      </c>
      <c r="R23" s="97">
        <v>5</v>
      </c>
      <c r="S23" s="97">
        <v>5</v>
      </c>
      <c r="T23" s="96">
        <f t="shared" si="1"/>
        <v>5.333333333333333</v>
      </c>
      <c r="U23" s="63" t="s">
        <v>321</v>
      </c>
      <c r="V23" s="82" t="s">
        <v>323</v>
      </c>
    </row>
    <row r="24" spans="1:22" ht="15.75" hidden="1" x14ac:dyDescent="0.25">
      <c r="A24" s="5" t="s">
        <v>15</v>
      </c>
      <c r="B24" s="4" t="s">
        <v>61</v>
      </c>
      <c r="C24" s="7" t="s">
        <v>62</v>
      </c>
      <c r="D24" s="4" t="s">
        <v>63</v>
      </c>
      <c r="E24" s="4" t="s">
        <v>19</v>
      </c>
      <c r="F24" s="31">
        <v>19</v>
      </c>
      <c r="G24" s="31">
        <v>2022</v>
      </c>
      <c r="H24" s="31">
        <v>1</v>
      </c>
      <c r="I24" s="31">
        <v>19</v>
      </c>
      <c r="J24" s="27" t="e">
        <f>[1]!Tableau2[[#This Row],[Annee d''inscription au programme]]&amp;"-"&amp;[1]!Tableau2[[#This Row],[Code d''ecole]]&amp;"-"&amp;[1]!Tableau2[[#This Row],[Numero HM de la fille]]</f>
        <v>#REF!</v>
      </c>
      <c r="K24" s="4">
        <v>6</v>
      </c>
      <c r="L24" s="4">
        <v>2.5</v>
      </c>
      <c r="M24" s="95">
        <f t="shared" si="2"/>
        <v>4.25</v>
      </c>
      <c r="N24" s="4">
        <v>14</v>
      </c>
      <c r="O24" s="4">
        <v>15</v>
      </c>
      <c r="P24" s="95">
        <f t="shared" si="0"/>
        <v>14.5</v>
      </c>
      <c r="Q24" s="97">
        <v>4.05</v>
      </c>
      <c r="R24" s="97">
        <v>4.29</v>
      </c>
      <c r="S24" s="97">
        <v>6.66</v>
      </c>
      <c r="T24" s="96">
        <f t="shared" si="1"/>
        <v>5</v>
      </c>
      <c r="U24" s="63" t="s">
        <v>321</v>
      </c>
      <c r="V24" s="82" t="s">
        <v>323</v>
      </c>
    </row>
    <row r="25" spans="1:22" ht="15.75" hidden="1" x14ac:dyDescent="0.25">
      <c r="A25" s="5" t="s">
        <v>15</v>
      </c>
      <c r="B25" s="4" t="s">
        <v>64</v>
      </c>
      <c r="C25" s="7" t="s">
        <v>320</v>
      </c>
      <c r="D25" s="4" t="s">
        <v>65</v>
      </c>
      <c r="E25" s="4" t="s">
        <v>19</v>
      </c>
      <c r="F25" s="31">
        <v>20</v>
      </c>
      <c r="G25" s="31">
        <v>2022</v>
      </c>
      <c r="H25" s="31">
        <v>1</v>
      </c>
      <c r="I25" s="31">
        <v>20</v>
      </c>
      <c r="J25" s="27" t="e">
        <f>[1]!Tableau2[[#This Row],[Annee d''inscription au programme]]&amp;"-"&amp;[1]!Tableau2[[#This Row],[Code d''ecole]]&amp;"-"&amp;[1]!Tableau2[[#This Row],[Numero HM de la fille]]</f>
        <v>#REF!</v>
      </c>
      <c r="K25" s="4">
        <v>6</v>
      </c>
      <c r="L25" s="4">
        <v>3</v>
      </c>
      <c r="M25" s="95">
        <f t="shared" si="2"/>
        <v>4.5</v>
      </c>
      <c r="N25" s="4">
        <v>14.25</v>
      </c>
      <c r="O25" s="4">
        <v>16.5</v>
      </c>
      <c r="P25" s="95">
        <f t="shared" si="0"/>
        <v>15.375</v>
      </c>
      <c r="Q25" s="97">
        <v>5.64</v>
      </c>
      <c r="R25" s="97">
        <v>3.83</v>
      </c>
      <c r="S25" s="97">
        <v>5.53</v>
      </c>
      <c r="T25" s="96">
        <f t="shared" si="1"/>
        <v>5</v>
      </c>
      <c r="U25" s="63" t="s">
        <v>321</v>
      </c>
      <c r="V25" s="82" t="s">
        <v>323</v>
      </c>
    </row>
    <row r="26" spans="1:22" ht="15.75" hidden="1" x14ac:dyDescent="0.25">
      <c r="A26" s="5" t="s">
        <v>15</v>
      </c>
      <c r="B26" s="4" t="s">
        <v>235</v>
      </c>
      <c r="C26" s="7" t="s">
        <v>66</v>
      </c>
      <c r="D26" s="4" t="s">
        <v>67</v>
      </c>
      <c r="E26" s="4" t="s">
        <v>19</v>
      </c>
      <c r="F26" s="31">
        <v>21</v>
      </c>
      <c r="G26" s="31">
        <v>2022</v>
      </c>
      <c r="H26" s="31">
        <v>1</v>
      </c>
      <c r="I26" s="31">
        <v>21</v>
      </c>
      <c r="J26" s="27" t="e">
        <f>[1]!Tableau2[[#This Row],[Annee d''inscription au programme]]&amp;"-"&amp;[1]!Tableau2[[#This Row],[Code d''ecole]]&amp;"-"&amp;[1]!Tableau2[[#This Row],[Numero HM de la fille]]</f>
        <v>#REF!</v>
      </c>
      <c r="K26" s="4">
        <v>9</v>
      </c>
      <c r="L26" s="4">
        <v>6.5</v>
      </c>
      <c r="M26" s="95">
        <f t="shared" si="2"/>
        <v>7.75</v>
      </c>
      <c r="N26" s="4">
        <v>19</v>
      </c>
      <c r="O26" s="4">
        <v>15.5</v>
      </c>
      <c r="P26" s="95">
        <f t="shared" si="0"/>
        <v>17.25</v>
      </c>
      <c r="Q26" s="97">
        <v>8.52</v>
      </c>
      <c r="R26" s="97">
        <v>6.94</v>
      </c>
      <c r="S26" s="97">
        <v>5.91</v>
      </c>
      <c r="T26" s="96">
        <f t="shared" si="1"/>
        <v>7.123333333333334</v>
      </c>
      <c r="U26" s="63" t="s">
        <v>321</v>
      </c>
      <c r="V26" s="82" t="s">
        <v>323</v>
      </c>
    </row>
    <row r="27" spans="1:22" ht="15.75" hidden="1" x14ac:dyDescent="0.25">
      <c r="A27" s="5" t="s">
        <v>68</v>
      </c>
      <c r="B27" s="4" t="s">
        <v>69</v>
      </c>
      <c r="C27" s="7" t="s">
        <v>70</v>
      </c>
      <c r="D27" s="4" t="s">
        <v>71</v>
      </c>
      <c r="E27" s="4" t="s">
        <v>19</v>
      </c>
      <c r="F27" s="31">
        <v>22</v>
      </c>
      <c r="G27" s="31">
        <v>2022</v>
      </c>
      <c r="H27" s="31">
        <v>2</v>
      </c>
      <c r="I27" s="31">
        <v>22</v>
      </c>
      <c r="J27" s="27" t="e">
        <f>[1]!Tableau2[[#This Row],[Annee d''inscription au programme]]&amp;"-"&amp;[1]!Tableau2[[#This Row],[Code d''ecole]]&amp;"-"&amp;[1]!Tableau2[[#This Row],[Numero HM de la fille]]</f>
        <v>#REF!</v>
      </c>
      <c r="K27" s="4">
        <v>4.75</v>
      </c>
      <c r="L27" s="4">
        <v>12.25</v>
      </c>
      <c r="M27" s="95">
        <f t="shared" si="2"/>
        <v>8.5</v>
      </c>
      <c r="N27" s="4">
        <v>19.5</v>
      </c>
      <c r="O27" s="4">
        <v>14.75</v>
      </c>
      <c r="P27" s="95">
        <f t="shared" si="0"/>
        <v>17.125</v>
      </c>
      <c r="Q27" s="97">
        <v>5.85</v>
      </c>
      <c r="R27" s="97">
        <v>8.82</v>
      </c>
      <c r="S27" s="97">
        <v>7.52</v>
      </c>
      <c r="T27" s="96">
        <f t="shared" si="1"/>
        <v>7.3966666666666656</v>
      </c>
      <c r="U27" s="63" t="s">
        <v>321</v>
      </c>
      <c r="V27" s="82" t="s">
        <v>323</v>
      </c>
    </row>
    <row r="28" spans="1:22" ht="15.75" hidden="1" x14ac:dyDescent="0.25">
      <c r="A28" s="5" t="s">
        <v>68</v>
      </c>
      <c r="B28" s="4" t="s">
        <v>72</v>
      </c>
      <c r="C28" s="7" t="s">
        <v>73</v>
      </c>
      <c r="D28" s="4" t="s">
        <v>74</v>
      </c>
      <c r="E28" s="4" t="s">
        <v>19</v>
      </c>
      <c r="F28" s="31">
        <v>23</v>
      </c>
      <c r="G28" s="31">
        <v>2022</v>
      </c>
      <c r="H28" s="31">
        <v>2</v>
      </c>
      <c r="I28" s="31">
        <v>23</v>
      </c>
      <c r="J28" s="27" t="e">
        <f>[1]!Tableau2[[#This Row],[Annee d''inscription au programme]]&amp;"-"&amp;[1]!Tableau2[[#This Row],[Code d''ecole]]&amp;"-"&amp;[1]!Tableau2[[#This Row],[Numero HM de la fille]]</f>
        <v>#REF!</v>
      </c>
      <c r="K28" s="4">
        <v>4.75</v>
      </c>
      <c r="L28" s="4">
        <v>9</v>
      </c>
      <c r="M28" s="95">
        <f t="shared" si="2"/>
        <v>6.875</v>
      </c>
      <c r="N28" s="4">
        <v>19.25</v>
      </c>
      <c r="O28" s="4">
        <v>16</v>
      </c>
      <c r="P28" s="95">
        <f t="shared" si="0"/>
        <v>17.625</v>
      </c>
      <c r="Q28" s="97">
        <v>5.47</v>
      </c>
      <c r="R28" s="97">
        <v>7.05</v>
      </c>
      <c r="S28" s="97">
        <v>7.17</v>
      </c>
      <c r="T28" s="96">
        <f t="shared" si="1"/>
        <v>6.5633333333333326</v>
      </c>
      <c r="U28" s="63" t="s">
        <v>321</v>
      </c>
      <c r="V28" s="82" t="s">
        <v>323</v>
      </c>
    </row>
    <row r="29" spans="1:22" ht="14.25" hidden="1" customHeight="1" x14ac:dyDescent="0.25">
      <c r="A29" s="5" t="s">
        <v>68</v>
      </c>
      <c r="B29" s="4" t="s">
        <v>75</v>
      </c>
      <c r="C29" s="7" t="s">
        <v>70</v>
      </c>
      <c r="D29" s="4" t="s">
        <v>76</v>
      </c>
      <c r="E29" s="4" t="s">
        <v>19</v>
      </c>
      <c r="F29" s="31">
        <v>24</v>
      </c>
      <c r="G29" s="31">
        <v>2022</v>
      </c>
      <c r="H29" s="31">
        <v>2</v>
      </c>
      <c r="I29" s="31">
        <v>24</v>
      </c>
      <c r="J29" s="27" t="e">
        <f>[1]!Tableau2[[#This Row],[Annee d''inscription au programme]]&amp;"-"&amp;[1]!Tableau2[[#This Row],[Code d''ecole]]&amp;"-"&amp;[1]!Tableau2[[#This Row],[Numero HM de la fille]]</f>
        <v>#REF!</v>
      </c>
      <c r="K29" s="4">
        <v>7.5</v>
      </c>
      <c r="L29" s="4">
        <v>5</v>
      </c>
      <c r="M29" s="95">
        <f t="shared" si="2"/>
        <v>6.25</v>
      </c>
      <c r="N29" s="4">
        <v>19.25</v>
      </c>
      <c r="O29" s="4">
        <v>15.5</v>
      </c>
      <c r="P29" s="95">
        <f t="shared" si="0"/>
        <v>17.375</v>
      </c>
      <c r="Q29" s="97">
        <v>5.38</v>
      </c>
      <c r="R29" s="97">
        <v>8.67</v>
      </c>
      <c r="S29" s="97">
        <v>7.41</v>
      </c>
      <c r="T29" s="96">
        <f t="shared" si="1"/>
        <v>7.1533333333333333</v>
      </c>
      <c r="U29" s="63" t="s">
        <v>321</v>
      </c>
      <c r="V29" s="82" t="s">
        <v>323</v>
      </c>
    </row>
    <row r="30" spans="1:22" ht="15.75" hidden="1" x14ac:dyDescent="0.25">
      <c r="A30" s="5" t="s">
        <v>68</v>
      </c>
      <c r="B30" s="4" t="s">
        <v>77</v>
      </c>
      <c r="C30" s="7" t="s">
        <v>73</v>
      </c>
      <c r="D30" s="4" t="s">
        <v>78</v>
      </c>
      <c r="E30" s="4" t="s">
        <v>19</v>
      </c>
      <c r="F30" s="31">
        <v>25</v>
      </c>
      <c r="G30" s="31">
        <v>2022</v>
      </c>
      <c r="H30" s="31">
        <v>2</v>
      </c>
      <c r="I30" s="31">
        <v>26</v>
      </c>
      <c r="J30" s="27" t="e">
        <f>[1]!Tableau2[[#This Row],[Annee d''inscription au programme]]&amp;"-"&amp;[1]!Tableau2[[#This Row],[Code d''ecole]]&amp;"-"&amp;[1]!Tableau2[[#This Row],[Numero HM de la fille]]</f>
        <v>#REF!</v>
      </c>
      <c r="K30" s="4"/>
      <c r="L30" s="4"/>
      <c r="M30" s="95">
        <f t="shared" si="2"/>
        <v>0</v>
      </c>
      <c r="N30" s="4"/>
      <c r="O30" s="4"/>
      <c r="P30" s="95">
        <f t="shared" si="0"/>
        <v>0</v>
      </c>
      <c r="Q30" s="97">
        <v>3.75</v>
      </c>
      <c r="R30" s="97">
        <v>3.25</v>
      </c>
      <c r="S30" s="97">
        <v>3.62</v>
      </c>
      <c r="T30" s="96">
        <f t="shared" si="1"/>
        <v>3.5400000000000005</v>
      </c>
      <c r="U30" s="63" t="s">
        <v>315</v>
      </c>
      <c r="V30" s="82"/>
    </row>
    <row r="31" spans="1:22" ht="15.75" hidden="1" x14ac:dyDescent="0.25">
      <c r="A31" s="5" t="s">
        <v>68</v>
      </c>
      <c r="B31" s="4" t="s">
        <v>79</v>
      </c>
      <c r="C31" s="7" t="s">
        <v>70</v>
      </c>
      <c r="D31" s="4" t="s">
        <v>80</v>
      </c>
      <c r="E31" s="4" t="s">
        <v>19</v>
      </c>
      <c r="F31" s="31">
        <v>26</v>
      </c>
      <c r="G31" s="31">
        <v>2022</v>
      </c>
      <c r="H31" s="31">
        <v>2</v>
      </c>
      <c r="I31" s="31">
        <v>27</v>
      </c>
      <c r="J31" s="27" t="e">
        <f>[1]!Tableau2[[#This Row],[Annee d''inscription au programme]]&amp;"-"&amp;[1]!Tableau2[[#This Row],[Code d''ecole]]&amp;"-"&amp;[1]!Tableau2[[#This Row],[Numero HM de la fille]]</f>
        <v>#REF!</v>
      </c>
      <c r="K31" s="4">
        <v>4.5</v>
      </c>
      <c r="L31" s="4">
        <v>12.75</v>
      </c>
      <c r="M31" s="95">
        <f t="shared" si="2"/>
        <v>8.625</v>
      </c>
      <c r="N31" s="4">
        <v>16.5</v>
      </c>
      <c r="O31" s="4">
        <v>18.5</v>
      </c>
      <c r="P31" s="95">
        <f t="shared" si="0"/>
        <v>17.5</v>
      </c>
      <c r="Q31" s="97">
        <v>5.15</v>
      </c>
      <c r="R31" s="97">
        <v>6.02</v>
      </c>
      <c r="S31" s="97">
        <v>5.26</v>
      </c>
      <c r="T31" s="96">
        <f t="shared" si="1"/>
        <v>5.4766666666666666</v>
      </c>
      <c r="U31" s="63" t="s">
        <v>321</v>
      </c>
      <c r="V31" s="82" t="s">
        <v>323</v>
      </c>
    </row>
    <row r="32" spans="1:22" ht="15.75" hidden="1" x14ac:dyDescent="0.25">
      <c r="A32" s="5" t="s">
        <v>68</v>
      </c>
      <c r="B32" s="4" t="s">
        <v>81</v>
      </c>
      <c r="C32" s="7" t="s">
        <v>70</v>
      </c>
      <c r="D32" s="4" t="s">
        <v>82</v>
      </c>
      <c r="E32" s="4" t="s">
        <v>19</v>
      </c>
      <c r="F32" s="31">
        <v>27</v>
      </c>
      <c r="G32" s="31">
        <v>2022</v>
      </c>
      <c r="H32" s="31">
        <v>2</v>
      </c>
      <c r="I32" s="31">
        <v>28</v>
      </c>
      <c r="J32" s="27" t="e">
        <f>[1]!Tableau2[[#This Row],[Annee d''inscription au programme]]&amp;"-"&amp;[1]!Tableau2[[#This Row],[Code d''ecole]]&amp;"-"&amp;[1]!Tableau2[[#This Row],[Numero HM de la fille]]</f>
        <v>#REF!</v>
      </c>
      <c r="K32" s="4">
        <v>7.25</v>
      </c>
      <c r="L32" s="4">
        <v>5</v>
      </c>
      <c r="M32" s="95">
        <f t="shared" si="2"/>
        <v>6.125</v>
      </c>
      <c r="N32" s="4">
        <v>17.25</v>
      </c>
      <c r="O32" s="4">
        <v>14.5</v>
      </c>
      <c r="P32" s="95">
        <f t="shared" si="0"/>
        <v>15.875</v>
      </c>
      <c r="Q32" s="97">
        <v>4.1100000000000003</v>
      </c>
      <c r="R32" s="97">
        <v>5.26</v>
      </c>
      <c r="S32" s="97">
        <v>6.5</v>
      </c>
      <c r="T32" s="96">
        <f t="shared" si="1"/>
        <v>5.29</v>
      </c>
      <c r="U32" s="63" t="s">
        <v>321</v>
      </c>
      <c r="V32" s="82" t="s">
        <v>323</v>
      </c>
    </row>
    <row r="33" spans="1:22" ht="15.75" hidden="1" x14ac:dyDescent="0.25">
      <c r="A33" s="5" t="s">
        <v>68</v>
      </c>
      <c r="B33" s="4" t="s">
        <v>83</v>
      </c>
      <c r="C33" s="7" t="s">
        <v>70</v>
      </c>
      <c r="D33" s="4" t="s">
        <v>84</v>
      </c>
      <c r="E33" s="4" t="s">
        <v>19</v>
      </c>
      <c r="F33" s="31">
        <v>28</v>
      </c>
      <c r="G33" s="31">
        <v>2022</v>
      </c>
      <c r="H33" s="31">
        <v>2</v>
      </c>
      <c r="I33" s="31">
        <v>29</v>
      </c>
      <c r="J33" s="27" t="e">
        <f>[1]!Tableau2[[#This Row],[Annee d''inscription au programme]]&amp;"-"&amp;[1]!Tableau2[[#This Row],[Code d''ecole]]&amp;"-"&amp;[1]!Tableau2[[#This Row],[Numero HM de la fille]]</f>
        <v>#REF!</v>
      </c>
      <c r="K33" s="4">
        <v>2.25</v>
      </c>
      <c r="L33" s="4">
        <v>4</v>
      </c>
      <c r="M33" s="95">
        <f t="shared" si="2"/>
        <v>3.125</v>
      </c>
      <c r="N33" s="4">
        <v>17</v>
      </c>
      <c r="O33" s="4">
        <v>14.4</v>
      </c>
      <c r="P33" s="95">
        <f t="shared" si="0"/>
        <v>15.7</v>
      </c>
      <c r="Q33" s="97">
        <v>5.12</v>
      </c>
      <c r="R33" s="97">
        <v>5.36</v>
      </c>
      <c r="S33" s="97">
        <v>5.62</v>
      </c>
      <c r="T33" s="96">
        <f t="shared" si="1"/>
        <v>5.3666666666666671</v>
      </c>
      <c r="U33" s="63" t="s">
        <v>321</v>
      </c>
      <c r="V33" s="82" t="s">
        <v>323</v>
      </c>
    </row>
    <row r="34" spans="1:22" ht="15.75" hidden="1" x14ac:dyDescent="0.25">
      <c r="A34" s="5" t="s">
        <v>68</v>
      </c>
      <c r="B34" s="4" t="s">
        <v>85</v>
      </c>
      <c r="C34" s="4" t="s">
        <v>70</v>
      </c>
      <c r="D34" s="7" t="s">
        <v>86</v>
      </c>
      <c r="E34" s="4" t="s">
        <v>19</v>
      </c>
      <c r="F34" s="31">
        <v>29</v>
      </c>
      <c r="G34" s="31">
        <v>2022</v>
      </c>
      <c r="H34" s="31">
        <v>2</v>
      </c>
      <c r="I34" s="31">
        <v>30</v>
      </c>
      <c r="J34" s="27" t="e">
        <f>[1]!Tableau2[[#This Row],[Annee d''inscription au programme]]&amp;"-"&amp;[1]!Tableau2[[#This Row],[Code d''ecole]]&amp;"-"&amp;[1]!Tableau2[[#This Row],[Numero HM de la fille]]</f>
        <v>#REF!</v>
      </c>
      <c r="K34" s="4">
        <v>7.25</v>
      </c>
      <c r="L34" s="4">
        <v>7.75</v>
      </c>
      <c r="M34" s="95">
        <f t="shared" si="2"/>
        <v>7.5</v>
      </c>
      <c r="N34" s="4">
        <v>16.25</v>
      </c>
      <c r="O34" s="4">
        <v>14</v>
      </c>
      <c r="P34" s="95">
        <f t="shared" si="0"/>
        <v>15.125</v>
      </c>
      <c r="Q34" s="97">
        <v>6.38</v>
      </c>
      <c r="R34" s="97">
        <v>7.64</v>
      </c>
      <c r="S34" s="97">
        <v>6.47</v>
      </c>
      <c r="T34" s="96">
        <f t="shared" si="1"/>
        <v>6.8299999999999992</v>
      </c>
      <c r="U34" s="63" t="s">
        <v>321</v>
      </c>
      <c r="V34" s="82" t="s">
        <v>323</v>
      </c>
    </row>
    <row r="35" spans="1:22" ht="15.75" hidden="1" x14ac:dyDescent="0.25">
      <c r="A35" s="5" t="s">
        <v>68</v>
      </c>
      <c r="B35" s="4" t="s">
        <v>87</v>
      </c>
      <c r="C35" s="4" t="s">
        <v>73</v>
      </c>
      <c r="D35" s="7" t="s">
        <v>88</v>
      </c>
      <c r="E35" s="4" t="s">
        <v>19</v>
      </c>
      <c r="F35" s="31">
        <v>30</v>
      </c>
      <c r="G35" s="31">
        <v>2022</v>
      </c>
      <c r="H35" s="31">
        <v>2</v>
      </c>
      <c r="I35" s="31">
        <v>31</v>
      </c>
      <c r="J35" s="27" t="e">
        <f>[1]!Tableau2[[#This Row],[Annee d''inscription au programme]]&amp;"-"&amp;[1]!Tableau2[[#This Row],[Code d''ecole]]&amp;"-"&amp;[1]!Tableau2[[#This Row],[Numero HM de la fille]]</f>
        <v>#REF!</v>
      </c>
      <c r="K35" s="4">
        <v>2.5</v>
      </c>
      <c r="L35" s="4">
        <v>12.25</v>
      </c>
      <c r="M35" s="95">
        <f t="shared" si="2"/>
        <v>7.375</v>
      </c>
      <c r="N35" s="4">
        <v>18.25</v>
      </c>
      <c r="O35" s="4">
        <v>15</v>
      </c>
      <c r="P35" s="95">
        <f t="shared" si="0"/>
        <v>16.625</v>
      </c>
      <c r="Q35" s="97">
        <v>5.17</v>
      </c>
      <c r="R35" s="97">
        <v>5.8</v>
      </c>
      <c r="S35" s="97">
        <v>5.91</v>
      </c>
      <c r="T35" s="96">
        <f t="shared" si="1"/>
        <v>5.626666666666666</v>
      </c>
      <c r="U35" s="63" t="s">
        <v>321</v>
      </c>
      <c r="V35" s="82" t="s">
        <v>323</v>
      </c>
    </row>
    <row r="36" spans="1:22" ht="15.75" hidden="1" x14ac:dyDescent="0.25">
      <c r="A36" s="5" t="s">
        <v>68</v>
      </c>
      <c r="B36" s="4" t="s">
        <v>89</v>
      </c>
      <c r="C36" s="7" t="s">
        <v>73</v>
      </c>
      <c r="D36" s="4" t="s">
        <v>90</v>
      </c>
      <c r="E36" s="4" t="s">
        <v>19</v>
      </c>
      <c r="F36" s="31">
        <v>31</v>
      </c>
      <c r="G36" s="31">
        <v>2022</v>
      </c>
      <c r="H36" s="31">
        <v>2</v>
      </c>
      <c r="I36" s="31">
        <v>32</v>
      </c>
      <c r="J36" s="27" t="e">
        <f>[1]!Tableau2[[#This Row],[Annee d''inscription au programme]]&amp;"-"&amp;[1]!Tableau2[[#This Row],[Code d''ecole]]&amp;"-"&amp;[1]!Tableau2[[#This Row],[Numero HM de la fille]]</f>
        <v>#REF!</v>
      </c>
      <c r="K36" s="4">
        <v>2.5</v>
      </c>
      <c r="L36" s="4">
        <v>8.75</v>
      </c>
      <c r="M36" s="95">
        <f t="shared" si="2"/>
        <v>5.625</v>
      </c>
      <c r="N36" s="4">
        <v>17.75</v>
      </c>
      <c r="O36" s="4">
        <v>16</v>
      </c>
      <c r="P36" s="95">
        <f t="shared" si="0"/>
        <v>16.875</v>
      </c>
      <c r="Q36" s="97">
        <v>5.05</v>
      </c>
      <c r="R36" s="97">
        <v>7.55</v>
      </c>
      <c r="S36" s="97">
        <v>5.14</v>
      </c>
      <c r="T36" s="96">
        <f t="shared" si="1"/>
        <v>5.9133333333333331</v>
      </c>
      <c r="U36" s="63" t="s">
        <v>321</v>
      </c>
      <c r="V36" s="82" t="s">
        <v>323</v>
      </c>
    </row>
    <row r="37" spans="1:22" ht="15.75" hidden="1" x14ac:dyDescent="0.25">
      <c r="A37" s="5" t="s">
        <v>68</v>
      </c>
      <c r="B37" s="4" t="s">
        <v>91</v>
      </c>
      <c r="C37" s="7" t="s">
        <v>70</v>
      </c>
      <c r="D37" s="4" t="s">
        <v>92</v>
      </c>
      <c r="E37" s="4" t="s">
        <v>19</v>
      </c>
      <c r="F37" s="31">
        <v>32</v>
      </c>
      <c r="G37" s="31">
        <v>2022</v>
      </c>
      <c r="H37" s="31">
        <v>2</v>
      </c>
      <c r="I37" s="31">
        <v>33</v>
      </c>
      <c r="J37" s="27" t="e">
        <f>[1]!Tableau2[[#This Row],[Annee d''inscription au programme]]&amp;"-"&amp;[1]!Tableau2[[#This Row],[Code d''ecole]]&amp;"-"&amp;[1]!Tableau2[[#This Row],[Numero HM de la fille]]</f>
        <v>#REF!</v>
      </c>
      <c r="K37" s="4"/>
      <c r="L37" s="4"/>
      <c r="M37" s="95">
        <f t="shared" si="2"/>
        <v>0</v>
      </c>
      <c r="N37" s="4"/>
      <c r="O37" s="4"/>
      <c r="P37" s="95">
        <f t="shared" si="0"/>
        <v>0</v>
      </c>
      <c r="Q37" s="97">
        <v>4.75</v>
      </c>
      <c r="R37" s="97">
        <v>5</v>
      </c>
      <c r="S37" s="97">
        <v>5.29</v>
      </c>
      <c r="T37" s="96">
        <f t="shared" si="1"/>
        <v>5.0133333333333328</v>
      </c>
      <c r="U37" s="63" t="s">
        <v>321</v>
      </c>
      <c r="V37" s="82" t="s">
        <v>323</v>
      </c>
    </row>
    <row r="38" spans="1:22" ht="18" hidden="1" customHeight="1" x14ac:dyDescent="0.25">
      <c r="A38" s="5" t="s">
        <v>68</v>
      </c>
      <c r="B38" s="4" t="s">
        <v>93</v>
      </c>
      <c r="C38" s="7" t="s">
        <v>73</v>
      </c>
      <c r="D38" s="4" t="s">
        <v>94</v>
      </c>
      <c r="E38" s="4" t="s">
        <v>19</v>
      </c>
      <c r="F38" s="31">
        <v>33</v>
      </c>
      <c r="G38" s="31">
        <v>2022</v>
      </c>
      <c r="H38" s="31">
        <v>2</v>
      </c>
      <c r="I38" s="31">
        <v>34</v>
      </c>
      <c r="J38" s="27" t="e">
        <f>[1]!Tableau2[[#This Row],[Annee d''inscription au programme]]&amp;"-"&amp;[1]!Tableau2[[#This Row],[Code d''ecole]]&amp;"-"&amp;[1]!Tableau2[[#This Row],[Numero HM de la fille]]</f>
        <v>#REF!</v>
      </c>
      <c r="K38" s="4">
        <v>6.5</v>
      </c>
      <c r="L38" s="4">
        <v>4.5</v>
      </c>
      <c r="M38" s="95">
        <f t="shared" si="2"/>
        <v>5.5</v>
      </c>
      <c r="N38" s="4">
        <v>17</v>
      </c>
      <c r="O38" s="4">
        <v>16.5</v>
      </c>
      <c r="P38" s="95">
        <f t="shared" si="0"/>
        <v>16.75</v>
      </c>
      <c r="Q38" s="97">
        <v>5.23</v>
      </c>
      <c r="R38" s="97">
        <v>5.05</v>
      </c>
      <c r="S38" s="97">
        <v>5.7</v>
      </c>
      <c r="T38" s="96">
        <f t="shared" si="1"/>
        <v>5.3266666666666671</v>
      </c>
      <c r="U38" s="63" t="s">
        <v>321</v>
      </c>
      <c r="V38" s="82" t="s">
        <v>323</v>
      </c>
    </row>
    <row r="39" spans="1:22" ht="15.75" hidden="1" x14ac:dyDescent="0.25">
      <c r="A39" s="5" t="s">
        <v>68</v>
      </c>
      <c r="B39" s="4" t="s">
        <v>95</v>
      </c>
      <c r="C39" s="7" t="s">
        <v>70</v>
      </c>
      <c r="D39" s="4" t="s">
        <v>96</v>
      </c>
      <c r="E39" s="4" t="s">
        <v>19</v>
      </c>
      <c r="F39" s="31">
        <v>34</v>
      </c>
      <c r="G39" s="31">
        <v>2022</v>
      </c>
      <c r="H39" s="31">
        <v>2</v>
      </c>
      <c r="I39" s="31">
        <v>36</v>
      </c>
      <c r="J39" s="27" t="e">
        <f>[1]!Tableau2[[#This Row],[Annee d''inscription au programme]]&amp;"-"&amp;[1]!Tableau2[[#This Row],[Code d''ecole]]&amp;"-"&amp;[1]!Tableau2[[#This Row],[Numero HM de la fille]]</f>
        <v>#REF!</v>
      </c>
      <c r="K39" s="4">
        <v>6</v>
      </c>
      <c r="L39" s="4">
        <v>8.75</v>
      </c>
      <c r="M39" s="95">
        <f t="shared" si="2"/>
        <v>7.375</v>
      </c>
      <c r="N39" s="4">
        <v>16.5</v>
      </c>
      <c r="O39" s="4">
        <v>16.5</v>
      </c>
      <c r="P39" s="95">
        <f t="shared" si="0"/>
        <v>16.5</v>
      </c>
      <c r="Q39" s="97">
        <v>5.67</v>
      </c>
      <c r="R39" s="97">
        <v>6.64</v>
      </c>
      <c r="S39" s="97">
        <v>6.73</v>
      </c>
      <c r="T39" s="96">
        <f t="shared" si="1"/>
        <v>6.3466666666666667</v>
      </c>
      <c r="U39" s="63" t="s">
        <v>321</v>
      </c>
      <c r="V39" s="82" t="s">
        <v>323</v>
      </c>
    </row>
    <row r="40" spans="1:22" ht="15.75" hidden="1" x14ac:dyDescent="0.25">
      <c r="A40" s="5" t="s">
        <v>68</v>
      </c>
      <c r="B40" s="4" t="s">
        <v>97</v>
      </c>
      <c r="C40" s="7" t="s">
        <v>70</v>
      </c>
      <c r="D40" s="4" t="s">
        <v>98</v>
      </c>
      <c r="E40" s="4" t="s">
        <v>19</v>
      </c>
      <c r="F40" s="31">
        <v>35</v>
      </c>
      <c r="G40" s="31">
        <v>2022</v>
      </c>
      <c r="H40" s="31">
        <v>2</v>
      </c>
      <c r="I40" s="31">
        <v>37</v>
      </c>
      <c r="J40" s="27" t="e">
        <f>[1]!Tableau2[[#This Row],[Annee d''inscription au programme]]&amp;"-"&amp;[1]!Tableau2[[#This Row],[Code d''ecole]]&amp;"-"&amp;[1]!Tableau2[[#This Row],[Numero HM de la fille]]</f>
        <v>#REF!</v>
      </c>
      <c r="K40" s="4">
        <v>8.25</v>
      </c>
      <c r="L40" s="4">
        <v>7.25</v>
      </c>
      <c r="M40" s="95">
        <f t="shared" si="2"/>
        <v>7.75</v>
      </c>
      <c r="N40" s="4">
        <v>19</v>
      </c>
      <c r="O40" s="4">
        <v>17</v>
      </c>
      <c r="P40" s="95">
        <f t="shared" si="0"/>
        <v>18</v>
      </c>
      <c r="Q40" s="97">
        <v>8.82</v>
      </c>
      <c r="R40" s="97">
        <v>9.5500000000000007</v>
      </c>
      <c r="S40" s="97">
        <v>8.5</v>
      </c>
      <c r="T40" s="96">
        <f t="shared" si="1"/>
        <v>8.956666666666667</v>
      </c>
      <c r="U40" s="63" t="s">
        <v>321</v>
      </c>
      <c r="V40" s="82" t="s">
        <v>323</v>
      </c>
    </row>
    <row r="41" spans="1:22" ht="15.75" hidden="1" x14ac:dyDescent="0.25">
      <c r="A41" s="5" t="s">
        <v>99</v>
      </c>
      <c r="B41" s="4" t="s">
        <v>100</v>
      </c>
      <c r="C41" s="7" t="s">
        <v>101</v>
      </c>
      <c r="D41" s="4" t="s">
        <v>102</v>
      </c>
      <c r="E41" s="4" t="s">
        <v>19</v>
      </c>
      <c r="F41" s="31">
        <v>36</v>
      </c>
      <c r="G41" s="31">
        <v>2022</v>
      </c>
      <c r="H41" s="31">
        <v>3</v>
      </c>
      <c r="I41" s="31">
        <v>38</v>
      </c>
      <c r="J41" s="27" t="e">
        <f>[1]!Tableau2[[#This Row],[Annee d''inscription au programme]]&amp;"-"&amp;[1]!Tableau2[[#This Row],[Code d''ecole]]&amp;"-"&amp;[1]!Tableau2[[#This Row],[Numero HM de la fille]]</f>
        <v>#REF!</v>
      </c>
      <c r="K41" s="4">
        <v>3</v>
      </c>
      <c r="L41" s="4">
        <v>0</v>
      </c>
      <c r="M41" s="95">
        <f t="shared" si="2"/>
        <v>1.5</v>
      </c>
      <c r="N41" s="4">
        <v>10</v>
      </c>
      <c r="O41" s="4">
        <v>14.5</v>
      </c>
      <c r="P41" s="95">
        <f t="shared" si="0"/>
        <v>12.25</v>
      </c>
      <c r="Q41" s="97">
        <v>3.75</v>
      </c>
      <c r="R41" s="97">
        <v>3.82</v>
      </c>
      <c r="S41" s="97">
        <v>3.58</v>
      </c>
      <c r="T41" s="96">
        <f t="shared" si="1"/>
        <v>3.7166666666666668</v>
      </c>
      <c r="U41" s="63" t="s">
        <v>315</v>
      </c>
      <c r="V41" s="82"/>
    </row>
    <row r="42" spans="1:22" ht="15.75" hidden="1" x14ac:dyDescent="0.25">
      <c r="A42" s="5" t="s">
        <v>99</v>
      </c>
      <c r="B42" s="4" t="s">
        <v>103</v>
      </c>
      <c r="C42" s="7" t="s">
        <v>104</v>
      </c>
      <c r="D42" s="4" t="s">
        <v>105</v>
      </c>
      <c r="E42" s="4" t="s">
        <v>19</v>
      </c>
      <c r="F42" s="31">
        <v>38</v>
      </c>
      <c r="G42" s="31">
        <v>2022</v>
      </c>
      <c r="H42" s="31">
        <v>3</v>
      </c>
      <c r="I42" s="31">
        <v>40</v>
      </c>
      <c r="J42" s="27" t="e">
        <f>[1]!Tableau2[[#This Row],[Annee d''inscription au programme]]&amp;"-"&amp;[1]!Tableau2[[#This Row],[Code d''ecole]]&amp;"-"&amp;[1]!Tableau2[[#This Row],[Numero HM de la fille]]</f>
        <v>#REF!</v>
      </c>
      <c r="K42" s="4">
        <v>8</v>
      </c>
      <c r="L42" s="4">
        <v>9.5</v>
      </c>
      <c r="M42" s="95">
        <f t="shared" si="2"/>
        <v>8.75</v>
      </c>
      <c r="N42" s="4">
        <v>16</v>
      </c>
      <c r="O42" s="4">
        <v>15.5</v>
      </c>
      <c r="P42" s="95">
        <f t="shared" si="0"/>
        <v>15.75</v>
      </c>
      <c r="Q42" s="97">
        <v>7.85</v>
      </c>
      <c r="R42" s="97">
        <v>7.38</v>
      </c>
      <c r="S42" s="97">
        <v>7.79</v>
      </c>
      <c r="T42" s="96">
        <f t="shared" si="1"/>
        <v>7.6733333333333329</v>
      </c>
      <c r="U42" s="63" t="s">
        <v>321</v>
      </c>
      <c r="V42" s="82" t="s">
        <v>323</v>
      </c>
    </row>
    <row r="43" spans="1:22" ht="15.75" hidden="1" x14ac:dyDescent="0.25">
      <c r="A43" s="5" t="s">
        <v>99</v>
      </c>
      <c r="B43" s="4" t="s">
        <v>106</v>
      </c>
      <c r="C43" s="7" t="s">
        <v>104</v>
      </c>
      <c r="D43" s="4" t="s">
        <v>107</v>
      </c>
      <c r="E43" s="4" t="s">
        <v>19</v>
      </c>
      <c r="F43" s="31">
        <v>39</v>
      </c>
      <c r="G43" s="31">
        <v>2022</v>
      </c>
      <c r="H43" s="31">
        <v>3</v>
      </c>
      <c r="I43" s="31">
        <v>41</v>
      </c>
      <c r="J43" s="27" t="e">
        <f>[1]!Tableau2[[#This Row],[Annee d''inscription au programme]]&amp;"-"&amp;[1]!Tableau2[[#This Row],[Code d''ecole]]&amp;"-"&amp;[1]!Tableau2[[#This Row],[Numero HM de la fille]]</f>
        <v>#REF!</v>
      </c>
      <c r="K43" s="4">
        <v>4</v>
      </c>
      <c r="L43" s="4">
        <v>1</v>
      </c>
      <c r="M43" s="95">
        <f t="shared" si="2"/>
        <v>2.5</v>
      </c>
      <c r="N43" s="4">
        <v>11.5</v>
      </c>
      <c r="O43" s="4">
        <v>14</v>
      </c>
      <c r="P43" s="95">
        <f t="shared" si="0"/>
        <v>12.75</v>
      </c>
      <c r="Q43" s="97">
        <v>3.5</v>
      </c>
      <c r="R43" s="97">
        <v>5.32</v>
      </c>
      <c r="S43" s="97">
        <v>6.5</v>
      </c>
      <c r="T43" s="96">
        <f t="shared" si="1"/>
        <v>5.1066666666666665</v>
      </c>
      <c r="U43" s="63" t="s">
        <v>321</v>
      </c>
      <c r="V43" s="82" t="s">
        <v>323</v>
      </c>
    </row>
    <row r="44" spans="1:22" ht="15.75" hidden="1" x14ac:dyDescent="0.25">
      <c r="A44" s="5" t="s">
        <v>99</v>
      </c>
      <c r="B44" s="4" t="s">
        <v>108</v>
      </c>
      <c r="C44" s="7" t="s">
        <v>109</v>
      </c>
      <c r="D44" s="4" t="s">
        <v>110</v>
      </c>
      <c r="E44" s="4" t="s">
        <v>19</v>
      </c>
      <c r="F44" s="31">
        <v>40</v>
      </c>
      <c r="G44" s="31">
        <v>2022</v>
      </c>
      <c r="H44" s="31">
        <v>3</v>
      </c>
      <c r="I44" s="31">
        <v>42</v>
      </c>
      <c r="J44" s="27" t="e">
        <f>[1]!Tableau2[[#This Row],[Annee d''inscription au programme]]&amp;"-"&amp;[1]!Tableau2[[#This Row],[Code d''ecole]]&amp;"-"&amp;[1]!Tableau2[[#This Row],[Numero HM de la fille]]</f>
        <v>#REF!</v>
      </c>
      <c r="K44" s="4">
        <v>4</v>
      </c>
      <c r="L44" s="4">
        <v>2</v>
      </c>
      <c r="M44" s="95">
        <f t="shared" si="2"/>
        <v>3</v>
      </c>
      <c r="N44" s="4">
        <v>14</v>
      </c>
      <c r="O44" s="4">
        <v>18</v>
      </c>
      <c r="P44" s="95">
        <f t="shared" si="0"/>
        <v>16</v>
      </c>
      <c r="Q44" s="97">
        <v>5.1100000000000003</v>
      </c>
      <c r="R44" s="97">
        <v>5.38</v>
      </c>
      <c r="S44" s="97">
        <v>6.47</v>
      </c>
      <c r="T44" s="96">
        <f t="shared" si="1"/>
        <v>5.6533333333333333</v>
      </c>
      <c r="U44" s="63" t="s">
        <v>321</v>
      </c>
      <c r="V44" s="82" t="s">
        <v>323</v>
      </c>
    </row>
    <row r="45" spans="1:22" ht="15.75" hidden="1" x14ac:dyDescent="0.25">
      <c r="A45" s="5" t="s">
        <v>99</v>
      </c>
      <c r="B45" s="4" t="s">
        <v>111</v>
      </c>
      <c r="C45" s="7" t="s">
        <v>104</v>
      </c>
      <c r="D45" s="4" t="s">
        <v>112</v>
      </c>
      <c r="E45" s="4" t="s">
        <v>19</v>
      </c>
      <c r="F45" s="31">
        <v>41</v>
      </c>
      <c r="G45" s="31">
        <v>2022</v>
      </c>
      <c r="H45" s="31">
        <v>3</v>
      </c>
      <c r="I45" s="31">
        <v>43</v>
      </c>
      <c r="J45" s="27" t="e">
        <f>[1]!Tableau2[[#This Row],[Annee d''inscription au programme]]&amp;"-"&amp;[1]!Tableau2[[#This Row],[Code d''ecole]]&amp;"-"&amp;[1]!Tableau2[[#This Row],[Numero HM de la fille]]</f>
        <v>#REF!</v>
      </c>
      <c r="K45" s="4">
        <v>4</v>
      </c>
      <c r="L45" s="4">
        <v>1.5</v>
      </c>
      <c r="M45" s="95">
        <f t="shared" si="2"/>
        <v>2.75</v>
      </c>
      <c r="N45" s="4">
        <v>14</v>
      </c>
      <c r="O45" s="4">
        <v>10</v>
      </c>
      <c r="P45" s="95">
        <f t="shared" si="0"/>
        <v>12</v>
      </c>
      <c r="Q45" s="97">
        <v>4.2</v>
      </c>
      <c r="R45" s="97">
        <v>5.2</v>
      </c>
      <c r="S45" s="97">
        <v>6.02</v>
      </c>
      <c r="T45" s="96">
        <f t="shared" si="1"/>
        <v>5.14</v>
      </c>
      <c r="U45" s="63" t="s">
        <v>321</v>
      </c>
      <c r="V45" s="82" t="s">
        <v>323</v>
      </c>
    </row>
    <row r="46" spans="1:22" ht="15.75" hidden="1" x14ac:dyDescent="0.25">
      <c r="A46" s="5" t="s">
        <v>99</v>
      </c>
      <c r="B46" s="4" t="s">
        <v>113</v>
      </c>
      <c r="C46" s="7" t="s">
        <v>104</v>
      </c>
      <c r="D46" s="4" t="s">
        <v>114</v>
      </c>
      <c r="E46" s="4" t="s">
        <v>19</v>
      </c>
      <c r="F46" s="31">
        <v>42</v>
      </c>
      <c r="G46" s="31">
        <v>2022</v>
      </c>
      <c r="H46" s="31">
        <v>3</v>
      </c>
      <c r="I46" s="31">
        <v>44</v>
      </c>
      <c r="J46" s="27" t="e">
        <f>[1]!Tableau2[[#This Row],[Annee d''inscription au programme]]&amp;"-"&amp;[1]!Tableau2[[#This Row],[Code d''ecole]]&amp;"-"&amp;[1]!Tableau2[[#This Row],[Numero HM de la fille]]</f>
        <v>#REF!</v>
      </c>
      <c r="K46" s="4">
        <v>4</v>
      </c>
      <c r="L46" s="4">
        <v>2.5</v>
      </c>
      <c r="M46" s="95">
        <f t="shared" si="2"/>
        <v>3.25</v>
      </c>
      <c r="N46" s="4">
        <v>14</v>
      </c>
      <c r="O46" s="4">
        <v>18</v>
      </c>
      <c r="P46" s="95">
        <f t="shared" si="0"/>
        <v>16</v>
      </c>
      <c r="Q46" s="97">
        <v>5</v>
      </c>
      <c r="R46" s="97">
        <v>5.26</v>
      </c>
      <c r="S46" s="97">
        <v>6.47</v>
      </c>
      <c r="T46" s="96">
        <f t="shared" si="1"/>
        <v>5.5766666666666671</v>
      </c>
      <c r="U46" s="63" t="s">
        <v>321</v>
      </c>
      <c r="V46" s="82" t="s">
        <v>323</v>
      </c>
    </row>
    <row r="47" spans="1:22" ht="15.75" hidden="1" x14ac:dyDescent="0.25">
      <c r="A47" s="5" t="s">
        <v>99</v>
      </c>
      <c r="B47" s="4" t="s">
        <v>115</v>
      </c>
      <c r="C47" s="7" t="s">
        <v>104</v>
      </c>
      <c r="D47" s="4" t="s">
        <v>116</v>
      </c>
      <c r="E47" s="4" t="s">
        <v>19</v>
      </c>
      <c r="F47" s="31">
        <v>43</v>
      </c>
      <c r="G47" s="31">
        <v>2022</v>
      </c>
      <c r="H47" s="31">
        <v>3</v>
      </c>
      <c r="I47" s="31">
        <v>45</v>
      </c>
      <c r="J47" s="27" t="e">
        <f>[1]!Tableau2[[#This Row],[Annee d''inscription au programme]]&amp;"-"&amp;[1]!Tableau2[[#This Row],[Code d''ecole]]&amp;"-"&amp;[1]!Tableau2[[#This Row],[Numero HM de la fille]]</f>
        <v>#REF!</v>
      </c>
      <c r="K47" s="4">
        <v>5.5</v>
      </c>
      <c r="L47" s="4">
        <v>7.5</v>
      </c>
      <c r="M47" s="95">
        <f t="shared" si="2"/>
        <v>6.5</v>
      </c>
      <c r="N47" s="4">
        <v>14.5</v>
      </c>
      <c r="O47" s="4">
        <v>14</v>
      </c>
      <c r="P47" s="95">
        <f t="shared" si="0"/>
        <v>14.25</v>
      </c>
      <c r="Q47" s="97">
        <v>5.58</v>
      </c>
      <c r="R47" s="97">
        <v>5.76</v>
      </c>
      <c r="S47" s="97">
        <v>6.94</v>
      </c>
      <c r="T47" s="96">
        <f t="shared" si="1"/>
        <v>6.0933333333333337</v>
      </c>
      <c r="U47" s="63" t="s">
        <v>321</v>
      </c>
      <c r="V47" s="82" t="s">
        <v>323</v>
      </c>
    </row>
    <row r="48" spans="1:22" ht="15.75" hidden="1" x14ac:dyDescent="0.25">
      <c r="A48" s="5" t="s">
        <v>99</v>
      </c>
      <c r="B48" s="4" t="s">
        <v>117</v>
      </c>
      <c r="C48" s="7" t="s">
        <v>104</v>
      </c>
      <c r="D48" s="4" t="s">
        <v>118</v>
      </c>
      <c r="E48" s="4" t="s">
        <v>19</v>
      </c>
      <c r="F48" s="31">
        <v>44</v>
      </c>
      <c r="G48" s="31">
        <v>2022</v>
      </c>
      <c r="H48" s="31">
        <v>3</v>
      </c>
      <c r="I48" s="31">
        <v>46</v>
      </c>
      <c r="J48" s="27" t="e">
        <f>[1]!Tableau2[[#This Row],[Annee d''inscription au programme]]&amp;"-"&amp;[1]!Tableau2[[#This Row],[Code d''ecole]]&amp;"-"&amp;[1]!Tableau2[[#This Row],[Numero HM de la fille]]</f>
        <v>#REF!</v>
      </c>
      <c r="K48" s="4">
        <v>5</v>
      </c>
      <c r="L48" s="4">
        <v>2</v>
      </c>
      <c r="M48" s="95">
        <f t="shared" si="2"/>
        <v>3.5</v>
      </c>
      <c r="N48" s="4">
        <v>11.5</v>
      </c>
      <c r="O48" s="4">
        <v>17</v>
      </c>
      <c r="P48" s="95">
        <f t="shared" si="0"/>
        <v>14.25</v>
      </c>
      <c r="Q48" s="97">
        <v>3.47</v>
      </c>
      <c r="R48" s="97">
        <v>5.08</v>
      </c>
      <c r="S48" s="97">
        <v>6.73</v>
      </c>
      <c r="T48" s="96">
        <f t="shared" si="1"/>
        <v>5.0933333333333337</v>
      </c>
      <c r="U48" s="63" t="s">
        <v>321</v>
      </c>
      <c r="V48" s="82" t="s">
        <v>323</v>
      </c>
    </row>
    <row r="49" spans="1:22" ht="15.75" hidden="1" x14ac:dyDescent="0.25">
      <c r="A49" s="5" t="s">
        <v>99</v>
      </c>
      <c r="B49" s="4" t="s">
        <v>119</v>
      </c>
      <c r="C49" s="7" t="s">
        <v>104</v>
      </c>
      <c r="D49" s="4" t="s">
        <v>120</v>
      </c>
      <c r="E49" s="4" t="s">
        <v>19</v>
      </c>
      <c r="F49" s="31">
        <v>45</v>
      </c>
      <c r="G49" s="31">
        <v>2022</v>
      </c>
      <c r="H49" s="31">
        <v>3</v>
      </c>
      <c r="I49" s="31">
        <v>47</v>
      </c>
      <c r="J49" s="27" t="e">
        <f>[1]!Tableau2[[#This Row],[Annee d''inscription au programme]]&amp;"-"&amp;[1]!Tableau2[[#This Row],[Code d''ecole]]&amp;"-"&amp;[1]!Tableau2[[#This Row],[Numero HM de la fille]]</f>
        <v>#REF!</v>
      </c>
      <c r="K49" s="4">
        <v>5.5</v>
      </c>
      <c r="L49" s="4">
        <v>0.5</v>
      </c>
      <c r="M49" s="95">
        <f t="shared" si="2"/>
        <v>3</v>
      </c>
      <c r="N49" s="4">
        <v>14.5</v>
      </c>
      <c r="O49" s="4">
        <v>15</v>
      </c>
      <c r="P49" s="95">
        <f t="shared" si="0"/>
        <v>14.75</v>
      </c>
      <c r="Q49" s="97">
        <v>5.1100000000000003</v>
      </c>
      <c r="R49" s="97">
        <v>5.05</v>
      </c>
      <c r="S49" s="97">
        <v>5.1100000000000003</v>
      </c>
      <c r="T49" s="96">
        <f t="shared" si="1"/>
        <v>5.09</v>
      </c>
      <c r="U49" s="63" t="s">
        <v>321</v>
      </c>
      <c r="V49" s="82" t="s">
        <v>323</v>
      </c>
    </row>
    <row r="50" spans="1:22" ht="15.75" hidden="1" x14ac:dyDescent="0.25">
      <c r="A50" s="5" t="s">
        <v>99</v>
      </c>
      <c r="B50" s="4" t="s">
        <v>121</v>
      </c>
      <c r="C50" s="7" t="s">
        <v>104</v>
      </c>
      <c r="D50" s="4" t="s">
        <v>122</v>
      </c>
      <c r="E50" s="4" t="s">
        <v>19</v>
      </c>
      <c r="F50" s="31">
        <v>46</v>
      </c>
      <c r="G50" s="31">
        <v>2022</v>
      </c>
      <c r="H50" s="31">
        <v>3</v>
      </c>
      <c r="I50" s="31">
        <v>48</v>
      </c>
      <c r="J50" s="27" t="e">
        <f>[1]!Tableau2[[#This Row],[Annee d''inscription au programme]]&amp;"-"&amp;[1]!Tableau2[[#This Row],[Code d''ecole]]&amp;"-"&amp;[1]!Tableau2[[#This Row],[Numero HM de la fille]]</f>
        <v>#REF!</v>
      </c>
      <c r="K50" s="4">
        <v>11.5</v>
      </c>
      <c r="L50" s="4">
        <v>5.5</v>
      </c>
      <c r="M50" s="95">
        <f t="shared" si="2"/>
        <v>8.5</v>
      </c>
      <c r="N50" s="4">
        <v>10.5</v>
      </c>
      <c r="O50" s="4">
        <v>14</v>
      </c>
      <c r="P50" s="95">
        <f t="shared" si="0"/>
        <v>12.25</v>
      </c>
      <c r="Q50" s="97">
        <v>5.76</v>
      </c>
      <c r="R50" s="97">
        <v>5.47</v>
      </c>
      <c r="S50" s="97">
        <v>6.55</v>
      </c>
      <c r="T50" s="96">
        <f t="shared" si="1"/>
        <v>5.9266666666666667</v>
      </c>
      <c r="U50" s="63" t="s">
        <v>321</v>
      </c>
      <c r="V50" s="82" t="s">
        <v>323</v>
      </c>
    </row>
    <row r="51" spans="1:22" ht="15.75" hidden="1" x14ac:dyDescent="0.25">
      <c r="A51" s="5" t="s">
        <v>99</v>
      </c>
      <c r="B51" s="4" t="s">
        <v>123</v>
      </c>
      <c r="C51" s="7" t="s">
        <v>104</v>
      </c>
      <c r="D51" s="4" t="s">
        <v>124</v>
      </c>
      <c r="E51" s="4" t="s">
        <v>19</v>
      </c>
      <c r="F51" s="31">
        <v>47</v>
      </c>
      <c r="G51" s="31">
        <v>2022</v>
      </c>
      <c r="H51" s="31">
        <v>3</v>
      </c>
      <c r="I51" s="31">
        <v>49</v>
      </c>
      <c r="J51" s="27" t="e">
        <f>[1]!Tableau2[[#This Row],[Annee d''inscription au programme]]&amp;"-"&amp;[1]!Tableau2[[#This Row],[Code d''ecole]]&amp;"-"&amp;[1]!Tableau2[[#This Row],[Numero HM de la fille]]</f>
        <v>#REF!</v>
      </c>
      <c r="K51" s="4">
        <v>2</v>
      </c>
      <c r="L51" s="4">
        <v>1.5</v>
      </c>
      <c r="M51" s="95">
        <f t="shared" si="2"/>
        <v>1.75</v>
      </c>
      <c r="N51" s="4">
        <v>12.5</v>
      </c>
      <c r="O51" s="4">
        <v>12.25</v>
      </c>
      <c r="P51" s="95">
        <f t="shared" si="0"/>
        <v>12.375</v>
      </c>
      <c r="Q51" s="97">
        <v>3.94</v>
      </c>
      <c r="R51" s="97">
        <v>5.29</v>
      </c>
      <c r="S51" s="97">
        <v>6</v>
      </c>
      <c r="T51" s="96">
        <f t="shared" si="1"/>
        <v>5.0766666666666671</v>
      </c>
      <c r="U51" s="63" t="s">
        <v>321</v>
      </c>
      <c r="V51" s="82" t="s">
        <v>323</v>
      </c>
    </row>
    <row r="52" spans="1:22" ht="15.75" hidden="1" x14ac:dyDescent="0.25">
      <c r="A52" s="5" t="s">
        <v>99</v>
      </c>
      <c r="B52" s="4" t="s">
        <v>125</v>
      </c>
      <c r="C52" s="7" t="s">
        <v>104</v>
      </c>
      <c r="D52" s="4" t="s">
        <v>126</v>
      </c>
      <c r="E52" s="4" t="s">
        <v>19</v>
      </c>
      <c r="F52" s="31">
        <v>48</v>
      </c>
      <c r="G52" s="31">
        <v>2022</v>
      </c>
      <c r="H52" s="31">
        <v>3</v>
      </c>
      <c r="I52" s="31">
        <v>50</v>
      </c>
      <c r="J52" s="27" t="e">
        <f>[1]!Tableau2[[#This Row],[Annee d''inscription au programme]]&amp;"-"&amp;[1]!Tableau2[[#This Row],[Code d''ecole]]&amp;"-"&amp;[1]!Tableau2[[#This Row],[Numero HM de la fille]]</f>
        <v>#REF!</v>
      </c>
      <c r="K52" s="4"/>
      <c r="L52" s="4"/>
      <c r="M52" s="95">
        <f t="shared" si="2"/>
        <v>0</v>
      </c>
      <c r="N52" s="4">
        <v>10.5</v>
      </c>
      <c r="O52" s="4">
        <v>11.5</v>
      </c>
      <c r="P52" s="95">
        <f t="shared" si="0"/>
        <v>11</v>
      </c>
      <c r="Q52" s="97">
        <v>3.66</v>
      </c>
      <c r="R52" s="97">
        <v>4.7</v>
      </c>
      <c r="S52" s="97">
        <v>5</v>
      </c>
      <c r="T52" s="96">
        <f t="shared" si="1"/>
        <v>4.4533333333333331</v>
      </c>
      <c r="U52" s="63" t="s">
        <v>315</v>
      </c>
      <c r="V52" s="82"/>
    </row>
    <row r="53" spans="1:22" ht="15.75" hidden="1" x14ac:dyDescent="0.25">
      <c r="A53" s="5" t="s">
        <v>99</v>
      </c>
      <c r="B53" s="4" t="s">
        <v>127</v>
      </c>
      <c r="C53" s="7" t="s">
        <v>104</v>
      </c>
      <c r="D53" s="4" t="s">
        <v>128</v>
      </c>
      <c r="E53" s="4" t="s">
        <v>19</v>
      </c>
      <c r="F53" s="31">
        <v>49</v>
      </c>
      <c r="G53" s="31">
        <v>2022</v>
      </c>
      <c r="H53" s="31">
        <v>3</v>
      </c>
      <c r="I53" s="31">
        <v>51</v>
      </c>
      <c r="J53" s="27" t="e">
        <f>[1]!Tableau2[[#This Row],[Annee d''inscription au programme]]&amp;"-"&amp;[1]!Tableau2[[#This Row],[Code d''ecole]]&amp;"-"&amp;[1]!Tableau2[[#This Row],[Numero HM de la fille]]</f>
        <v>#REF!</v>
      </c>
      <c r="K53" s="4">
        <v>6.5</v>
      </c>
      <c r="L53" s="4">
        <v>2.5</v>
      </c>
      <c r="M53" s="95">
        <f t="shared" si="2"/>
        <v>4.5</v>
      </c>
      <c r="N53" s="4">
        <v>13.5</v>
      </c>
      <c r="O53" s="4">
        <v>14.5</v>
      </c>
      <c r="P53" s="95">
        <f t="shared" si="0"/>
        <v>14</v>
      </c>
      <c r="Q53" s="97">
        <v>5.23</v>
      </c>
      <c r="R53" s="97">
        <v>5.23</v>
      </c>
      <c r="S53" s="97">
        <v>4.82</v>
      </c>
      <c r="T53" s="96">
        <f t="shared" si="1"/>
        <v>5.0933333333333337</v>
      </c>
      <c r="U53" s="63" t="s">
        <v>321</v>
      </c>
      <c r="V53" s="82" t="s">
        <v>323</v>
      </c>
    </row>
    <row r="54" spans="1:22" ht="15.75" hidden="1" x14ac:dyDescent="0.25">
      <c r="A54" s="5" t="s">
        <v>99</v>
      </c>
      <c r="B54" s="4" t="s">
        <v>129</v>
      </c>
      <c r="C54" s="7" t="s">
        <v>104</v>
      </c>
      <c r="D54" s="4" t="s">
        <v>130</v>
      </c>
      <c r="E54" s="4" t="s">
        <v>19</v>
      </c>
      <c r="F54" s="31">
        <v>50</v>
      </c>
      <c r="G54" s="31">
        <v>2022</v>
      </c>
      <c r="H54" s="31">
        <v>3</v>
      </c>
      <c r="I54" s="31">
        <v>52</v>
      </c>
      <c r="J54" s="27" t="e">
        <f>[1]!Tableau2[[#This Row],[Annee d''inscription au programme]]&amp;"-"&amp;[1]!Tableau2[[#This Row],[Code d''ecole]]&amp;"-"&amp;[1]!Tableau2[[#This Row],[Numero HM de la fille]]</f>
        <v>#REF!</v>
      </c>
      <c r="K54" s="4">
        <v>3.5</v>
      </c>
      <c r="L54" s="4">
        <v>0</v>
      </c>
      <c r="M54" s="95">
        <f t="shared" si="2"/>
        <v>1.75</v>
      </c>
      <c r="N54" s="4">
        <v>13.5</v>
      </c>
      <c r="O54" s="4">
        <v>16</v>
      </c>
      <c r="P54" s="95">
        <f t="shared" si="0"/>
        <v>14.75</v>
      </c>
      <c r="Q54" s="97">
        <v>6.2</v>
      </c>
      <c r="R54" s="97">
        <v>5.61</v>
      </c>
      <c r="S54" s="97">
        <v>6.44</v>
      </c>
      <c r="T54" s="96">
        <f t="shared" si="1"/>
        <v>6.083333333333333</v>
      </c>
      <c r="U54" s="63" t="s">
        <v>321</v>
      </c>
      <c r="V54" s="82" t="s">
        <v>323</v>
      </c>
    </row>
    <row r="55" spans="1:22" ht="15.75" hidden="1" x14ac:dyDescent="0.25">
      <c r="A55" s="5" t="s">
        <v>99</v>
      </c>
      <c r="B55" s="4" t="s">
        <v>131</v>
      </c>
      <c r="C55" s="7" t="s">
        <v>104</v>
      </c>
      <c r="D55" s="4" t="s">
        <v>132</v>
      </c>
      <c r="E55" s="4" t="s">
        <v>19</v>
      </c>
      <c r="F55" s="31">
        <v>51</v>
      </c>
      <c r="G55" s="31">
        <v>2022</v>
      </c>
      <c r="H55" s="31">
        <v>3</v>
      </c>
      <c r="I55" s="31">
        <v>53</v>
      </c>
      <c r="J55" s="27" t="e">
        <f>[1]!Tableau2[[#This Row],[Annee d''inscription au programme]]&amp;"-"&amp;[1]!Tableau2[[#This Row],[Code d''ecole]]&amp;"-"&amp;[1]!Tableau2[[#This Row],[Numero HM de la fille]]</f>
        <v>#REF!</v>
      </c>
      <c r="K55" s="4"/>
      <c r="L55" s="4"/>
      <c r="M55" s="95">
        <f t="shared" si="2"/>
        <v>0</v>
      </c>
      <c r="N55" s="4">
        <v>11</v>
      </c>
      <c r="O55" s="4">
        <v>10.75</v>
      </c>
      <c r="P55" s="95">
        <f t="shared" si="0"/>
        <v>10.875</v>
      </c>
      <c r="Q55" s="97">
        <v>3.7</v>
      </c>
      <c r="R55" s="97">
        <v>4.6500000000000004</v>
      </c>
      <c r="S55" s="97">
        <v>5</v>
      </c>
      <c r="T55" s="96">
        <f t="shared" si="1"/>
        <v>4.45</v>
      </c>
      <c r="U55" s="63" t="s">
        <v>315</v>
      </c>
      <c r="V55" s="82"/>
    </row>
    <row r="56" spans="1:22" ht="15.75" hidden="1" x14ac:dyDescent="0.25">
      <c r="A56" s="5" t="s">
        <v>99</v>
      </c>
      <c r="B56" s="4" t="s">
        <v>133</v>
      </c>
      <c r="C56" s="7" t="s">
        <v>104</v>
      </c>
      <c r="D56" s="4" t="s">
        <v>132</v>
      </c>
      <c r="E56" s="4" t="s">
        <v>19</v>
      </c>
      <c r="F56" s="31">
        <v>52</v>
      </c>
      <c r="G56" s="31">
        <v>2022</v>
      </c>
      <c r="H56" s="31">
        <v>3</v>
      </c>
      <c r="I56" s="31">
        <v>54</v>
      </c>
      <c r="J56" s="27" t="e">
        <f>[1]!Tableau2[[#This Row],[Annee d''inscription au programme]]&amp;"-"&amp;[1]!Tableau2[[#This Row],[Code d''ecole]]&amp;"-"&amp;[1]!Tableau2[[#This Row],[Numero HM de la fille]]</f>
        <v>#REF!</v>
      </c>
      <c r="K56" s="4">
        <v>6</v>
      </c>
      <c r="L56" s="4">
        <v>5</v>
      </c>
      <c r="M56" s="95">
        <f t="shared" si="2"/>
        <v>5.5</v>
      </c>
      <c r="N56" s="4">
        <v>12</v>
      </c>
      <c r="O56" s="4">
        <v>10.5</v>
      </c>
      <c r="P56" s="95">
        <f t="shared" si="0"/>
        <v>11.25</v>
      </c>
      <c r="Q56" s="97">
        <v>4.32</v>
      </c>
      <c r="R56" s="97">
        <v>5.73</v>
      </c>
      <c r="S56" s="97">
        <v>6.29</v>
      </c>
      <c r="T56" s="96">
        <f t="shared" si="1"/>
        <v>5.4466666666666663</v>
      </c>
      <c r="U56" s="63" t="s">
        <v>321</v>
      </c>
      <c r="V56" s="82" t="s">
        <v>323</v>
      </c>
    </row>
    <row r="57" spans="1:22" ht="15.75" hidden="1" x14ac:dyDescent="0.25">
      <c r="A57" s="5" t="s">
        <v>99</v>
      </c>
      <c r="B57" s="4" t="s">
        <v>134</v>
      </c>
      <c r="C57" s="7" t="s">
        <v>104</v>
      </c>
      <c r="D57" s="4" t="s">
        <v>135</v>
      </c>
      <c r="E57" s="4" t="s">
        <v>19</v>
      </c>
      <c r="F57" s="31">
        <v>53</v>
      </c>
      <c r="G57" s="31">
        <v>2022</v>
      </c>
      <c r="H57" s="31">
        <v>3</v>
      </c>
      <c r="I57" s="31">
        <v>55</v>
      </c>
      <c r="J57" s="27" t="e">
        <f>[1]!Tableau2[[#This Row],[Annee d''inscription au programme]]&amp;"-"&amp;[1]!Tableau2[[#This Row],[Code d''ecole]]&amp;"-"&amp;[1]!Tableau2[[#This Row],[Numero HM de la fille]]</f>
        <v>#REF!</v>
      </c>
      <c r="K57" s="4">
        <v>12</v>
      </c>
      <c r="L57" s="4">
        <v>3.5</v>
      </c>
      <c r="M57" s="95">
        <f t="shared" si="2"/>
        <v>7.75</v>
      </c>
      <c r="N57" s="4">
        <v>14</v>
      </c>
      <c r="O57" s="4">
        <v>13.5</v>
      </c>
      <c r="P57" s="95">
        <f t="shared" si="0"/>
        <v>13.75</v>
      </c>
      <c r="Q57" s="97">
        <v>5.38</v>
      </c>
      <c r="R57" s="97">
        <v>5.76</v>
      </c>
      <c r="S57" s="97">
        <v>7.05</v>
      </c>
      <c r="T57" s="96">
        <f t="shared" si="1"/>
        <v>6.0633333333333335</v>
      </c>
      <c r="U57" s="63" t="s">
        <v>321</v>
      </c>
      <c r="V57" s="82" t="s">
        <v>323</v>
      </c>
    </row>
    <row r="58" spans="1:22" ht="15.75" hidden="1" x14ac:dyDescent="0.25">
      <c r="A58" s="5" t="s">
        <v>99</v>
      </c>
      <c r="B58" s="4" t="s">
        <v>136</v>
      </c>
      <c r="C58" s="7" t="s">
        <v>104</v>
      </c>
      <c r="D58" s="4" t="s">
        <v>137</v>
      </c>
      <c r="E58" s="4" t="s">
        <v>19</v>
      </c>
      <c r="F58" s="31">
        <v>54</v>
      </c>
      <c r="G58" s="31">
        <v>2022</v>
      </c>
      <c r="H58" s="31">
        <v>3</v>
      </c>
      <c r="I58" s="31">
        <v>56</v>
      </c>
      <c r="J58" s="27" t="e">
        <f>[1]!Tableau2[[#This Row],[Annee d''inscription au programme]]&amp;"-"&amp;[1]!Tableau2[[#This Row],[Code d''ecole]]&amp;"-"&amp;[1]!Tableau2[[#This Row],[Numero HM de la fille]]</f>
        <v>#REF!</v>
      </c>
      <c r="K58" s="4">
        <v>2</v>
      </c>
      <c r="L58" s="4">
        <v>1</v>
      </c>
      <c r="M58" s="95">
        <f t="shared" si="2"/>
        <v>1.5</v>
      </c>
      <c r="N58" s="4">
        <v>14</v>
      </c>
      <c r="O58" s="4">
        <v>18</v>
      </c>
      <c r="P58" s="95">
        <f t="shared" si="0"/>
        <v>16</v>
      </c>
      <c r="Q58" s="97">
        <v>5</v>
      </c>
      <c r="R58" s="97">
        <v>5.47</v>
      </c>
      <c r="S58" s="97">
        <v>5.7</v>
      </c>
      <c r="T58" s="96">
        <f t="shared" si="1"/>
        <v>5.39</v>
      </c>
      <c r="U58" s="63" t="s">
        <v>321</v>
      </c>
      <c r="V58" s="82" t="s">
        <v>323</v>
      </c>
    </row>
    <row r="59" spans="1:22" ht="15.75" hidden="1" x14ac:dyDescent="0.25">
      <c r="A59" s="5" t="s">
        <v>99</v>
      </c>
      <c r="B59" s="4" t="s">
        <v>138</v>
      </c>
      <c r="C59" s="7" t="s">
        <v>104</v>
      </c>
      <c r="D59" s="4" t="s">
        <v>139</v>
      </c>
      <c r="E59" s="4" t="s">
        <v>19</v>
      </c>
      <c r="F59" s="31">
        <v>55</v>
      </c>
      <c r="G59" s="31">
        <v>2023</v>
      </c>
      <c r="H59" s="31">
        <v>3</v>
      </c>
      <c r="I59" s="31">
        <v>57</v>
      </c>
      <c r="J59" s="27" t="e">
        <f>[1]!Tableau2[[#This Row],[Annee d''inscription au programme]]&amp;"-"&amp;[1]!Tableau2[[#This Row],[Code d''ecole]]&amp;"-"&amp;[1]!Tableau2[[#This Row],[Numero HM de la fille]]</f>
        <v>#REF!</v>
      </c>
      <c r="K59" s="4">
        <v>4</v>
      </c>
      <c r="L59" s="4">
        <v>2</v>
      </c>
      <c r="M59" s="95">
        <f t="shared" si="2"/>
        <v>3</v>
      </c>
      <c r="N59" s="4">
        <v>13</v>
      </c>
      <c r="O59" s="4">
        <v>12.25</v>
      </c>
      <c r="P59" s="95">
        <f t="shared" si="0"/>
        <v>12.625</v>
      </c>
      <c r="Q59" s="97">
        <v>5.38</v>
      </c>
      <c r="R59" s="97">
        <v>5.23</v>
      </c>
      <c r="S59" s="97">
        <v>6.73</v>
      </c>
      <c r="T59" s="96">
        <f t="shared" si="1"/>
        <v>5.78</v>
      </c>
      <c r="U59" s="63" t="s">
        <v>321</v>
      </c>
      <c r="V59" s="82" t="s">
        <v>323</v>
      </c>
    </row>
    <row r="60" spans="1:22" ht="15.75" hidden="1" x14ac:dyDescent="0.25">
      <c r="A60" s="5" t="s">
        <v>99</v>
      </c>
      <c r="B60" s="4" t="s">
        <v>140</v>
      </c>
      <c r="C60" s="7" t="s">
        <v>104</v>
      </c>
      <c r="D60" s="4" t="s">
        <v>141</v>
      </c>
      <c r="E60" s="4" t="s">
        <v>19</v>
      </c>
      <c r="F60" s="31">
        <v>56</v>
      </c>
      <c r="G60" s="31">
        <v>2022</v>
      </c>
      <c r="H60" s="31">
        <v>3</v>
      </c>
      <c r="I60" s="31">
        <v>58</v>
      </c>
      <c r="J60" s="27" t="e">
        <f>[1]!Tableau2[[#This Row],[Annee d''inscription au programme]]&amp;"-"&amp;[1]!Tableau2[[#This Row],[Code d''ecole]]&amp;"-"&amp;[1]!Tableau2[[#This Row],[Numero HM de la fille]]</f>
        <v>#REF!</v>
      </c>
      <c r="K60" s="4">
        <v>7.5</v>
      </c>
      <c r="L60" s="4">
        <v>4.5</v>
      </c>
      <c r="M60" s="95">
        <f t="shared" si="2"/>
        <v>6</v>
      </c>
      <c r="N60" s="4">
        <v>18</v>
      </c>
      <c r="O60" s="4">
        <v>11.5</v>
      </c>
      <c r="P60" s="95">
        <f t="shared" si="0"/>
        <v>14.75</v>
      </c>
      <c r="Q60" s="97">
        <v>7.11</v>
      </c>
      <c r="R60" s="97">
        <v>6.2</v>
      </c>
      <c r="S60" s="97">
        <v>7.35</v>
      </c>
      <c r="T60" s="96">
        <f t="shared" si="1"/>
        <v>6.8866666666666667</v>
      </c>
      <c r="U60" s="63" t="s">
        <v>321</v>
      </c>
      <c r="V60" s="82" t="s">
        <v>323</v>
      </c>
    </row>
    <row r="61" spans="1:22" ht="15.75" hidden="1" x14ac:dyDescent="0.25">
      <c r="A61" s="5" t="s">
        <v>99</v>
      </c>
      <c r="B61" s="4" t="s">
        <v>142</v>
      </c>
      <c r="C61" s="7" t="s">
        <v>104</v>
      </c>
      <c r="D61" s="4" t="s">
        <v>143</v>
      </c>
      <c r="E61" s="4" t="s">
        <v>19</v>
      </c>
      <c r="F61" s="31">
        <v>57</v>
      </c>
      <c r="G61" s="31">
        <v>2022</v>
      </c>
      <c r="H61" s="31">
        <v>3</v>
      </c>
      <c r="I61" s="31">
        <v>59</v>
      </c>
      <c r="J61" s="27" t="e">
        <f>[1]!Tableau2[[#This Row],[Annee d''inscription au programme]]&amp;"-"&amp;[1]!Tableau2[[#This Row],[Code d''ecole]]&amp;"-"&amp;[1]!Tableau2[[#This Row],[Numero HM de la fille]]</f>
        <v>#REF!</v>
      </c>
      <c r="K61" s="4">
        <v>7</v>
      </c>
      <c r="L61" s="4">
        <v>4</v>
      </c>
      <c r="M61" s="95">
        <f t="shared" si="2"/>
        <v>5.5</v>
      </c>
      <c r="N61" s="4">
        <v>17.5</v>
      </c>
      <c r="O61" s="4">
        <v>13</v>
      </c>
      <c r="P61" s="95">
        <f t="shared" si="0"/>
        <v>15.25</v>
      </c>
      <c r="Q61" s="97">
        <v>5.58</v>
      </c>
      <c r="R61" s="97">
        <v>5.79</v>
      </c>
      <c r="S61" s="97">
        <v>6.5</v>
      </c>
      <c r="T61" s="96">
        <f t="shared" si="1"/>
        <v>5.956666666666667</v>
      </c>
      <c r="U61" s="63" t="s">
        <v>321</v>
      </c>
      <c r="V61" s="82" t="s">
        <v>323</v>
      </c>
    </row>
    <row r="62" spans="1:22" ht="15.75" hidden="1" x14ac:dyDescent="0.25">
      <c r="A62" s="5" t="s">
        <v>99</v>
      </c>
      <c r="B62" s="4" t="s">
        <v>144</v>
      </c>
      <c r="C62" s="7" t="s">
        <v>104</v>
      </c>
      <c r="D62" s="4" t="s">
        <v>126</v>
      </c>
      <c r="E62" s="4" t="s">
        <v>19</v>
      </c>
      <c r="F62" s="31">
        <v>58</v>
      </c>
      <c r="G62" s="31">
        <v>2022</v>
      </c>
      <c r="H62" s="31">
        <v>3</v>
      </c>
      <c r="I62" s="31">
        <v>60</v>
      </c>
      <c r="J62" s="27" t="e">
        <f>[1]!Tableau2[[#This Row],[Annee d''inscription au programme]]&amp;"-"&amp;[1]!Tableau2[[#This Row],[Code d''ecole]]&amp;"-"&amp;[1]!Tableau2[[#This Row],[Numero HM de la fille]]</f>
        <v>#REF!</v>
      </c>
      <c r="K62" s="4">
        <v>6</v>
      </c>
      <c r="L62" s="4">
        <v>0.5</v>
      </c>
      <c r="M62" s="95">
        <f t="shared" si="2"/>
        <v>3.25</v>
      </c>
      <c r="N62" s="4">
        <v>14.5</v>
      </c>
      <c r="O62" s="4">
        <v>16</v>
      </c>
      <c r="P62" s="95">
        <f t="shared" si="0"/>
        <v>15.25</v>
      </c>
      <c r="Q62" s="97">
        <v>3.38</v>
      </c>
      <c r="R62" s="97">
        <v>5.73</v>
      </c>
      <c r="S62" s="97">
        <v>6.38</v>
      </c>
      <c r="T62" s="96">
        <f t="shared" si="1"/>
        <v>5.1633333333333331</v>
      </c>
      <c r="U62" s="63" t="s">
        <v>321</v>
      </c>
      <c r="V62" s="82" t="s">
        <v>323</v>
      </c>
    </row>
    <row r="63" spans="1:22" ht="15.75" hidden="1" x14ac:dyDescent="0.25">
      <c r="A63" s="5" t="s">
        <v>99</v>
      </c>
      <c r="B63" s="4" t="s">
        <v>145</v>
      </c>
      <c r="C63" s="7" t="s">
        <v>104</v>
      </c>
      <c r="D63" s="4" t="s">
        <v>146</v>
      </c>
      <c r="E63" s="4" t="s">
        <v>19</v>
      </c>
      <c r="F63" s="31">
        <v>59</v>
      </c>
      <c r="G63" s="31">
        <v>2022</v>
      </c>
      <c r="H63" s="31">
        <v>3</v>
      </c>
      <c r="I63" s="31">
        <v>61</v>
      </c>
      <c r="J63" s="27" t="e">
        <f>[1]!Tableau2[[#This Row],[Annee d''inscription au programme]]&amp;"-"&amp;[1]!Tableau2[[#This Row],[Code d''ecole]]&amp;"-"&amp;[1]!Tableau2[[#This Row],[Numero HM de la fille]]</f>
        <v>#REF!</v>
      </c>
      <c r="K63" s="4">
        <v>6.5</v>
      </c>
      <c r="L63" s="4">
        <v>2</v>
      </c>
      <c r="M63" s="95">
        <f t="shared" si="2"/>
        <v>4.25</v>
      </c>
      <c r="N63" s="4">
        <v>16.5</v>
      </c>
      <c r="O63" s="4">
        <v>13.5</v>
      </c>
      <c r="P63" s="95">
        <f t="shared" si="0"/>
        <v>15</v>
      </c>
      <c r="Q63" s="97">
        <v>4.29</v>
      </c>
      <c r="R63" s="97">
        <v>5.23</v>
      </c>
      <c r="S63" s="97">
        <v>5.52</v>
      </c>
      <c r="T63" s="96">
        <f t="shared" si="1"/>
        <v>5.0133333333333328</v>
      </c>
      <c r="U63" s="63" t="s">
        <v>321</v>
      </c>
      <c r="V63" s="82" t="s">
        <v>323</v>
      </c>
    </row>
    <row r="64" spans="1:22" ht="15.75" hidden="1" x14ac:dyDescent="0.25">
      <c r="A64" s="5" t="s">
        <v>99</v>
      </c>
      <c r="B64" s="4" t="s">
        <v>147</v>
      </c>
      <c r="C64" s="7" t="s">
        <v>104</v>
      </c>
      <c r="D64" s="4" t="s">
        <v>148</v>
      </c>
      <c r="E64" s="4" t="s">
        <v>19</v>
      </c>
      <c r="F64" s="31">
        <v>60</v>
      </c>
      <c r="G64" s="31">
        <v>2022</v>
      </c>
      <c r="H64" s="31">
        <v>3</v>
      </c>
      <c r="I64" s="31">
        <v>62</v>
      </c>
      <c r="J64" s="27" t="e">
        <f>[1]!Tableau2[[#This Row],[Annee d''inscription au programme]]&amp;"-"&amp;[1]!Tableau2[[#This Row],[Code d''ecole]]&amp;"-"&amp;[1]!Tableau2[[#This Row],[Numero HM de la fille]]</f>
        <v>#REF!</v>
      </c>
      <c r="K64" s="4">
        <v>4</v>
      </c>
      <c r="L64" s="4">
        <v>5</v>
      </c>
      <c r="M64" s="95">
        <f t="shared" si="2"/>
        <v>4.5</v>
      </c>
      <c r="N64" s="4">
        <v>13.5</v>
      </c>
      <c r="O64" s="4">
        <v>10</v>
      </c>
      <c r="P64" s="95">
        <f t="shared" si="0"/>
        <v>11.75</v>
      </c>
      <c r="Q64" s="97">
        <v>4.2</v>
      </c>
      <c r="R64" s="97">
        <v>5.67</v>
      </c>
      <c r="S64" s="97">
        <v>5.79</v>
      </c>
      <c r="T64" s="96">
        <f t="shared" si="1"/>
        <v>5.22</v>
      </c>
      <c r="U64" s="63" t="s">
        <v>321</v>
      </c>
      <c r="V64" s="82" t="s">
        <v>323</v>
      </c>
    </row>
    <row r="65" spans="1:22" ht="15.75" x14ac:dyDescent="0.25">
      <c r="A65" s="5" t="s">
        <v>99</v>
      </c>
      <c r="B65" s="4" t="s">
        <v>149</v>
      </c>
      <c r="C65" s="7" t="s">
        <v>104</v>
      </c>
      <c r="D65" s="4" t="s">
        <v>150</v>
      </c>
      <c r="E65" s="4" t="s">
        <v>19</v>
      </c>
      <c r="F65" s="31">
        <v>61</v>
      </c>
      <c r="G65" s="31">
        <v>2022</v>
      </c>
      <c r="H65" s="31">
        <v>3</v>
      </c>
      <c r="I65" s="31">
        <v>63</v>
      </c>
      <c r="J65" s="27" t="e">
        <f>[1]!Tableau2[[#This Row],[Annee d''inscription au programme]]&amp;"-"&amp;[1]!Tableau2[[#This Row],[Code d''ecole]]&amp;"-"&amp;[1]!Tableau2[[#This Row],[Numero HM de la fille]]</f>
        <v>#REF!</v>
      </c>
      <c r="K65" s="4">
        <v>7.5</v>
      </c>
      <c r="L65" s="4">
        <v>3</v>
      </c>
      <c r="M65" s="95">
        <f t="shared" si="2"/>
        <v>5.25</v>
      </c>
      <c r="N65" s="4">
        <v>13</v>
      </c>
      <c r="O65" s="4">
        <v>11.75</v>
      </c>
      <c r="P65" s="95">
        <f t="shared" si="0"/>
        <v>12.375</v>
      </c>
      <c r="Q65" s="97">
        <v>5.0199999999999996</v>
      </c>
      <c r="R65" s="97">
        <v>5.7</v>
      </c>
      <c r="S65" s="97">
        <v>6.47</v>
      </c>
      <c r="T65" s="96">
        <f t="shared" si="1"/>
        <v>5.7299999999999995</v>
      </c>
      <c r="U65" s="63" t="s">
        <v>321</v>
      </c>
      <c r="V65" s="82" t="s">
        <v>325</v>
      </c>
    </row>
    <row r="66" spans="1:22" ht="15.75" hidden="1" x14ac:dyDescent="0.25">
      <c r="A66" s="5" t="s">
        <v>99</v>
      </c>
      <c r="B66" s="4" t="s">
        <v>151</v>
      </c>
      <c r="C66" s="7" t="s">
        <v>104</v>
      </c>
      <c r="D66" s="4" t="s">
        <v>152</v>
      </c>
      <c r="E66" s="4" t="s">
        <v>19</v>
      </c>
      <c r="F66" s="31">
        <v>62</v>
      </c>
      <c r="G66" s="31">
        <v>2022</v>
      </c>
      <c r="H66" s="31">
        <v>3</v>
      </c>
      <c r="I66" s="31">
        <v>64</v>
      </c>
      <c r="J66" s="27" t="e">
        <f>[1]!Tableau2[[#This Row],[Annee d''inscription au programme]]&amp;"-"&amp;[1]!Tableau2[[#This Row],[Code d''ecole]]&amp;"-"&amp;[1]!Tableau2[[#This Row],[Numero HM de la fille]]</f>
        <v>#REF!</v>
      </c>
      <c r="K66" s="4">
        <v>10.5</v>
      </c>
      <c r="L66" s="4">
        <v>7</v>
      </c>
      <c r="M66" s="95">
        <f t="shared" si="2"/>
        <v>8.75</v>
      </c>
      <c r="N66" s="4">
        <v>16.5</v>
      </c>
      <c r="O66" s="4">
        <v>15.5</v>
      </c>
      <c r="P66" s="95">
        <f t="shared" si="0"/>
        <v>16</v>
      </c>
      <c r="Q66" s="97">
        <v>7.26</v>
      </c>
      <c r="R66" s="97">
        <v>6.23</v>
      </c>
      <c r="S66" s="97">
        <v>7.47</v>
      </c>
      <c r="T66" s="96">
        <f t="shared" si="1"/>
        <v>6.9866666666666672</v>
      </c>
      <c r="U66" s="63" t="s">
        <v>321</v>
      </c>
      <c r="V66" s="82" t="s">
        <v>323</v>
      </c>
    </row>
    <row r="67" spans="1:22" s="34" customFormat="1" ht="15.75" hidden="1" x14ac:dyDescent="0.25">
      <c r="A67" s="29" t="s">
        <v>99</v>
      </c>
      <c r="B67" s="28" t="s">
        <v>215</v>
      </c>
      <c r="C67" s="45" t="s">
        <v>104</v>
      </c>
      <c r="D67" s="28" t="s">
        <v>187</v>
      </c>
      <c r="E67" s="28" t="s">
        <v>19</v>
      </c>
      <c r="F67" s="37">
        <v>63</v>
      </c>
      <c r="G67" s="37">
        <v>2023</v>
      </c>
      <c r="H67" s="37">
        <v>3</v>
      </c>
      <c r="I67" s="37">
        <v>65</v>
      </c>
      <c r="J67" s="27" t="e">
        <f>[1]!Tableau2[[#This Row],[Annee d''inscription au programme]]&amp;"-"&amp;[1]!Tableau2[[#This Row],[Code d''ecole]]&amp;"-"&amp;[1]!Tableau2[[#This Row],[Numero HM de la fille]]</f>
        <v>#REF!</v>
      </c>
      <c r="K67" s="28">
        <v>14</v>
      </c>
      <c r="L67" s="28">
        <v>9</v>
      </c>
      <c r="M67" s="95">
        <f t="shared" si="2"/>
        <v>11.5</v>
      </c>
      <c r="N67" s="28">
        <v>18</v>
      </c>
      <c r="O67" s="28">
        <v>16.5</v>
      </c>
      <c r="P67" s="95">
        <f t="shared" si="0"/>
        <v>17.25</v>
      </c>
      <c r="Q67" s="97">
        <v>8.35</v>
      </c>
      <c r="R67" s="97">
        <v>7.79</v>
      </c>
      <c r="S67" s="97">
        <v>8.41</v>
      </c>
      <c r="T67" s="96">
        <f t="shared" si="1"/>
        <v>8.1833333333333336</v>
      </c>
      <c r="U67" s="63" t="s">
        <v>321</v>
      </c>
      <c r="V67" s="82" t="s">
        <v>323</v>
      </c>
    </row>
    <row r="68" spans="1:22" ht="15.75" hidden="1" x14ac:dyDescent="0.25">
      <c r="A68" s="5" t="s">
        <v>99</v>
      </c>
      <c r="B68" s="4" t="s">
        <v>216</v>
      </c>
      <c r="C68" s="7" t="s">
        <v>104</v>
      </c>
      <c r="D68" s="4" t="s">
        <v>222</v>
      </c>
      <c r="E68" s="4" t="s">
        <v>19</v>
      </c>
      <c r="F68" s="31">
        <v>64</v>
      </c>
      <c r="G68" s="31">
        <v>2023</v>
      </c>
      <c r="H68" s="31">
        <v>3</v>
      </c>
      <c r="I68" s="31">
        <v>66</v>
      </c>
      <c r="J68" s="27" t="e">
        <f>[1]!Tableau2[[#This Row],[Annee d''inscription au programme]]&amp;"-"&amp;[1]!Tableau2[[#This Row],[Code d''ecole]]&amp;"-"&amp;[1]!Tableau2[[#This Row],[Numero HM de la fille]]</f>
        <v>#REF!</v>
      </c>
      <c r="K68" s="4">
        <v>3</v>
      </c>
      <c r="L68" s="4">
        <v>1</v>
      </c>
      <c r="M68" s="95">
        <f t="shared" si="2"/>
        <v>2</v>
      </c>
      <c r="N68" s="4">
        <v>12</v>
      </c>
      <c r="O68" s="4">
        <v>15.75</v>
      </c>
      <c r="P68" s="95">
        <f t="shared" ref="P68:P81" si="3">SUM(N68+O68)/2</f>
        <v>13.875</v>
      </c>
      <c r="Q68" s="97">
        <v>3.88</v>
      </c>
      <c r="R68" s="97">
        <v>3.94</v>
      </c>
      <c r="S68" s="97">
        <v>5.41</v>
      </c>
      <c r="T68" s="96">
        <f t="shared" ref="T68:T81" si="4">AVERAGE(Q68+R68+S68)/3</f>
        <v>4.41</v>
      </c>
      <c r="U68" s="62" t="s">
        <v>316</v>
      </c>
      <c r="V68" s="82"/>
    </row>
    <row r="69" spans="1:22" ht="15.75" hidden="1" x14ac:dyDescent="0.25">
      <c r="A69" s="5" t="s">
        <v>99</v>
      </c>
      <c r="B69" s="4" t="s">
        <v>217</v>
      </c>
      <c r="C69" s="7" t="s">
        <v>104</v>
      </c>
      <c r="D69" s="4" t="s">
        <v>223</v>
      </c>
      <c r="E69" s="4" t="s">
        <v>19</v>
      </c>
      <c r="F69" s="31">
        <v>65</v>
      </c>
      <c r="G69" s="31">
        <v>2023</v>
      </c>
      <c r="H69" s="31">
        <v>3</v>
      </c>
      <c r="I69" s="31">
        <v>67</v>
      </c>
      <c r="J69" s="27" t="e">
        <f>[1]!Tableau2[[#This Row],[Annee d''inscription au programme]]&amp;"-"&amp;[1]!Tableau2[[#This Row],[Code d''ecole]]&amp;"-"&amp;[1]!Tableau2[[#This Row],[Numero HM de la fille]]</f>
        <v>#REF!</v>
      </c>
      <c r="K69" s="4">
        <v>4</v>
      </c>
      <c r="L69" s="4">
        <v>4.5</v>
      </c>
      <c r="M69" s="95">
        <f t="shared" si="2"/>
        <v>4.25</v>
      </c>
      <c r="N69" s="4">
        <v>12.5</v>
      </c>
      <c r="O69" s="4">
        <v>12.5</v>
      </c>
      <c r="P69" s="95">
        <f t="shared" si="3"/>
        <v>12.5</v>
      </c>
      <c r="Q69" s="97">
        <v>5.05</v>
      </c>
      <c r="R69" s="97">
        <v>5.2</v>
      </c>
      <c r="S69" s="97">
        <v>6.41</v>
      </c>
      <c r="T69" s="96">
        <f t="shared" si="4"/>
        <v>5.5533333333333337</v>
      </c>
      <c r="U69" s="63" t="s">
        <v>321</v>
      </c>
      <c r="V69" s="82" t="s">
        <v>323</v>
      </c>
    </row>
    <row r="70" spans="1:22" ht="15.75" hidden="1" x14ac:dyDescent="0.25">
      <c r="A70" s="5" t="s">
        <v>99</v>
      </c>
      <c r="B70" s="4" t="s">
        <v>174</v>
      </c>
      <c r="C70" s="7" t="s">
        <v>104</v>
      </c>
      <c r="D70" s="4" t="s">
        <v>195</v>
      </c>
      <c r="E70" s="4" t="s">
        <v>19</v>
      </c>
      <c r="F70" s="31">
        <v>66</v>
      </c>
      <c r="G70" s="31">
        <v>2023</v>
      </c>
      <c r="H70" s="31">
        <v>3</v>
      </c>
      <c r="I70" s="31">
        <v>68</v>
      </c>
      <c r="J70" s="27" t="e">
        <f>[1]!Tableau2[[#This Row],[Annee d''inscription au programme]]&amp;"-"&amp;[1]!Tableau2[[#This Row],[Code d''ecole]]&amp;"-"&amp;[1]!Tableau2[[#This Row],[Numero HM de la fille]]</f>
        <v>#REF!</v>
      </c>
      <c r="K70" s="4">
        <v>3</v>
      </c>
      <c r="L70" s="4">
        <v>1</v>
      </c>
      <c r="M70" s="95">
        <f t="shared" ref="M70:M81" si="5">SUM(K70+L70)/2</f>
        <v>2</v>
      </c>
      <c r="N70" s="4">
        <v>11</v>
      </c>
      <c r="O70" s="4">
        <v>15.5</v>
      </c>
      <c r="P70" s="95">
        <f t="shared" si="3"/>
        <v>13.25</v>
      </c>
      <c r="Q70" s="97">
        <v>2.64</v>
      </c>
      <c r="R70" s="97">
        <v>5.03</v>
      </c>
      <c r="S70" s="97">
        <v>5.05</v>
      </c>
      <c r="T70" s="96">
        <f t="shared" si="4"/>
        <v>4.2399999999999993</v>
      </c>
      <c r="U70" s="62" t="s">
        <v>316</v>
      </c>
      <c r="V70" s="82"/>
    </row>
    <row r="71" spans="1:22" ht="15.75" hidden="1" x14ac:dyDescent="0.25">
      <c r="A71" s="5" t="s">
        <v>99</v>
      </c>
      <c r="B71" s="4" t="s">
        <v>218</v>
      </c>
      <c r="C71" s="7" t="s">
        <v>104</v>
      </c>
      <c r="D71" s="4" t="s">
        <v>187</v>
      </c>
      <c r="E71" s="4" t="s">
        <v>19</v>
      </c>
      <c r="F71" s="31">
        <v>67</v>
      </c>
      <c r="G71" s="31">
        <v>2023</v>
      </c>
      <c r="H71" s="31">
        <v>3</v>
      </c>
      <c r="I71" s="31">
        <v>69</v>
      </c>
      <c r="J71" s="27" t="e">
        <f>[1]!Tableau2[[#This Row],[Annee d''inscription au programme]]&amp;"-"&amp;[1]!Tableau2[[#This Row],[Code d''ecole]]&amp;"-"&amp;[1]!Tableau2[[#This Row],[Numero HM de la fille]]</f>
        <v>#REF!</v>
      </c>
      <c r="K71" s="4">
        <v>7</v>
      </c>
      <c r="L71" s="4">
        <v>4</v>
      </c>
      <c r="M71" s="95">
        <f t="shared" si="5"/>
        <v>5.5</v>
      </c>
      <c r="N71" s="4">
        <v>17</v>
      </c>
      <c r="O71" s="4">
        <v>10.5</v>
      </c>
      <c r="P71" s="95">
        <f t="shared" si="3"/>
        <v>13.75</v>
      </c>
      <c r="Q71" s="97">
        <v>6.11</v>
      </c>
      <c r="R71" s="97">
        <v>7.35</v>
      </c>
      <c r="S71" s="97">
        <v>7.55</v>
      </c>
      <c r="T71" s="96">
        <f t="shared" si="4"/>
        <v>7.0033333333333339</v>
      </c>
      <c r="U71" s="63" t="s">
        <v>321</v>
      </c>
      <c r="V71" s="82" t="s">
        <v>323</v>
      </c>
    </row>
    <row r="72" spans="1:22" ht="15.75" hidden="1" x14ac:dyDescent="0.25">
      <c r="A72" s="5" t="s">
        <v>99</v>
      </c>
      <c r="B72" s="4" t="s">
        <v>219</v>
      </c>
      <c r="C72" s="7" t="s">
        <v>104</v>
      </c>
      <c r="D72" s="4" t="s">
        <v>63</v>
      </c>
      <c r="E72" s="4" t="s">
        <v>19</v>
      </c>
      <c r="F72" s="31">
        <v>68</v>
      </c>
      <c r="G72" s="31">
        <v>2023</v>
      </c>
      <c r="H72" s="31">
        <v>3</v>
      </c>
      <c r="I72" s="31">
        <v>70</v>
      </c>
      <c r="J72" s="27" t="e">
        <f>[1]!Tableau2[[#This Row],[Annee d''inscription au programme]]&amp;"-"&amp;[1]!Tableau2[[#This Row],[Code d''ecole]]&amp;"-"&amp;[1]!Tableau2[[#This Row],[Numero HM de la fille]]</f>
        <v>#REF!</v>
      </c>
      <c r="K72" s="4">
        <v>3</v>
      </c>
      <c r="L72" s="4">
        <v>3</v>
      </c>
      <c r="M72" s="95">
        <f t="shared" si="5"/>
        <v>3</v>
      </c>
      <c r="N72" s="4">
        <v>18</v>
      </c>
      <c r="O72" s="4">
        <v>10.5</v>
      </c>
      <c r="P72" s="95">
        <f t="shared" si="3"/>
        <v>14.25</v>
      </c>
      <c r="Q72" s="97">
        <v>5</v>
      </c>
      <c r="R72" s="97">
        <v>5.79</v>
      </c>
      <c r="S72" s="97">
        <v>6</v>
      </c>
      <c r="T72" s="96">
        <f t="shared" si="4"/>
        <v>5.5966666666666667</v>
      </c>
      <c r="U72" s="63" t="s">
        <v>321</v>
      </c>
      <c r="V72" s="82" t="s">
        <v>323</v>
      </c>
    </row>
    <row r="73" spans="1:22" ht="15.75" hidden="1" x14ac:dyDescent="0.25">
      <c r="A73" s="5" t="s">
        <v>99</v>
      </c>
      <c r="B73" s="4" t="s">
        <v>220</v>
      </c>
      <c r="C73" s="7" t="s">
        <v>104</v>
      </c>
      <c r="D73" s="4" t="s">
        <v>224</v>
      </c>
      <c r="E73" s="4" t="s">
        <v>19</v>
      </c>
      <c r="F73" s="31">
        <v>69</v>
      </c>
      <c r="G73" s="31">
        <v>2023</v>
      </c>
      <c r="H73" s="31">
        <v>3</v>
      </c>
      <c r="I73" s="31">
        <v>71</v>
      </c>
      <c r="J73" s="27" t="e">
        <f>[1]!Tableau2[[#This Row],[Annee d''inscription au programme]]&amp;"-"&amp;[1]!Tableau2[[#This Row],[Code d''ecole]]&amp;"-"&amp;[1]!Tableau2[[#This Row],[Numero HM de la fille]]</f>
        <v>#REF!</v>
      </c>
      <c r="K73" s="4">
        <v>8.5</v>
      </c>
      <c r="L73" s="4">
        <v>6.5</v>
      </c>
      <c r="M73" s="95">
        <f t="shared" si="5"/>
        <v>7.5</v>
      </c>
      <c r="N73" s="4">
        <v>17</v>
      </c>
      <c r="O73" s="4">
        <v>15.5</v>
      </c>
      <c r="P73" s="95">
        <f t="shared" si="3"/>
        <v>16.25</v>
      </c>
      <c r="Q73" s="97">
        <v>7.05</v>
      </c>
      <c r="R73" s="97">
        <v>6.08</v>
      </c>
      <c r="S73" s="97">
        <v>7.47</v>
      </c>
      <c r="T73" s="96">
        <f t="shared" si="4"/>
        <v>6.8666666666666663</v>
      </c>
      <c r="U73" s="63" t="s">
        <v>321</v>
      </c>
      <c r="V73" s="82" t="s">
        <v>323</v>
      </c>
    </row>
    <row r="74" spans="1:22" ht="15.75" hidden="1" x14ac:dyDescent="0.25">
      <c r="A74" s="5" t="s">
        <v>99</v>
      </c>
      <c r="B74" s="4" t="s">
        <v>221</v>
      </c>
      <c r="C74" s="7" t="s">
        <v>104</v>
      </c>
      <c r="D74" s="4" t="s">
        <v>225</v>
      </c>
      <c r="E74" s="4" t="s">
        <v>19</v>
      </c>
      <c r="F74" s="31">
        <v>70</v>
      </c>
      <c r="G74" s="31">
        <v>2023</v>
      </c>
      <c r="H74" s="31">
        <v>3</v>
      </c>
      <c r="I74" s="31">
        <v>72</v>
      </c>
      <c r="J74" s="27" t="e">
        <f>[1]!Tableau2[[#This Row],[Annee d''inscription au programme]]&amp;"-"&amp;[1]!Tableau2[[#This Row],[Code d''ecole]]&amp;"-"&amp;[1]!Tableau2[[#This Row],[Numero HM de la fille]]</f>
        <v>#REF!</v>
      </c>
      <c r="K74" s="4">
        <v>4</v>
      </c>
      <c r="L74" s="4">
        <v>1.5</v>
      </c>
      <c r="M74" s="95">
        <f t="shared" si="5"/>
        <v>2.75</v>
      </c>
      <c r="N74" s="4">
        <v>12.5</v>
      </c>
      <c r="O74" s="4">
        <v>15.5</v>
      </c>
      <c r="P74" s="95">
        <f t="shared" si="3"/>
        <v>14</v>
      </c>
      <c r="Q74" s="97">
        <v>5.14</v>
      </c>
      <c r="R74" s="97">
        <v>5.7</v>
      </c>
      <c r="S74" s="97">
        <v>5.61</v>
      </c>
      <c r="T74" s="96">
        <f t="shared" si="4"/>
        <v>5.4833333333333334</v>
      </c>
      <c r="U74" s="63" t="s">
        <v>321</v>
      </c>
      <c r="V74" s="82" t="s">
        <v>323</v>
      </c>
    </row>
    <row r="75" spans="1:22" s="34" customFormat="1" ht="15.75" hidden="1" x14ac:dyDescent="0.25">
      <c r="A75" s="29" t="s">
        <v>229</v>
      </c>
      <c r="B75" s="28" t="s">
        <v>226</v>
      </c>
      <c r="C75" s="45"/>
      <c r="D75" s="28" t="s">
        <v>230</v>
      </c>
      <c r="E75" s="28" t="s">
        <v>19</v>
      </c>
      <c r="F75" s="37">
        <v>71</v>
      </c>
      <c r="G75" s="37">
        <v>2023</v>
      </c>
      <c r="H75" s="37">
        <v>2</v>
      </c>
      <c r="I75" s="37">
        <v>73</v>
      </c>
      <c r="J75" s="27" t="e">
        <f>[1]!Tableau2[[#This Row],[Annee d''inscription au programme]]&amp;"-"&amp;[1]!Tableau2[[#This Row],[Code d''ecole]]&amp;"-"&amp;[1]!Tableau2[[#This Row],[Numero HM de la fille]]</f>
        <v>#REF!</v>
      </c>
      <c r="K75" s="28">
        <v>3.75</v>
      </c>
      <c r="L75" s="28">
        <v>7</v>
      </c>
      <c r="M75" s="95">
        <f t="shared" si="5"/>
        <v>5.375</v>
      </c>
      <c r="N75" s="28">
        <v>15.75</v>
      </c>
      <c r="O75" s="28">
        <v>14.5</v>
      </c>
      <c r="P75" s="95">
        <f t="shared" si="3"/>
        <v>15.125</v>
      </c>
      <c r="Q75" s="97">
        <v>5.0199999999999996</v>
      </c>
      <c r="R75" s="97">
        <v>7.05</v>
      </c>
      <c r="S75" s="97">
        <v>6.23</v>
      </c>
      <c r="T75" s="96">
        <f t="shared" si="4"/>
        <v>6.1000000000000005</v>
      </c>
      <c r="U75" s="63" t="s">
        <v>321</v>
      </c>
      <c r="V75" s="82" t="s">
        <v>323</v>
      </c>
    </row>
    <row r="76" spans="1:22" ht="15.75" hidden="1" x14ac:dyDescent="0.25">
      <c r="A76" s="5" t="s">
        <v>229</v>
      </c>
      <c r="B76" s="4" t="s">
        <v>227</v>
      </c>
      <c r="C76" s="7"/>
      <c r="D76" s="4" t="s">
        <v>231</v>
      </c>
      <c r="E76" s="4" t="s">
        <v>19</v>
      </c>
      <c r="F76" s="31">
        <v>72</v>
      </c>
      <c r="G76" s="31">
        <v>2023</v>
      </c>
      <c r="H76" s="31">
        <v>2</v>
      </c>
      <c r="I76" s="31">
        <v>74</v>
      </c>
      <c r="J76" s="27" t="e">
        <f>[1]!Tableau2[[#This Row],[Annee d''inscription au programme]]&amp;"-"&amp;[1]!Tableau2[[#This Row],[Code d''ecole]]&amp;"-"&amp;[1]!Tableau2[[#This Row],[Numero HM de la fille]]</f>
        <v>#REF!</v>
      </c>
      <c r="K76" s="4">
        <v>2.25</v>
      </c>
      <c r="L76" s="4">
        <v>8.25</v>
      </c>
      <c r="M76" s="95">
        <f t="shared" si="5"/>
        <v>5.25</v>
      </c>
      <c r="N76" s="4">
        <v>16.75</v>
      </c>
      <c r="O76" s="4">
        <v>13.5</v>
      </c>
      <c r="P76" s="95">
        <f t="shared" si="3"/>
        <v>15.125</v>
      </c>
      <c r="Q76" s="97">
        <v>5.38</v>
      </c>
      <c r="R76" s="97">
        <v>7.41</v>
      </c>
      <c r="S76" s="97">
        <v>5.26</v>
      </c>
      <c r="T76" s="96">
        <f t="shared" si="4"/>
        <v>6.0166666666666657</v>
      </c>
      <c r="U76" s="63" t="s">
        <v>321</v>
      </c>
      <c r="V76" s="82" t="s">
        <v>323</v>
      </c>
    </row>
    <row r="77" spans="1:22" ht="15.75" hidden="1" x14ac:dyDescent="0.25">
      <c r="A77" s="5" t="s">
        <v>229</v>
      </c>
      <c r="B77" s="4" t="s">
        <v>228</v>
      </c>
      <c r="C77" s="7"/>
      <c r="D77" s="4" t="s">
        <v>232</v>
      </c>
      <c r="E77" s="4" t="s">
        <v>19</v>
      </c>
      <c r="F77" s="31">
        <v>73</v>
      </c>
      <c r="G77" s="31">
        <v>2023</v>
      </c>
      <c r="H77" s="31">
        <v>2</v>
      </c>
      <c r="I77" s="31">
        <v>75</v>
      </c>
      <c r="J77" s="27" t="e">
        <f>[1]!Tableau2[[#This Row],[Annee d''inscription au programme]]&amp;"-"&amp;[1]!Tableau2[[#This Row],[Code d''ecole]]&amp;"-"&amp;[1]!Tableau2[[#This Row],[Numero HM de la fille]]</f>
        <v>#REF!</v>
      </c>
      <c r="K77" s="4">
        <v>6.75</v>
      </c>
      <c r="L77" s="4">
        <v>7.5</v>
      </c>
      <c r="M77" s="95">
        <f t="shared" si="5"/>
        <v>7.125</v>
      </c>
      <c r="N77" s="4">
        <v>19.5</v>
      </c>
      <c r="O77" s="4">
        <v>15</v>
      </c>
      <c r="P77" s="95">
        <f t="shared" si="3"/>
        <v>17.25</v>
      </c>
      <c r="Q77" s="97">
        <v>7.08</v>
      </c>
      <c r="R77" s="97">
        <v>7.41</v>
      </c>
      <c r="S77" s="97">
        <v>7.64</v>
      </c>
      <c r="T77" s="96">
        <f t="shared" si="4"/>
        <v>7.376666666666666</v>
      </c>
      <c r="U77" s="63" t="s">
        <v>321</v>
      </c>
      <c r="V77" s="82" t="s">
        <v>323</v>
      </c>
    </row>
    <row r="78" spans="1:22" s="34" customFormat="1" ht="15.75" hidden="1" x14ac:dyDescent="0.25">
      <c r="A78" s="29" t="s">
        <v>240</v>
      </c>
      <c r="B78" s="28" t="s">
        <v>236</v>
      </c>
      <c r="C78" s="45"/>
      <c r="D78" s="28" t="s">
        <v>241</v>
      </c>
      <c r="E78" s="28" t="s">
        <v>19</v>
      </c>
      <c r="F78" s="37">
        <v>74</v>
      </c>
      <c r="G78" s="37">
        <v>2023</v>
      </c>
      <c r="H78" s="37">
        <v>1</v>
      </c>
      <c r="I78" s="37">
        <v>76</v>
      </c>
      <c r="J78" s="27" t="e">
        <f>[1]!Tableau2[[#This Row],[Annee d''inscription au programme]]&amp;"-"&amp;[1]!Tableau2[[#This Row],[Code d''ecole]]&amp;"-"&amp;[1]!Tableau2[[#This Row],[Numero HM de la fille]]</f>
        <v>#REF!</v>
      </c>
      <c r="K78" s="28">
        <v>8</v>
      </c>
      <c r="L78" s="28">
        <v>3.5</v>
      </c>
      <c r="M78" s="95">
        <f t="shared" si="5"/>
        <v>5.75</v>
      </c>
      <c r="N78" s="28">
        <v>14.75</v>
      </c>
      <c r="O78" s="28">
        <v>12.5</v>
      </c>
      <c r="P78" s="95">
        <f t="shared" si="3"/>
        <v>13.625</v>
      </c>
      <c r="Q78" s="97">
        <v>5.97</v>
      </c>
      <c r="R78" s="97">
        <v>6.08</v>
      </c>
      <c r="S78" s="97">
        <v>5.29</v>
      </c>
      <c r="T78" s="96">
        <f t="shared" si="4"/>
        <v>5.78</v>
      </c>
      <c r="U78" s="63" t="s">
        <v>321</v>
      </c>
      <c r="V78" s="82" t="s">
        <v>323</v>
      </c>
    </row>
    <row r="79" spans="1:22" ht="15.75" hidden="1" x14ac:dyDescent="0.25">
      <c r="A79" s="5" t="s">
        <v>240</v>
      </c>
      <c r="B79" s="4" t="s">
        <v>237</v>
      </c>
      <c r="C79" s="7"/>
      <c r="D79" s="4" t="s">
        <v>63</v>
      </c>
      <c r="E79" s="4" t="s">
        <v>19</v>
      </c>
      <c r="F79" s="31">
        <v>75</v>
      </c>
      <c r="G79" s="31">
        <v>2023</v>
      </c>
      <c r="H79" s="37">
        <v>1</v>
      </c>
      <c r="I79" s="31">
        <v>77</v>
      </c>
      <c r="J79" s="27" t="e">
        <f>[1]!Tableau2[[#This Row],[Annee d''inscription au programme]]&amp;"-"&amp;[1]!Tableau2[[#This Row],[Code d''ecole]]&amp;"-"&amp;[1]!Tableau2[[#This Row],[Numero HM de la fille]]</f>
        <v>#REF!</v>
      </c>
      <c r="K79" s="4">
        <v>8</v>
      </c>
      <c r="L79" s="4">
        <v>4</v>
      </c>
      <c r="M79" s="95">
        <f t="shared" si="5"/>
        <v>6</v>
      </c>
      <c r="N79" s="4">
        <v>17.5</v>
      </c>
      <c r="O79" s="4">
        <v>13.5</v>
      </c>
      <c r="P79" s="95">
        <f t="shared" si="3"/>
        <v>15.5</v>
      </c>
      <c r="Q79" s="97">
        <v>7.17</v>
      </c>
      <c r="R79" s="97">
        <v>6.41</v>
      </c>
      <c r="S79" s="97">
        <v>6.41</v>
      </c>
      <c r="T79" s="96">
        <f t="shared" si="4"/>
        <v>6.663333333333334</v>
      </c>
      <c r="U79" s="63" t="s">
        <v>321</v>
      </c>
      <c r="V79" s="82" t="s">
        <v>323</v>
      </c>
    </row>
    <row r="80" spans="1:22" ht="15.75" hidden="1" x14ac:dyDescent="0.25">
      <c r="A80" s="5" t="s">
        <v>240</v>
      </c>
      <c r="B80" s="4" t="s">
        <v>238</v>
      </c>
      <c r="C80" s="7"/>
      <c r="D80" s="4" t="s">
        <v>242</v>
      </c>
      <c r="E80" s="4" t="s">
        <v>19</v>
      </c>
      <c r="F80" s="31">
        <v>76</v>
      </c>
      <c r="G80" s="31">
        <v>2023</v>
      </c>
      <c r="H80" s="37">
        <v>1</v>
      </c>
      <c r="I80" s="31">
        <v>78</v>
      </c>
      <c r="J80" s="27" t="e">
        <f>[1]!Tableau2[[#This Row],[Annee d''inscription au programme]]&amp;"-"&amp;[1]!Tableau2[[#This Row],[Code d''ecole]]&amp;"-"&amp;[1]!Tableau2[[#This Row],[Numero HM de la fille]]</f>
        <v>#REF!</v>
      </c>
      <c r="K80" s="4">
        <v>8.5</v>
      </c>
      <c r="L80" s="4">
        <v>4.5</v>
      </c>
      <c r="M80" s="95">
        <f t="shared" si="5"/>
        <v>6.5</v>
      </c>
      <c r="N80" s="4">
        <v>14</v>
      </c>
      <c r="O80" s="4">
        <v>15.5</v>
      </c>
      <c r="P80" s="95">
        <f t="shared" si="3"/>
        <v>14.75</v>
      </c>
      <c r="Q80" s="97">
        <v>5</v>
      </c>
      <c r="R80" s="97">
        <v>4.25</v>
      </c>
      <c r="S80" s="97">
        <v>5.75</v>
      </c>
      <c r="T80" s="96">
        <f t="shared" si="4"/>
        <v>5</v>
      </c>
      <c r="U80" s="63" t="s">
        <v>321</v>
      </c>
      <c r="V80" s="82" t="s">
        <v>323</v>
      </c>
    </row>
    <row r="81" spans="1:22" ht="15.75" x14ac:dyDescent="0.25">
      <c r="A81" s="5" t="s">
        <v>240</v>
      </c>
      <c r="B81" s="4" t="s">
        <v>239</v>
      </c>
      <c r="C81" s="7"/>
      <c r="D81" s="4" t="s">
        <v>243</v>
      </c>
      <c r="E81" s="4" t="s">
        <v>19</v>
      </c>
      <c r="F81" s="31">
        <v>77</v>
      </c>
      <c r="G81" s="31">
        <v>2023</v>
      </c>
      <c r="H81" s="37">
        <v>1</v>
      </c>
      <c r="I81" s="31">
        <v>79</v>
      </c>
      <c r="J81" s="27" t="e">
        <f>[1]!Tableau2[[#This Row],[Annee d''inscription au programme]]&amp;"-"&amp;[1]!Tableau2[[#This Row],[Code d''ecole]]&amp;"-"&amp;[1]!Tableau2[[#This Row],[Numero HM de la fille]]</f>
        <v>#REF!</v>
      </c>
      <c r="K81" s="4">
        <v>10</v>
      </c>
      <c r="L81" s="4">
        <v>6</v>
      </c>
      <c r="M81" s="100">
        <f t="shared" si="5"/>
        <v>8</v>
      </c>
      <c r="N81" s="4">
        <v>13.75</v>
      </c>
      <c r="O81" s="4">
        <v>17</v>
      </c>
      <c r="P81" s="100">
        <f t="shared" si="3"/>
        <v>15.375</v>
      </c>
      <c r="Q81" s="97">
        <v>7.61</v>
      </c>
      <c r="R81" s="97">
        <v>6.86</v>
      </c>
      <c r="S81" s="97">
        <v>5.88</v>
      </c>
      <c r="T81" s="97">
        <f t="shared" si="4"/>
        <v>6.7833333333333341</v>
      </c>
      <c r="U81" s="63" t="s">
        <v>321</v>
      </c>
      <c r="V81" s="82" t="s">
        <v>317</v>
      </c>
    </row>
    <row r="82" spans="1:22" s="110" customFormat="1" ht="15.75" hidden="1" x14ac:dyDescent="0.25">
      <c r="A82" s="101"/>
      <c r="B82" s="107" t="s">
        <v>311</v>
      </c>
      <c r="C82" s="107"/>
      <c r="D82" s="107"/>
      <c r="E82" s="101"/>
      <c r="F82" s="101"/>
      <c r="G82" s="101"/>
      <c r="H82" s="101"/>
      <c r="I82" s="101"/>
      <c r="J82" s="101"/>
      <c r="K82" s="101">
        <f>AVERAGE(K6:K81)</f>
        <v>6.207746478873239</v>
      </c>
      <c r="L82" s="101">
        <f>AVERAGE(L6:L81)</f>
        <v>4.746478873239437</v>
      </c>
      <c r="M82" s="101">
        <f>AVERAGE(K82+L82)/2</f>
        <v>5.477112676056338</v>
      </c>
      <c r="N82" s="101">
        <f>AVERAGE(N6:N81)</f>
        <v>14.922297297297296</v>
      </c>
      <c r="O82" s="101">
        <f>AVERAGE(O6:O81)</f>
        <v>14.481756756756758</v>
      </c>
      <c r="P82" s="101">
        <f>AVERAGE(N82+O82)/2</f>
        <v>14.702027027027027</v>
      </c>
      <c r="Q82" s="102">
        <f>AVERAGE(Q6:Q81)</f>
        <v>5.3019736842105258</v>
      </c>
      <c r="R82" s="102">
        <f>AVERAGE(R6:R81)</f>
        <v>5.6111842105263179</v>
      </c>
      <c r="S82" s="102">
        <f>AVERAGE(S6:S81)</f>
        <v>5.9661842105263192</v>
      </c>
      <c r="T82" s="102">
        <f>AVERAGE(Q82+R82+S82)/3</f>
        <v>5.6264473684210543</v>
      </c>
      <c r="U82" s="108"/>
      <c r="V82" s="109"/>
    </row>
    <row r="393" spans="17:20" x14ac:dyDescent="0.25">
      <c r="Q393" s="103"/>
      <c r="R393" s="103"/>
      <c r="S393" s="103"/>
      <c r="T393" s="103"/>
    </row>
    <row r="402" spans="17:20" x14ac:dyDescent="0.25">
      <c r="Q402" s="103"/>
      <c r="R402" s="103"/>
      <c r="S402" s="103"/>
      <c r="T402" s="103"/>
    </row>
  </sheetData>
  <autoFilter ref="A5:V82">
    <filterColumn colId="21">
      <filters>
        <filter val="Abandon"/>
        <filter val="Transféré"/>
      </filters>
    </filterColumn>
  </autoFilter>
  <mergeCells count="3">
    <mergeCell ref="K4:M4"/>
    <mergeCell ref="N4:P4"/>
    <mergeCell ref="B82:D82"/>
  </mergeCells>
  <pageMargins left="0.7" right="0.7" top="0.75" bottom="0.75" header="0.3" footer="0.3"/>
  <pageSetup paperSize="9"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64"/>
  <sheetViews>
    <sheetView tabSelected="1" topLeftCell="H1" workbookViewId="0">
      <selection activeCell="V1" sqref="V1"/>
    </sheetView>
  </sheetViews>
  <sheetFormatPr baseColWidth="10" defaultRowHeight="15" x14ac:dyDescent="0.25"/>
  <cols>
    <col min="1" max="1" width="17" customWidth="1"/>
    <col min="2" max="2" width="25.140625" customWidth="1"/>
    <col min="3" max="3" width="26.28515625" customWidth="1"/>
    <col min="4" max="4" width="14.5703125" customWidth="1"/>
    <col min="5" max="5" width="12.140625" customWidth="1"/>
    <col min="6" max="6" width="8.7109375" customWidth="1"/>
    <col min="7" max="7" width="15.7109375" customWidth="1"/>
    <col min="8" max="8" width="8.28515625" customWidth="1"/>
    <col min="9" max="9" width="12.85546875" customWidth="1"/>
    <col min="10" max="10" width="12" customWidth="1"/>
    <col min="11" max="11" width="11.140625" style="1" customWidth="1"/>
    <col min="12" max="12" width="12.42578125" style="1" customWidth="1"/>
    <col min="13" max="14" width="10.7109375" customWidth="1"/>
    <col min="15" max="15" width="10.42578125" customWidth="1"/>
    <col min="16" max="16" width="10.7109375" customWidth="1"/>
    <col min="17" max="17" width="9.7109375" customWidth="1"/>
    <col min="21" max="21" width="15.7109375" customWidth="1"/>
    <col min="22" max="22" width="27.140625" style="64" customWidth="1"/>
  </cols>
  <sheetData>
    <row r="2" spans="1:22" s="32" customFormat="1" x14ac:dyDescent="0.25">
      <c r="A2" s="57" t="s">
        <v>163</v>
      </c>
      <c r="B2" s="58"/>
      <c r="C2" s="32" t="s">
        <v>0</v>
      </c>
      <c r="K2" s="33"/>
      <c r="L2" s="33"/>
      <c r="Q2" s="33"/>
      <c r="R2" s="33"/>
      <c r="S2" s="33"/>
      <c r="T2" s="33"/>
      <c r="V2" s="85"/>
    </row>
    <row r="3" spans="1:22" s="10" customFormat="1" ht="18.75" x14ac:dyDescent="0.4">
      <c r="A3" s="59" t="s">
        <v>164</v>
      </c>
      <c r="B3" s="60"/>
      <c r="K3" s="11"/>
      <c r="L3" s="11"/>
      <c r="Q3" s="11"/>
      <c r="R3" s="11"/>
      <c r="S3" s="11"/>
      <c r="T3" s="11"/>
      <c r="V3" s="86"/>
    </row>
    <row r="4" spans="1:22" x14ac:dyDescent="0.25">
      <c r="G4" s="75" t="s">
        <v>1</v>
      </c>
      <c r="H4" s="75"/>
      <c r="I4" s="75"/>
      <c r="J4" s="75"/>
      <c r="K4" s="79" t="s">
        <v>205</v>
      </c>
      <c r="L4" s="80"/>
      <c r="M4" s="81"/>
      <c r="N4" s="79" t="s">
        <v>204</v>
      </c>
      <c r="O4" s="80"/>
      <c r="P4" s="81"/>
      <c r="Q4" s="76" t="s">
        <v>2</v>
      </c>
      <c r="R4" s="77"/>
      <c r="S4" s="77"/>
      <c r="T4" s="78"/>
    </row>
    <row r="5" spans="1:22" s="34" customFormat="1" ht="72.75" customHeight="1" x14ac:dyDescent="0.25">
      <c r="A5" s="35" t="s">
        <v>3</v>
      </c>
      <c r="B5" s="35" t="s">
        <v>4</v>
      </c>
      <c r="C5" s="35" t="s">
        <v>5</v>
      </c>
      <c r="D5" s="35" t="s">
        <v>6</v>
      </c>
      <c r="E5" s="35" t="s">
        <v>7</v>
      </c>
      <c r="F5" s="35" t="s">
        <v>8</v>
      </c>
      <c r="G5" s="35" t="s">
        <v>9</v>
      </c>
      <c r="H5" s="35" t="s">
        <v>161</v>
      </c>
      <c r="I5" s="35" t="s">
        <v>10</v>
      </c>
      <c r="J5" s="35" t="s">
        <v>11</v>
      </c>
      <c r="K5" s="36" t="s">
        <v>207</v>
      </c>
      <c r="L5" s="36" t="s">
        <v>206</v>
      </c>
      <c r="M5" s="35" t="s">
        <v>208</v>
      </c>
      <c r="N5" s="35" t="s">
        <v>209</v>
      </c>
      <c r="O5" s="35" t="s">
        <v>210</v>
      </c>
      <c r="P5" s="35" t="s">
        <v>211</v>
      </c>
      <c r="Q5" s="36" t="s">
        <v>12</v>
      </c>
      <c r="R5" s="36" t="s">
        <v>13</v>
      </c>
      <c r="S5" s="36" t="s">
        <v>162</v>
      </c>
      <c r="T5" s="36" t="s">
        <v>14</v>
      </c>
      <c r="U5" s="50" t="s">
        <v>157</v>
      </c>
      <c r="V5" s="87" t="s">
        <v>322</v>
      </c>
    </row>
    <row r="6" spans="1:22" s="42" customFormat="1" ht="15.75" hidden="1" x14ac:dyDescent="0.25">
      <c r="A6" s="15" t="s">
        <v>165</v>
      </c>
      <c r="B6" s="14" t="s">
        <v>166</v>
      </c>
      <c r="C6" s="14" t="s">
        <v>212</v>
      </c>
      <c r="D6" s="14" t="s">
        <v>187</v>
      </c>
      <c r="E6" s="14" t="s">
        <v>19</v>
      </c>
      <c r="F6" s="14">
        <v>1</v>
      </c>
      <c r="G6" s="15">
        <v>2022</v>
      </c>
      <c r="H6" s="16">
        <v>1</v>
      </c>
      <c r="I6" s="14">
        <v>1</v>
      </c>
      <c r="J6" s="14" t="str">
        <f>Tableau2[[#This Row],[Annee d''inscription au programme]]&amp;"-"&amp;Tableau2[[#This Row],[Code d''ecole]]&amp;"-"&amp;Tableau2[[#This Row],[Numero HM de la fille]]</f>
        <v>2022-1-1</v>
      </c>
      <c r="K6" s="14">
        <v>4.5</v>
      </c>
      <c r="L6" s="14">
        <v>10</v>
      </c>
      <c r="M6" s="51">
        <f>AVERAGE(Tableau2[[#This Row],[Français /20]]+Tableau2[[#This Row],[Mathématique /20]])/2</f>
        <v>7.25</v>
      </c>
      <c r="N6" s="14">
        <v>10</v>
      </c>
      <c r="O6" s="14">
        <v>10</v>
      </c>
      <c r="P6" s="54">
        <f>AVERAGE(Tableau2[[#This Row],[Français/20]]+Tableau2[[#This Row],[Mathématique/20]])/2</f>
        <v>10</v>
      </c>
      <c r="Q6" s="30">
        <v>2.64</v>
      </c>
      <c r="R6" s="30">
        <v>5.47</v>
      </c>
      <c r="S6" s="30">
        <v>4.88</v>
      </c>
      <c r="T6" s="30">
        <f t="shared" ref="T6:T37" si="0">AVERAGE(Q6+R6+S6)/3</f>
        <v>4.3299999999999992</v>
      </c>
      <c r="U6" s="71" t="s">
        <v>315</v>
      </c>
      <c r="V6" s="88"/>
    </row>
    <row r="7" spans="1:22" s="42" customFormat="1" ht="15.75" x14ac:dyDescent="0.25">
      <c r="A7" s="15" t="s">
        <v>165</v>
      </c>
      <c r="B7" s="4" t="s">
        <v>167</v>
      </c>
      <c r="C7" s="4" t="s">
        <v>213</v>
      </c>
      <c r="D7" s="4" t="s">
        <v>188</v>
      </c>
      <c r="E7" s="4" t="s">
        <v>19</v>
      </c>
      <c r="F7" s="4">
        <v>2</v>
      </c>
      <c r="G7" s="3">
        <v>2022</v>
      </c>
      <c r="H7" s="12">
        <v>1</v>
      </c>
      <c r="I7" s="4">
        <v>2</v>
      </c>
      <c r="J7" s="4" t="str">
        <f>Tableau2[[#This Row],[Annee d''inscription au programme]]&amp;"-"&amp;Tableau2[[#This Row],[Code d''ecole]]&amp;"-"&amp;Tableau2[[#This Row],[Numero HM de la fille]]</f>
        <v>2022-1-2</v>
      </c>
      <c r="K7" s="4">
        <v>6</v>
      </c>
      <c r="L7" s="4">
        <v>9</v>
      </c>
      <c r="M7" s="52">
        <f>AVERAGE(Tableau2[[#This Row],[Français /20]]+Tableau2[[#This Row],[Mathématique /20]])/2</f>
        <v>7.5</v>
      </c>
      <c r="N7" s="4">
        <v>4</v>
      </c>
      <c r="O7" s="4">
        <v>2</v>
      </c>
      <c r="P7" s="55">
        <f>AVERAGE(Tableau2[[#This Row],[Français/20]]+Tableau2[[#This Row],[Mathématique/20]])/2</f>
        <v>3</v>
      </c>
      <c r="Q7" s="31">
        <v>4.38</v>
      </c>
      <c r="R7" s="31">
        <v>6.57</v>
      </c>
      <c r="S7" s="31">
        <v>7.94</v>
      </c>
      <c r="T7" s="31">
        <f t="shared" si="0"/>
        <v>6.2966666666666669</v>
      </c>
      <c r="U7" s="71" t="s">
        <v>321</v>
      </c>
      <c r="V7" s="88" t="s">
        <v>326</v>
      </c>
    </row>
    <row r="8" spans="1:22" s="42" customFormat="1" ht="15.75" hidden="1" x14ac:dyDescent="0.25">
      <c r="A8" s="15" t="s">
        <v>165</v>
      </c>
      <c r="B8" s="3" t="s">
        <v>168</v>
      </c>
      <c r="C8" s="4" t="s">
        <v>213</v>
      </c>
      <c r="D8" s="3" t="s">
        <v>189</v>
      </c>
      <c r="E8" s="4" t="s">
        <v>19</v>
      </c>
      <c r="F8" s="4">
        <v>3</v>
      </c>
      <c r="G8" s="3">
        <v>2022</v>
      </c>
      <c r="H8" s="12">
        <v>1</v>
      </c>
      <c r="I8" s="4">
        <v>3</v>
      </c>
      <c r="J8" s="3" t="str">
        <f>Tableau2[[#This Row],[Annee d''inscription au programme]]&amp;"-"&amp;Tableau2[[#This Row],[Code d''ecole]]&amp;"-"&amp;Tableau2[[#This Row],[Numero HM de la fille]]</f>
        <v>2022-1-3</v>
      </c>
      <c r="K8" s="4">
        <v>6.5</v>
      </c>
      <c r="L8" s="4">
        <v>14</v>
      </c>
      <c r="M8" s="52">
        <f>AVERAGE(Tableau2[[#This Row],[Français /20]]+Tableau2[[#This Row],[Mathématique /20]])/2</f>
        <v>10.25</v>
      </c>
      <c r="N8" s="4">
        <v>4</v>
      </c>
      <c r="O8" s="4">
        <v>7.5</v>
      </c>
      <c r="P8" s="55">
        <f>AVERAGE(Tableau2[[#This Row],[Français/20]]+Tableau2[[#This Row],[Mathématique/20]])/2</f>
        <v>5.75</v>
      </c>
      <c r="Q8" s="43">
        <v>5.57</v>
      </c>
      <c r="R8" s="43">
        <v>7.5</v>
      </c>
      <c r="S8" s="43">
        <v>7.26</v>
      </c>
      <c r="T8" s="43">
        <f t="shared" si="0"/>
        <v>6.7766666666666664</v>
      </c>
      <c r="U8" s="71" t="s">
        <v>321</v>
      </c>
      <c r="V8" s="88" t="s">
        <v>323</v>
      </c>
    </row>
    <row r="9" spans="1:22" s="42" customFormat="1" ht="15.75" hidden="1" x14ac:dyDescent="0.25">
      <c r="A9" s="15" t="s">
        <v>165</v>
      </c>
      <c r="B9" s="4" t="s">
        <v>169</v>
      </c>
      <c r="C9" s="7" t="s">
        <v>212</v>
      </c>
      <c r="D9" s="4" t="s">
        <v>190</v>
      </c>
      <c r="E9" s="4" t="s">
        <v>19</v>
      </c>
      <c r="F9" s="4">
        <v>4</v>
      </c>
      <c r="G9" s="3">
        <v>2022</v>
      </c>
      <c r="H9" s="12">
        <v>1</v>
      </c>
      <c r="I9" s="4">
        <v>4</v>
      </c>
      <c r="J9" s="4" t="str">
        <f>Tableau2[[#This Row],[Annee d''inscription au programme]]&amp;"-"&amp;Tableau2[[#This Row],[Code d''ecole]]&amp;"-"&amp;Tableau2[[#This Row],[Numero HM de la fille]]</f>
        <v>2022-1-4</v>
      </c>
      <c r="K9" s="4">
        <v>8.5</v>
      </c>
      <c r="L9" s="4">
        <v>14.5</v>
      </c>
      <c r="M9" s="52">
        <f>AVERAGE(Tableau2[[#This Row],[Français /20]]+Tableau2[[#This Row],[Mathématique /20]])/2</f>
        <v>11.5</v>
      </c>
      <c r="N9" s="4">
        <v>3.5</v>
      </c>
      <c r="O9" s="4">
        <v>6</v>
      </c>
      <c r="P9" s="55">
        <f>AVERAGE(Tableau2[[#This Row],[Français/20]]+Tableau2[[#This Row],[Mathématique/20]])/2</f>
        <v>4.75</v>
      </c>
      <c r="Q9" s="31">
        <v>2.17</v>
      </c>
      <c r="R9" s="31">
        <v>3.21</v>
      </c>
      <c r="S9" s="31">
        <v>4.41</v>
      </c>
      <c r="T9" s="31">
        <f t="shared" si="0"/>
        <v>3.2633333333333332</v>
      </c>
      <c r="U9" s="71" t="s">
        <v>315</v>
      </c>
      <c r="V9" s="88"/>
    </row>
    <row r="10" spans="1:22" s="42" customFormat="1" ht="15.75" x14ac:dyDescent="0.25">
      <c r="A10" s="15" t="s">
        <v>165</v>
      </c>
      <c r="B10" s="4" t="s">
        <v>170</v>
      </c>
      <c r="C10" s="7" t="s">
        <v>212</v>
      </c>
      <c r="D10" s="4" t="s">
        <v>191</v>
      </c>
      <c r="E10" s="4" t="s">
        <v>19</v>
      </c>
      <c r="F10" s="4">
        <v>5</v>
      </c>
      <c r="G10" s="3">
        <v>2022</v>
      </c>
      <c r="H10" s="12">
        <v>1</v>
      </c>
      <c r="I10" s="4">
        <v>5</v>
      </c>
      <c r="J10" s="4" t="str">
        <f>Tableau2[[#This Row],[Annee d''inscription au programme]]&amp;"-"&amp;Tableau2[[#This Row],[Code d''ecole]]&amp;"-"&amp;Tableau2[[#This Row],[Numero HM de la fille]]</f>
        <v>2022-1-5</v>
      </c>
      <c r="K10" s="4">
        <v>3</v>
      </c>
      <c r="L10" s="4">
        <v>3</v>
      </c>
      <c r="M10" s="52">
        <f>AVERAGE(Tableau2[[#This Row],[Français /20]]+Tableau2[[#This Row],[Mathématique /20]])/2</f>
        <v>3</v>
      </c>
      <c r="N10" s="4">
        <v>2</v>
      </c>
      <c r="O10" s="4">
        <v>2</v>
      </c>
      <c r="P10" s="55">
        <f>AVERAGE(Tableau2[[#This Row],[Français/20]]+Tableau2[[#This Row],[Mathématique/20]])/2</f>
        <v>2</v>
      </c>
      <c r="Q10" s="31">
        <v>3.11</v>
      </c>
      <c r="R10" s="31">
        <v>3.94</v>
      </c>
      <c r="S10" s="31">
        <v>8</v>
      </c>
      <c r="T10" s="31">
        <f t="shared" si="0"/>
        <v>5.0166666666666666</v>
      </c>
      <c r="U10" s="71" t="s">
        <v>321</v>
      </c>
      <c r="V10" s="88" t="s">
        <v>326</v>
      </c>
    </row>
    <row r="11" spans="1:22" s="42" customFormat="1" ht="15.75" hidden="1" x14ac:dyDescent="0.25">
      <c r="A11" s="15" t="s">
        <v>165</v>
      </c>
      <c r="B11" s="3" t="s">
        <v>171</v>
      </c>
      <c r="C11" s="7" t="s">
        <v>212</v>
      </c>
      <c r="D11" s="3" t="s">
        <v>192</v>
      </c>
      <c r="E11" s="4" t="s">
        <v>19</v>
      </c>
      <c r="F11" s="4">
        <v>6</v>
      </c>
      <c r="G11" s="3">
        <v>2022</v>
      </c>
      <c r="H11" s="12">
        <v>1</v>
      </c>
      <c r="I11" s="4">
        <v>6</v>
      </c>
      <c r="J11" s="3" t="str">
        <f>Tableau2[[#This Row],[Annee d''inscription au programme]]&amp;"-"&amp;Tableau2[[#This Row],[Code d''ecole]]&amp;"-"&amp;Tableau2[[#This Row],[Numero HM de la fille]]</f>
        <v>2022-1-6</v>
      </c>
      <c r="K11" s="4">
        <v>5.5</v>
      </c>
      <c r="L11" s="4">
        <v>10</v>
      </c>
      <c r="M11" s="52">
        <f>AVERAGE(Tableau2[[#This Row],[Français /20]]+Tableau2[[#This Row],[Mathématique /20]])/2</f>
        <v>7.75</v>
      </c>
      <c r="N11" s="4">
        <v>4.25</v>
      </c>
      <c r="O11" s="4">
        <v>10</v>
      </c>
      <c r="P11" s="55">
        <f>AVERAGE(Tableau2[[#This Row],[Français/20]]+Tableau2[[#This Row],[Mathématique/20]])/2</f>
        <v>7.125</v>
      </c>
      <c r="Q11" s="43">
        <v>4.47</v>
      </c>
      <c r="R11" s="43">
        <v>7.31</v>
      </c>
      <c r="S11" s="43">
        <v>7.55</v>
      </c>
      <c r="T11" s="43">
        <f t="shared" si="0"/>
        <v>6.4433333333333325</v>
      </c>
      <c r="U11" s="71" t="s">
        <v>321</v>
      </c>
      <c r="V11" s="88" t="s">
        <v>323</v>
      </c>
    </row>
    <row r="12" spans="1:22" s="42" customFormat="1" ht="15.75" hidden="1" x14ac:dyDescent="0.25">
      <c r="A12" s="15" t="s">
        <v>165</v>
      </c>
      <c r="B12" s="3" t="s">
        <v>172</v>
      </c>
      <c r="C12" s="7" t="s">
        <v>212</v>
      </c>
      <c r="D12" s="3" t="s">
        <v>193</v>
      </c>
      <c r="E12" s="4" t="s">
        <v>19</v>
      </c>
      <c r="F12" s="4">
        <v>7</v>
      </c>
      <c r="G12" s="3">
        <v>2022</v>
      </c>
      <c r="H12" s="12">
        <v>1</v>
      </c>
      <c r="I12" s="4">
        <v>7</v>
      </c>
      <c r="J12" s="3" t="str">
        <f>Tableau2[[#This Row],[Annee d''inscription au programme]]&amp;"-"&amp;Tableau2[[#This Row],[Code d''ecole]]&amp;"-"&amp;Tableau2[[#This Row],[Numero HM de la fille]]</f>
        <v>2022-1-7</v>
      </c>
      <c r="K12" s="4">
        <v>6</v>
      </c>
      <c r="L12" s="4">
        <v>10</v>
      </c>
      <c r="M12" s="52">
        <f>AVERAGE(Tableau2[[#This Row],[Français /20]]+Tableau2[[#This Row],[Mathématique /20]])/2</f>
        <v>8</v>
      </c>
      <c r="N12" s="4">
        <v>6</v>
      </c>
      <c r="O12" s="4">
        <v>6</v>
      </c>
      <c r="P12" s="55">
        <f>AVERAGE(Tableau2[[#This Row],[Français/20]]+Tableau2[[#This Row],[Mathématique/20]])/2</f>
        <v>6</v>
      </c>
      <c r="Q12" s="43">
        <v>3.35</v>
      </c>
      <c r="R12" s="43">
        <v>5.73</v>
      </c>
      <c r="S12" s="43">
        <v>8.17</v>
      </c>
      <c r="T12" s="43">
        <f t="shared" si="0"/>
        <v>5.75</v>
      </c>
      <c r="U12" s="71" t="s">
        <v>321</v>
      </c>
      <c r="V12" s="88" t="s">
        <v>323</v>
      </c>
    </row>
    <row r="13" spans="1:22" s="42" customFormat="1" ht="15.75" hidden="1" x14ac:dyDescent="0.25">
      <c r="A13" s="15" t="s">
        <v>165</v>
      </c>
      <c r="B13" s="3" t="s">
        <v>173</v>
      </c>
      <c r="C13" s="7" t="s">
        <v>212</v>
      </c>
      <c r="D13" s="3" t="s">
        <v>194</v>
      </c>
      <c r="E13" s="4" t="s">
        <v>19</v>
      </c>
      <c r="F13" s="4">
        <v>8</v>
      </c>
      <c r="G13" s="3">
        <v>2022</v>
      </c>
      <c r="H13" s="12">
        <v>1</v>
      </c>
      <c r="I13" s="4">
        <v>8</v>
      </c>
      <c r="J13" s="3" t="str">
        <f>Tableau2[[#This Row],[Annee d''inscription au programme]]&amp;"-"&amp;Tableau2[[#This Row],[Code d''ecole]]&amp;"-"&amp;Tableau2[[#This Row],[Numero HM de la fille]]</f>
        <v>2022-1-8</v>
      </c>
      <c r="K13" s="4">
        <v>2.5</v>
      </c>
      <c r="L13" s="4">
        <v>5</v>
      </c>
      <c r="M13" s="52">
        <f>AVERAGE(Tableau2[[#This Row],[Français /20]]+Tableau2[[#This Row],[Mathématique /20]])/2</f>
        <v>3.75</v>
      </c>
      <c r="N13" s="4">
        <v>6</v>
      </c>
      <c r="O13" s="4">
        <v>7</v>
      </c>
      <c r="P13" s="55">
        <f>AVERAGE(Tableau2[[#This Row],[Français/20]]+Tableau2[[#This Row],[Mathématique/20]])/2</f>
        <v>6.5</v>
      </c>
      <c r="Q13" s="43">
        <v>3.29</v>
      </c>
      <c r="R13" s="43">
        <v>6.89</v>
      </c>
      <c r="S13" s="43">
        <v>5</v>
      </c>
      <c r="T13" s="43">
        <f t="shared" si="0"/>
        <v>5.0599999999999996</v>
      </c>
      <c r="U13" s="71" t="s">
        <v>321</v>
      </c>
      <c r="V13" s="88" t="s">
        <v>323</v>
      </c>
    </row>
    <row r="14" spans="1:22" s="42" customFormat="1" ht="15.75" hidden="1" x14ac:dyDescent="0.25">
      <c r="A14" s="15" t="s">
        <v>165</v>
      </c>
      <c r="B14" s="3" t="s">
        <v>174</v>
      </c>
      <c r="C14" s="7" t="s">
        <v>214</v>
      </c>
      <c r="D14" s="3" t="s">
        <v>195</v>
      </c>
      <c r="E14" s="4" t="s">
        <v>19</v>
      </c>
      <c r="F14" s="4">
        <v>9</v>
      </c>
      <c r="G14" s="3">
        <v>2022</v>
      </c>
      <c r="H14" s="12">
        <v>1</v>
      </c>
      <c r="I14" s="4">
        <v>9</v>
      </c>
      <c r="J14" s="3" t="str">
        <f>Tableau2[[#This Row],[Annee d''inscription au programme]]&amp;"-"&amp;Tableau2[[#This Row],[Code d''ecole]]&amp;"-"&amp;Tableau2[[#This Row],[Numero HM de la fille]]</f>
        <v>2022-1-9</v>
      </c>
      <c r="K14" s="4">
        <v>4</v>
      </c>
      <c r="L14" s="4">
        <v>13</v>
      </c>
      <c r="M14" s="52">
        <f>AVERAGE(Tableau2[[#This Row],[Français /20]]+Tableau2[[#This Row],[Mathématique /20]])/2</f>
        <v>8.5</v>
      </c>
      <c r="N14" s="4">
        <v>6.5</v>
      </c>
      <c r="O14" s="4">
        <v>5</v>
      </c>
      <c r="P14" s="55">
        <f>AVERAGE(Tableau2[[#This Row],[Français/20]]+Tableau2[[#This Row],[Mathématique/20]])/2</f>
        <v>5.75</v>
      </c>
      <c r="Q14" s="43">
        <v>3.44</v>
      </c>
      <c r="R14" s="43">
        <v>0</v>
      </c>
      <c r="S14" s="43">
        <v>1.23</v>
      </c>
      <c r="T14" s="43">
        <f t="shared" si="0"/>
        <v>1.5566666666666666</v>
      </c>
      <c r="U14" s="71" t="s">
        <v>315</v>
      </c>
      <c r="V14" s="88"/>
    </row>
    <row r="15" spans="1:22" s="42" customFormat="1" ht="15.75" hidden="1" x14ac:dyDescent="0.25">
      <c r="A15" s="15" t="s">
        <v>165</v>
      </c>
      <c r="B15" s="3" t="s">
        <v>175</v>
      </c>
      <c r="C15" s="7" t="s">
        <v>212</v>
      </c>
      <c r="D15" s="3" t="s">
        <v>196</v>
      </c>
      <c r="E15" s="4" t="s">
        <v>19</v>
      </c>
      <c r="F15" s="4">
        <v>10</v>
      </c>
      <c r="G15" s="3">
        <v>2022</v>
      </c>
      <c r="H15" s="12">
        <v>1</v>
      </c>
      <c r="I15" s="4">
        <v>10</v>
      </c>
      <c r="J15" s="3" t="str">
        <f>Tableau2[[#This Row],[Annee d''inscription au programme]]&amp;"-"&amp;Tableau2[[#This Row],[Code d''ecole]]&amp;"-"&amp;Tableau2[[#This Row],[Numero HM de la fille]]</f>
        <v>2022-1-10</v>
      </c>
      <c r="K15" s="4">
        <v>5.5</v>
      </c>
      <c r="L15" s="4">
        <v>13</v>
      </c>
      <c r="M15" s="52">
        <f>AVERAGE(Tableau2[[#This Row],[Français /20]]+Tableau2[[#This Row],[Mathématique /20]])/2</f>
        <v>9.25</v>
      </c>
      <c r="N15" s="4">
        <v>7</v>
      </c>
      <c r="O15" s="4">
        <v>5.5</v>
      </c>
      <c r="P15" s="55">
        <f>AVERAGE(Tableau2[[#This Row],[Français/20]]+Tableau2[[#This Row],[Mathématique/20]])/2</f>
        <v>6.25</v>
      </c>
      <c r="Q15" s="43">
        <v>3.97</v>
      </c>
      <c r="R15" s="43">
        <v>7.36</v>
      </c>
      <c r="S15" s="43">
        <v>5.73</v>
      </c>
      <c r="T15" s="43">
        <f t="shared" si="0"/>
        <v>5.6866666666666674</v>
      </c>
      <c r="U15" s="71" t="s">
        <v>321</v>
      </c>
      <c r="V15" s="88" t="s">
        <v>323</v>
      </c>
    </row>
    <row r="16" spans="1:22" s="42" customFormat="1" ht="15.75" hidden="1" x14ac:dyDescent="0.25">
      <c r="A16" s="15" t="s">
        <v>165</v>
      </c>
      <c r="B16" s="3" t="s">
        <v>176</v>
      </c>
      <c r="C16" s="7" t="s">
        <v>212</v>
      </c>
      <c r="D16" s="3" t="s">
        <v>197</v>
      </c>
      <c r="E16" s="4" t="s">
        <v>19</v>
      </c>
      <c r="F16" s="4">
        <v>11</v>
      </c>
      <c r="G16" s="3">
        <v>2022</v>
      </c>
      <c r="H16" s="12">
        <v>1</v>
      </c>
      <c r="I16" s="4">
        <v>11</v>
      </c>
      <c r="J16" s="3" t="str">
        <f>Tableau2[[#This Row],[Annee d''inscription au programme]]&amp;"-"&amp;Tableau2[[#This Row],[Code d''ecole]]&amp;"-"&amp;Tableau2[[#This Row],[Numero HM de la fille]]</f>
        <v>2022-1-11</v>
      </c>
      <c r="K16" s="4">
        <v>6.5</v>
      </c>
      <c r="L16" s="4">
        <v>10</v>
      </c>
      <c r="M16" s="52">
        <f>AVERAGE(Tableau2[[#This Row],[Français /20]]+Tableau2[[#This Row],[Mathématique /20]])/2</f>
        <v>8.25</v>
      </c>
      <c r="N16" s="4">
        <v>1.5</v>
      </c>
      <c r="O16" s="4">
        <v>9</v>
      </c>
      <c r="P16" s="55">
        <f>AVERAGE(Tableau2[[#This Row],[Français/20]]+Tableau2[[#This Row],[Mathématique/20]])/2</f>
        <v>5.25</v>
      </c>
      <c r="Q16" s="43">
        <v>2.73</v>
      </c>
      <c r="R16" s="43">
        <v>6.34</v>
      </c>
      <c r="S16" s="43">
        <v>4.58</v>
      </c>
      <c r="T16" s="43">
        <f t="shared" si="0"/>
        <v>4.55</v>
      </c>
      <c r="U16" s="71" t="s">
        <v>315</v>
      </c>
      <c r="V16" s="88"/>
    </row>
    <row r="17" spans="1:22" s="42" customFormat="1" ht="15.75" hidden="1" x14ac:dyDescent="0.25">
      <c r="A17" s="15" t="s">
        <v>165</v>
      </c>
      <c r="B17" s="3" t="s">
        <v>177</v>
      </c>
      <c r="C17" s="7" t="s">
        <v>212</v>
      </c>
      <c r="D17" s="3" t="s">
        <v>198</v>
      </c>
      <c r="E17" s="4" t="s">
        <v>19</v>
      </c>
      <c r="F17" s="4">
        <v>12</v>
      </c>
      <c r="G17" s="3">
        <v>2022</v>
      </c>
      <c r="H17" s="12">
        <v>1</v>
      </c>
      <c r="I17" s="4">
        <v>12</v>
      </c>
      <c r="J17" s="3" t="str">
        <f>Tableau2[[#This Row],[Annee d''inscription au programme]]&amp;"-"&amp;Tableau2[[#This Row],[Code d''ecole]]&amp;"-"&amp;Tableau2[[#This Row],[Numero HM de la fille]]</f>
        <v>2022-1-12</v>
      </c>
      <c r="K17" s="4">
        <v>5</v>
      </c>
      <c r="L17" s="4">
        <v>10</v>
      </c>
      <c r="M17" s="52">
        <f>AVERAGE(Tableau2[[#This Row],[Français /20]]+Tableau2[[#This Row],[Mathématique /20]])/2</f>
        <v>7.5</v>
      </c>
      <c r="N17" s="4">
        <v>2.75</v>
      </c>
      <c r="O17" s="4">
        <v>2</v>
      </c>
      <c r="P17" s="55">
        <f>AVERAGE(Tableau2[[#This Row],[Français/20]]+Tableau2[[#This Row],[Mathématique/20]])/2</f>
        <v>2.375</v>
      </c>
      <c r="Q17" s="43">
        <v>3.61</v>
      </c>
      <c r="R17" s="43">
        <v>3.97</v>
      </c>
      <c r="S17" s="43">
        <v>4.91</v>
      </c>
      <c r="T17" s="43">
        <f t="shared" si="0"/>
        <v>4.1633333333333331</v>
      </c>
      <c r="U17" s="71" t="s">
        <v>315</v>
      </c>
      <c r="V17" s="88"/>
    </row>
    <row r="18" spans="1:22" s="42" customFormat="1" ht="15.75" hidden="1" x14ac:dyDescent="0.25">
      <c r="A18" s="15" t="s">
        <v>165</v>
      </c>
      <c r="B18" s="3" t="s">
        <v>178</v>
      </c>
      <c r="C18" s="7" t="s">
        <v>212</v>
      </c>
      <c r="D18" s="3" t="s">
        <v>199</v>
      </c>
      <c r="E18" s="4" t="s">
        <v>19</v>
      </c>
      <c r="F18" s="4">
        <v>13</v>
      </c>
      <c r="G18" s="3">
        <v>2022</v>
      </c>
      <c r="H18" s="12">
        <v>1</v>
      </c>
      <c r="I18" s="4">
        <v>13</v>
      </c>
      <c r="J18" s="3" t="str">
        <f>Tableau2[[#This Row],[Annee d''inscription au programme]]&amp;"-"&amp;Tableau2[[#This Row],[Code d''ecole]]&amp;"-"&amp;Tableau2[[#This Row],[Numero HM de la fille]]</f>
        <v>2022-1-13</v>
      </c>
      <c r="K18" s="4">
        <v>2.5</v>
      </c>
      <c r="L18" s="4">
        <v>10</v>
      </c>
      <c r="M18" s="52">
        <f>AVERAGE(Tableau2[[#This Row],[Français /20]]+Tableau2[[#This Row],[Mathématique /20]])/2</f>
        <v>6.25</v>
      </c>
      <c r="N18" s="4">
        <v>3</v>
      </c>
      <c r="O18" s="4">
        <v>9</v>
      </c>
      <c r="P18" s="55">
        <f>AVERAGE(Tableau2[[#This Row],[Français/20]]+Tableau2[[#This Row],[Mathématique/20]])/2</f>
        <v>6</v>
      </c>
      <c r="Q18" s="43">
        <v>3.05</v>
      </c>
      <c r="R18" s="43">
        <v>5</v>
      </c>
      <c r="S18" s="31">
        <v>4.2300000000000004</v>
      </c>
      <c r="T18" s="43">
        <f t="shared" si="0"/>
        <v>4.0933333333333337</v>
      </c>
      <c r="U18" s="71" t="s">
        <v>315</v>
      </c>
      <c r="V18" s="88"/>
    </row>
    <row r="19" spans="1:22" s="42" customFormat="1" ht="15.75" x14ac:dyDescent="0.25">
      <c r="A19" s="15" t="s">
        <v>165</v>
      </c>
      <c r="B19" s="4" t="s">
        <v>179</v>
      </c>
      <c r="C19" s="7" t="s">
        <v>212</v>
      </c>
      <c r="D19" s="4" t="s">
        <v>200</v>
      </c>
      <c r="E19" s="4" t="s">
        <v>19</v>
      </c>
      <c r="F19" s="4">
        <v>14</v>
      </c>
      <c r="G19" s="3">
        <v>2022</v>
      </c>
      <c r="H19" s="12">
        <v>1</v>
      </c>
      <c r="I19" s="4">
        <v>14</v>
      </c>
      <c r="J19" s="4" t="str">
        <f>Tableau2[[#This Row],[Annee d''inscription au programme]]&amp;"-"&amp;Tableau2[[#This Row],[Code d''ecole]]&amp;"-"&amp;Tableau2[[#This Row],[Numero HM de la fille]]</f>
        <v>2022-1-14</v>
      </c>
      <c r="K19" s="4">
        <v>5.75</v>
      </c>
      <c r="L19" s="4">
        <v>10</v>
      </c>
      <c r="M19" s="52">
        <f>AVERAGE(Tableau2[[#This Row],[Français /20]]+Tableau2[[#This Row],[Mathématique /20]])/2</f>
        <v>7.875</v>
      </c>
      <c r="N19" s="4">
        <v>4</v>
      </c>
      <c r="O19" s="4">
        <v>7</v>
      </c>
      <c r="P19" s="55">
        <f>AVERAGE(Tableau2[[#This Row],[Français/20]]+Tableau2[[#This Row],[Mathématique/20]])/2</f>
        <v>5.5</v>
      </c>
      <c r="Q19" s="31">
        <v>4.5199999999999996</v>
      </c>
      <c r="R19" s="31">
        <v>5.81</v>
      </c>
      <c r="S19" s="31">
        <v>7.82</v>
      </c>
      <c r="T19" s="31">
        <f t="shared" si="0"/>
        <v>6.05</v>
      </c>
      <c r="U19" s="71" t="s">
        <v>321</v>
      </c>
      <c r="V19" s="88" t="s">
        <v>324</v>
      </c>
    </row>
    <row r="20" spans="1:22" s="42" customFormat="1" ht="15.75" hidden="1" x14ac:dyDescent="0.25">
      <c r="A20" s="15" t="s">
        <v>165</v>
      </c>
      <c r="B20" s="4" t="s">
        <v>180</v>
      </c>
      <c r="C20" s="7" t="s">
        <v>212</v>
      </c>
      <c r="D20" s="4" t="s">
        <v>201</v>
      </c>
      <c r="E20" s="4" t="s">
        <v>19</v>
      </c>
      <c r="F20" s="4">
        <v>15</v>
      </c>
      <c r="G20" s="3">
        <v>2022</v>
      </c>
      <c r="H20" s="12">
        <v>1</v>
      </c>
      <c r="I20" s="4">
        <v>15</v>
      </c>
      <c r="J20" s="4" t="str">
        <f>Tableau2[[#This Row],[Annee d''inscription au programme]]&amp;"-"&amp;Tableau2[[#This Row],[Code d''ecole]]&amp;"-"&amp;Tableau2[[#This Row],[Numero HM de la fille]]</f>
        <v>2022-1-15</v>
      </c>
      <c r="K20" s="4">
        <v>3.25</v>
      </c>
      <c r="L20" s="4">
        <v>4</v>
      </c>
      <c r="M20" s="52">
        <f>AVERAGE(Tableau2[[#This Row],[Français /20]]+Tableau2[[#This Row],[Mathématique /20]])/2</f>
        <v>3.625</v>
      </c>
      <c r="N20" s="4">
        <v>1.5</v>
      </c>
      <c r="O20" s="4">
        <v>6</v>
      </c>
      <c r="P20" s="55">
        <f>AVERAGE(Tableau2[[#This Row],[Français/20]]+Tableau2[[#This Row],[Mathématique/20]])/2</f>
        <v>3.75</v>
      </c>
      <c r="Q20" s="31">
        <v>2.7</v>
      </c>
      <c r="R20" s="31">
        <v>4.05</v>
      </c>
      <c r="S20" s="31">
        <v>6.7</v>
      </c>
      <c r="T20" s="31">
        <f t="shared" si="0"/>
        <v>4.4833333333333334</v>
      </c>
      <c r="U20" s="71" t="s">
        <v>315</v>
      </c>
      <c r="V20" s="88"/>
    </row>
    <row r="21" spans="1:22" s="42" customFormat="1" ht="15.75" hidden="1" x14ac:dyDescent="0.25">
      <c r="A21" s="15" t="s">
        <v>165</v>
      </c>
      <c r="B21" s="4" t="s">
        <v>181</v>
      </c>
      <c r="C21" s="7" t="s">
        <v>212</v>
      </c>
      <c r="D21" s="4" t="s">
        <v>197</v>
      </c>
      <c r="E21" s="4" t="s">
        <v>19</v>
      </c>
      <c r="F21" s="4">
        <v>16</v>
      </c>
      <c r="G21" s="3">
        <v>2022</v>
      </c>
      <c r="H21" s="12">
        <v>1</v>
      </c>
      <c r="I21" s="4">
        <v>16</v>
      </c>
      <c r="J21" s="4" t="str">
        <f>Tableau2[[#This Row],[Annee d''inscription au programme]]&amp;"-"&amp;Tableau2[[#This Row],[Code d''ecole]]&amp;"-"&amp;Tableau2[[#This Row],[Numero HM de la fille]]</f>
        <v>2022-1-16</v>
      </c>
      <c r="K21" s="4">
        <v>7.75</v>
      </c>
      <c r="L21" s="4">
        <v>10</v>
      </c>
      <c r="M21" s="52">
        <f>AVERAGE(Tableau2[[#This Row],[Français /20]]+Tableau2[[#This Row],[Mathématique /20]])/2</f>
        <v>8.875</v>
      </c>
      <c r="N21" s="4">
        <v>3.5</v>
      </c>
      <c r="O21" s="4">
        <v>4</v>
      </c>
      <c r="P21" s="55">
        <f>AVERAGE(Tableau2[[#This Row],[Français/20]]+Tableau2[[#This Row],[Mathématique/20]])/2</f>
        <v>3.75</v>
      </c>
      <c r="Q21" s="31">
        <v>3.32</v>
      </c>
      <c r="R21" s="31">
        <v>5</v>
      </c>
      <c r="S21" s="31">
        <v>7.14</v>
      </c>
      <c r="T21" s="31">
        <f t="shared" si="0"/>
        <v>5.1533333333333333</v>
      </c>
      <c r="U21" s="71" t="s">
        <v>321</v>
      </c>
      <c r="V21" s="88" t="s">
        <v>323</v>
      </c>
    </row>
    <row r="22" spans="1:22" s="42" customFormat="1" ht="15.75" hidden="1" x14ac:dyDescent="0.25">
      <c r="A22" s="15" t="s">
        <v>165</v>
      </c>
      <c r="B22" s="4" t="s">
        <v>182</v>
      </c>
      <c r="C22" s="7" t="s">
        <v>212</v>
      </c>
      <c r="D22" s="4" t="s">
        <v>202</v>
      </c>
      <c r="E22" s="4" t="s">
        <v>19</v>
      </c>
      <c r="F22" s="4">
        <v>17</v>
      </c>
      <c r="G22" s="3">
        <v>2022</v>
      </c>
      <c r="H22" s="12">
        <v>1</v>
      </c>
      <c r="I22" s="4">
        <v>17</v>
      </c>
      <c r="J22" s="4" t="str">
        <f>Tableau2[[#This Row],[Annee d''inscription au programme]]&amp;"-"&amp;Tableau2[[#This Row],[Code d''ecole]]&amp;"-"&amp;Tableau2[[#This Row],[Numero HM de la fille]]</f>
        <v>2022-1-17</v>
      </c>
      <c r="K22" s="4">
        <v>4</v>
      </c>
      <c r="L22" s="4">
        <v>8</v>
      </c>
      <c r="M22" s="52">
        <f>AVERAGE(Tableau2[[#This Row],[Français /20]]+Tableau2[[#This Row],[Mathématique /20]])/2</f>
        <v>6</v>
      </c>
      <c r="N22" s="4">
        <v>5</v>
      </c>
      <c r="O22" s="4">
        <v>4</v>
      </c>
      <c r="P22" s="55">
        <f>AVERAGE(Tableau2[[#This Row],[Français/20]]+Tableau2[[#This Row],[Mathématique/20]])/2</f>
        <v>4.5</v>
      </c>
      <c r="Q22" s="31">
        <v>2.61</v>
      </c>
      <c r="R22" s="31">
        <v>4.5199999999999996</v>
      </c>
      <c r="S22" s="31">
        <v>4</v>
      </c>
      <c r="T22" s="31">
        <f t="shared" si="0"/>
        <v>3.7099999999999995</v>
      </c>
      <c r="U22" s="71" t="s">
        <v>315</v>
      </c>
      <c r="V22" s="88"/>
    </row>
    <row r="23" spans="1:22" s="42" customFormat="1" ht="15.75" x14ac:dyDescent="0.25">
      <c r="A23" s="15" t="s">
        <v>165</v>
      </c>
      <c r="B23" s="4" t="s">
        <v>183</v>
      </c>
      <c r="C23" s="7" t="s">
        <v>214</v>
      </c>
      <c r="D23" s="4" t="s">
        <v>203</v>
      </c>
      <c r="E23" s="4" t="s">
        <v>19</v>
      </c>
      <c r="F23" s="4">
        <v>18</v>
      </c>
      <c r="G23" s="3">
        <v>2022</v>
      </c>
      <c r="H23" s="12">
        <v>1</v>
      </c>
      <c r="I23" s="4">
        <v>18</v>
      </c>
      <c r="J23" s="4" t="str">
        <f>Tableau2[[#This Row],[Annee d''inscription au programme]]&amp;"-"&amp;Tableau2[[#This Row],[Code d''ecole]]&amp;"-"&amp;Tableau2[[#This Row],[Numero HM de la fille]]</f>
        <v>2022-1-18</v>
      </c>
      <c r="K23" s="4">
        <v>4</v>
      </c>
      <c r="L23" s="4">
        <v>10.5</v>
      </c>
      <c r="M23" s="52">
        <f>AVERAGE(Tableau2[[#This Row],[Français /20]]+Tableau2[[#This Row],[Mathématique /20]])/2</f>
        <v>7.25</v>
      </c>
      <c r="N23" s="4">
        <v>5</v>
      </c>
      <c r="O23" s="4">
        <v>7</v>
      </c>
      <c r="P23" s="55">
        <f>AVERAGE(Tableau2[[#This Row],[Français/20]]+Tableau2[[#This Row],[Mathématique/20]])/2</f>
        <v>6</v>
      </c>
      <c r="Q23" s="31">
        <v>5.2</v>
      </c>
      <c r="R23" s="31">
        <v>6.78</v>
      </c>
      <c r="S23" s="31">
        <v>7.32</v>
      </c>
      <c r="T23" s="31">
        <f t="shared" si="0"/>
        <v>6.4333333333333336</v>
      </c>
      <c r="U23" s="71" t="s">
        <v>321</v>
      </c>
      <c r="V23" s="88" t="s">
        <v>317</v>
      </c>
    </row>
    <row r="24" spans="1:22" s="42" customFormat="1" ht="15.75" hidden="1" x14ac:dyDescent="0.25">
      <c r="A24" s="15" t="s">
        <v>165</v>
      </c>
      <c r="B24" s="4" t="s">
        <v>184</v>
      </c>
      <c r="C24" s="7" t="s">
        <v>214</v>
      </c>
      <c r="D24" s="4" t="s">
        <v>192</v>
      </c>
      <c r="E24" s="4" t="s">
        <v>19</v>
      </c>
      <c r="F24" s="4">
        <v>19</v>
      </c>
      <c r="G24" s="3">
        <v>2022</v>
      </c>
      <c r="H24" s="12">
        <v>1</v>
      </c>
      <c r="I24" s="4">
        <v>19</v>
      </c>
      <c r="J24" s="4" t="str">
        <f>Tableau2[[#This Row],[Annee d''inscription au programme]]&amp;"-"&amp;Tableau2[[#This Row],[Code d''ecole]]&amp;"-"&amp;Tableau2[[#This Row],[Numero HM de la fille]]</f>
        <v>2022-1-19</v>
      </c>
      <c r="K24" s="4">
        <v>7.5</v>
      </c>
      <c r="L24" s="4">
        <v>9</v>
      </c>
      <c r="M24" s="52">
        <f>AVERAGE(Tableau2[[#This Row],[Français /20]]+Tableau2[[#This Row],[Mathématique /20]])/2</f>
        <v>8.25</v>
      </c>
      <c r="N24" s="4">
        <v>4</v>
      </c>
      <c r="O24" s="4">
        <v>3</v>
      </c>
      <c r="P24" s="55">
        <f>AVERAGE(Tableau2[[#This Row],[Français/20]]+Tableau2[[#This Row],[Mathématique/20]])/2</f>
        <v>3.5</v>
      </c>
      <c r="Q24" s="31">
        <v>4.1399999999999997</v>
      </c>
      <c r="R24" s="31">
        <v>5.52</v>
      </c>
      <c r="S24" s="31">
        <v>7.26</v>
      </c>
      <c r="T24" s="31">
        <f t="shared" si="0"/>
        <v>5.6400000000000006</v>
      </c>
      <c r="U24" s="71" t="s">
        <v>321</v>
      </c>
      <c r="V24" s="88" t="s">
        <v>323</v>
      </c>
    </row>
    <row r="25" spans="1:22" s="42" customFormat="1" ht="15.75" hidden="1" x14ac:dyDescent="0.25">
      <c r="A25" s="15" t="s">
        <v>165</v>
      </c>
      <c r="B25" s="4" t="s">
        <v>185</v>
      </c>
      <c r="C25" s="7" t="s">
        <v>214</v>
      </c>
      <c r="D25" s="4" t="s">
        <v>188</v>
      </c>
      <c r="E25" s="4" t="s">
        <v>19</v>
      </c>
      <c r="F25" s="4">
        <v>20</v>
      </c>
      <c r="G25" s="3">
        <v>2022</v>
      </c>
      <c r="H25" s="12">
        <v>1</v>
      </c>
      <c r="I25" s="4">
        <v>20</v>
      </c>
      <c r="J25" s="4" t="str">
        <f>Tableau2[[#This Row],[Annee d''inscription au programme]]&amp;"-"&amp;Tableau2[[#This Row],[Code d''ecole]]&amp;"-"&amp;Tableau2[[#This Row],[Numero HM de la fille]]</f>
        <v>2022-1-20</v>
      </c>
      <c r="K25" s="4">
        <v>5</v>
      </c>
      <c r="L25" s="4">
        <v>11</v>
      </c>
      <c r="M25" s="52">
        <f>AVERAGE(Tableau2[[#This Row],[Français /20]]+Tableau2[[#This Row],[Mathématique /20]])/2</f>
        <v>8</v>
      </c>
      <c r="N25" s="4">
        <v>7</v>
      </c>
      <c r="O25" s="4">
        <v>7</v>
      </c>
      <c r="P25" s="55">
        <f>AVERAGE(Tableau2[[#This Row],[Français/20]]+Tableau2[[#This Row],[Mathématique/20]])/2</f>
        <v>7</v>
      </c>
      <c r="Q25" s="31">
        <v>4.26</v>
      </c>
      <c r="R25" s="31">
        <v>6.65</v>
      </c>
      <c r="S25" s="31">
        <v>6.25</v>
      </c>
      <c r="T25" s="31">
        <f t="shared" si="0"/>
        <v>5.72</v>
      </c>
      <c r="U25" s="71" t="s">
        <v>321</v>
      </c>
      <c r="V25" s="88" t="s">
        <v>323</v>
      </c>
    </row>
    <row r="26" spans="1:22" s="42" customFormat="1" ht="15.75" hidden="1" x14ac:dyDescent="0.25">
      <c r="A26" s="15" t="s">
        <v>165</v>
      </c>
      <c r="B26" s="4" t="s">
        <v>186</v>
      </c>
      <c r="C26" s="7" t="s">
        <v>212</v>
      </c>
      <c r="D26" s="4" t="s">
        <v>200</v>
      </c>
      <c r="E26" s="4" t="s">
        <v>19</v>
      </c>
      <c r="F26" s="4">
        <v>21</v>
      </c>
      <c r="G26" s="3">
        <v>2022</v>
      </c>
      <c r="H26" s="12">
        <v>1</v>
      </c>
      <c r="I26" s="4">
        <v>21</v>
      </c>
      <c r="J26" s="4" t="str">
        <f>Tableau2[[#This Row],[Annee d''inscription au programme]]&amp;"-"&amp;Tableau2[[#This Row],[Code d''ecole]]&amp;"-"&amp;Tableau2[[#This Row],[Numero HM de la fille]]</f>
        <v>2022-1-21</v>
      </c>
      <c r="K26" s="4">
        <v>2</v>
      </c>
      <c r="L26" s="4">
        <v>6.5</v>
      </c>
      <c r="M26" s="52">
        <f>AVERAGE(Tableau2[[#This Row],[Français /20]]+Tableau2[[#This Row],[Mathématique /20]])/2</f>
        <v>4.25</v>
      </c>
      <c r="N26" s="4">
        <v>6</v>
      </c>
      <c r="O26" s="4">
        <v>7</v>
      </c>
      <c r="P26" s="55">
        <f>AVERAGE(Tableau2[[#This Row],[Français/20]]+Tableau2[[#This Row],[Mathématique/20]])/2</f>
        <v>6.5</v>
      </c>
      <c r="Q26" s="31">
        <v>3.5</v>
      </c>
      <c r="R26" s="31">
        <v>0</v>
      </c>
      <c r="S26" s="31">
        <v>1.1100000000000001</v>
      </c>
      <c r="T26" s="31">
        <f t="shared" si="0"/>
        <v>1.5366666666666668</v>
      </c>
      <c r="U26" s="71" t="s">
        <v>315</v>
      </c>
      <c r="V26" s="88"/>
    </row>
    <row r="27" spans="1:22" s="42" customFormat="1" ht="15.75" x14ac:dyDescent="0.25">
      <c r="A27" s="3" t="s">
        <v>247</v>
      </c>
      <c r="B27" s="4" t="s">
        <v>249</v>
      </c>
      <c r="C27" s="7"/>
      <c r="D27" s="4" t="s">
        <v>197</v>
      </c>
      <c r="E27" s="4" t="s">
        <v>19</v>
      </c>
      <c r="F27" s="4">
        <v>22</v>
      </c>
      <c r="G27" s="3">
        <v>2022</v>
      </c>
      <c r="H27" s="12">
        <v>2</v>
      </c>
      <c r="I27" s="4">
        <v>22</v>
      </c>
      <c r="J27" s="4" t="str">
        <f>Tableau2[[#This Row],[Annee d''inscription au programme]]&amp;"-"&amp;Tableau2[[#This Row],[Code d''ecole]]&amp;"-"&amp;Tableau2[[#This Row],[Numero HM de la fille]]</f>
        <v>2022-2-22</v>
      </c>
      <c r="K27" s="4">
        <v>5</v>
      </c>
      <c r="L27" s="4">
        <v>11.5</v>
      </c>
      <c r="M27" s="52">
        <f>AVERAGE(Tableau2[[#This Row],[Français /20]]+Tableau2[[#This Row],[Mathématique /20]])/2</f>
        <v>8.25</v>
      </c>
      <c r="N27" s="4">
        <v>10</v>
      </c>
      <c r="O27" s="4">
        <v>7.5</v>
      </c>
      <c r="P27" s="55">
        <f>AVERAGE(Tableau2[[#This Row],[Français/20]]+Tableau2[[#This Row],[Mathématique/20]])/2</f>
        <v>8.75</v>
      </c>
      <c r="Q27" s="31">
        <v>5.46</v>
      </c>
      <c r="R27" s="31">
        <v>5.65</v>
      </c>
      <c r="S27" s="31">
        <v>7.42</v>
      </c>
      <c r="T27" s="31">
        <f t="shared" si="0"/>
        <v>6.1766666666666667</v>
      </c>
      <c r="U27" s="71" t="s">
        <v>321</v>
      </c>
      <c r="V27" s="88" t="s">
        <v>325</v>
      </c>
    </row>
    <row r="28" spans="1:22" s="42" customFormat="1" ht="15.75" hidden="1" x14ac:dyDescent="0.25">
      <c r="A28" s="3" t="s">
        <v>247</v>
      </c>
      <c r="B28" s="4" t="s">
        <v>250</v>
      </c>
      <c r="C28" s="7"/>
      <c r="D28" s="4" t="s">
        <v>266</v>
      </c>
      <c r="E28" s="4" t="s">
        <v>19</v>
      </c>
      <c r="F28" s="4">
        <v>23</v>
      </c>
      <c r="G28" s="3">
        <v>2022</v>
      </c>
      <c r="H28" s="12">
        <v>2</v>
      </c>
      <c r="I28" s="4">
        <v>23</v>
      </c>
      <c r="J28" s="4" t="str">
        <f>Tableau2[[#This Row],[Annee d''inscription au programme]]&amp;"-"&amp;Tableau2[[#This Row],[Code d''ecole]]&amp;"-"&amp;Tableau2[[#This Row],[Numero HM de la fille]]</f>
        <v>2022-2-23</v>
      </c>
      <c r="K28" s="4">
        <v>2.5</v>
      </c>
      <c r="L28" s="4">
        <v>4</v>
      </c>
      <c r="M28" s="52">
        <f>AVERAGE(Tableau2[[#This Row],[Français /20]]+Tableau2[[#This Row],[Mathématique /20]])/2</f>
        <v>3.25</v>
      </c>
      <c r="N28" s="4">
        <v>2.5</v>
      </c>
      <c r="O28" s="4">
        <v>7</v>
      </c>
      <c r="P28" s="55">
        <f>AVERAGE(Tableau2[[#This Row],[Français/20]]+Tableau2[[#This Row],[Mathématique/20]])/2</f>
        <v>4.75</v>
      </c>
      <c r="Q28" s="31"/>
      <c r="R28" s="31"/>
      <c r="S28" s="31"/>
      <c r="T28" s="31">
        <f t="shared" si="0"/>
        <v>0</v>
      </c>
      <c r="U28" s="71" t="s">
        <v>317</v>
      </c>
      <c r="V28" s="88"/>
    </row>
    <row r="29" spans="1:22" s="42" customFormat="1" ht="15.75" hidden="1" x14ac:dyDescent="0.25">
      <c r="A29" s="3" t="s">
        <v>247</v>
      </c>
      <c r="B29" s="4" t="s">
        <v>251</v>
      </c>
      <c r="C29" s="7"/>
      <c r="D29" s="4" t="s">
        <v>267</v>
      </c>
      <c r="E29" s="4" t="s">
        <v>19</v>
      </c>
      <c r="F29" s="4">
        <v>24</v>
      </c>
      <c r="G29" s="3">
        <v>2022</v>
      </c>
      <c r="H29" s="12">
        <v>2</v>
      </c>
      <c r="I29" s="4">
        <v>24</v>
      </c>
      <c r="J29" s="4" t="str">
        <f>Tableau2[[#This Row],[Annee d''inscription au programme]]&amp;"-"&amp;Tableau2[[#This Row],[Code d''ecole]]&amp;"-"&amp;Tableau2[[#This Row],[Numero HM de la fille]]</f>
        <v>2022-2-24</v>
      </c>
      <c r="K29" s="4">
        <v>3.5</v>
      </c>
      <c r="L29" s="4">
        <v>8</v>
      </c>
      <c r="M29" s="52">
        <f>AVERAGE(Tableau2[[#This Row],[Français /20]]+Tableau2[[#This Row],[Mathématique /20]])/2</f>
        <v>5.75</v>
      </c>
      <c r="N29" s="4">
        <v>4</v>
      </c>
      <c r="O29" s="4">
        <v>6</v>
      </c>
      <c r="P29" s="55">
        <f>AVERAGE(Tableau2[[#This Row],[Français/20]]+Tableau2[[#This Row],[Mathématique/20]])/2</f>
        <v>5</v>
      </c>
      <c r="Q29" s="31">
        <v>2.35</v>
      </c>
      <c r="R29" s="31">
        <v>3.64</v>
      </c>
      <c r="S29" s="31">
        <v>2.96</v>
      </c>
      <c r="T29" s="31">
        <f t="shared" si="0"/>
        <v>2.9833333333333329</v>
      </c>
      <c r="U29" s="71" t="s">
        <v>315</v>
      </c>
      <c r="V29" s="88"/>
    </row>
    <row r="30" spans="1:22" s="42" customFormat="1" ht="15.75" hidden="1" x14ac:dyDescent="0.25">
      <c r="A30" s="3" t="s">
        <v>247</v>
      </c>
      <c r="B30" s="4" t="s">
        <v>252</v>
      </c>
      <c r="C30" s="7"/>
      <c r="D30" s="4" t="s">
        <v>268</v>
      </c>
      <c r="E30" s="4" t="s">
        <v>19</v>
      </c>
      <c r="F30" s="4">
        <v>26</v>
      </c>
      <c r="G30" s="3">
        <v>2022</v>
      </c>
      <c r="H30" s="12">
        <v>2</v>
      </c>
      <c r="I30" s="4">
        <v>26</v>
      </c>
      <c r="J30" s="4" t="str">
        <f>Tableau2[[#This Row],[Annee d''inscription au programme]]&amp;"-"&amp;Tableau2[[#This Row],[Code d''ecole]]&amp;"-"&amp;Tableau2[[#This Row],[Numero HM de la fille]]</f>
        <v>2022-2-26</v>
      </c>
      <c r="K30" s="4">
        <v>3</v>
      </c>
      <c r="L30" s="4">
        <v>3</v>
      </c>
      <c r="M30" s="52">
        <f>AVERAGE(Tableau2[[#This Row],[Français /20]]+Tableau2[[#This Row],[Mathématique /20]])/2</f>
        <v>3</v>
      </c>
      <c r="N30" s="4">
        <v>2</v>
      </c>
      <c r="O30" s="4">
        <v>4</v>
      </c>
      <c r="P30" s="55">
        <f>AVERAGE(Tableau2[[#This Row],[Français/20]]+Tableau2[[#This Row],[Mathématique/20]])/2</f>
        <v>3</v>
      </c>
      <c r="Q30" s="31"/>
      <c r="R30" s="31"/>
      <c r="S30" s="31"/>
      <c r="T30" s="31">
        <f t="shared" si="0"/>
        <v>0</v>
      </c>
      <c r="U30" s="71" t="s">
        <v>317</v>
      </c>
      <c r="V30" s="88"/>
    </row>
    <row r="31" spans="1:22" s="42" customFormat="1" ht="15.75" hidden="1" x14ac:dyDescent="0.25">
      <c r="A31" s="3" t="s">
        <v>247</v>
      </c>
      <c r="B31" s="4" t="s">
        <v>253</v>
      </c>
      <c r="C31" s="7"/>
      <c r="D31" s="4" t="s">
        <v>269</v>
      </c>
      <c r="E31" s="4" t="s">
        <v>19</v>
      </c>
      <c r="F31" s="4">
        <v>27</v>
      </c>
      <c r="G31" s="3">
        <v>2022</v>
      </c>
      <c r="H31" s="12">
        <v>2</v>
      </c>
      <c r="I31" s="4">
        <v>27</v>
      </c>
      <c r="J31" s="4" t="str">
        <f>Tableau2[[#This Row],[Annee d''inscription au programme]]&amp;"-"&amp;Tableau2[[#This Row],[Code d''ecole]]&amp;"-"&amp;Tableau2[[#This Row],[Numero HM de la fille]]</f>
        <v>2022-2-27</v>
      </c>
      <c r="K31" s="4">
        <v>7</v>
      </c>
      <c r="L31" s="4">
        <v>8</v>
      </c>
      <c r="M31" s="52">
        <f>AVERAGE(Tableau2[[#This Row],[Français /20]]+Tableau2[[#This Row],[Mathématique /20]])/2</f>
        <v>7.5</v>
      </c>
      <c r="N31" s="4">
        <v>8</v>
      </c>
      <c r="O31" s="4">
        <v>6</v>
      </c>
      <c r="P31" s="55">
        <f>AVERAGE(Tableau2[[#This Row],[Français/20]]+Tableau2[[#This Row],[Mathématique/20]])/2</f>
        <v>7</v>
      </c>
      <c r="Q31" s="31"/>
      <c r="R31" s="31"/>
      <c r="S31" s="31"/>
      <c r="T31" s="31">
        <f t="shared" si="0"/>
        <v>0</v>
      </c>
      <c r="U31" s="71" t="s">
        <v>317</v>
      </c>
      <c r="V31" s="88"/>
    </row>
    <row r="32" spans="1:22" s="42" customFormat="1" ht="15.75" hidden="1" x14ac:dyDescent="0.25">
      <c r="A32" s="3" t="s">
        <v>247</v>
      </c>
      <c r="B32" s="4" t="s">
        <v>254</v>
      </c>
      <c r="C32" s="7"/>
      <c r="D32" s="4" t="s">
        <v>270</v>
      </c>
      <c r="E32" s="4" t="s">
        <v>19</v>
      </c>
      <c r="F32" s="4">
        <v>28</v>
      </c>
      <c r="G32" s="3">
        <v>2022</v>
      </c>
      <c r="H32" s="12">
        <v>2</v>
      </c>
      <c r="I32" s="4">
        <v>28</v>
      </c>
      <c r="J32" s="4" t="str">
        <f>Tableau2[[#This Row],[Annee d''inscription au programme]]&amp;"-"&amp;Tableau2[[#This Row],[Code d''ecole]]&amp;"-"&amp;Tableau2[[#This Row],[Numero HM de la fille]]</f>
        <v>2022-2-28</v>
      </c>
      <c r="K32" s="4">
        <v>7.5</v>
      </c>
      <c r="L32" s="4">
        <v>9</v>
      </c>
      <c r="M32" s="52">
        <f>AVERAGE(Tableau2[[#This Row],[Français /20]]+Tableau2[[#This Row],[Mathématique /20]])/2</f>
        <v>8.25</v>
      </c>
      <c r="N32" s="4">
        <v>6</v>
      </c>
      <c r="O32" s="4">
        <v>8</v>
      </c>
      <c r="P32" s="55">
        <f>AVERAGE(Tableau2[[#This Row],[Français/20]]+Tableau2[[#This Row],[Mathématique/20]])/2</f>
        <v>7</v>
      </c>
      <c r="Q32" s="31">
        <v>2.17</v>
      </c>
      <c r="R32" s="31">
        <v>3.26</v>
      </c>
      <c r="S32" s="31">
        <v>3.96</v>
      </c>
      <c r="T32" s="31">
        <f t="shared" si="0"/>
        <v>3.1300000000000003</v>
      </c>
      <c r="U32" s="71" t="s">
        <v>315</v>
      </c>
      <c r="V32" s="88"/>
    </row>
    <row r="33" spans="1:22" s="42" customFormat="1" ht="15.75" hidden="1" x14ac:dyDescent="0.25">
      <c r="A33" s="3" t="s">
        <v>247</v>
      </c>
      <c r="B33" s="4" t="s">
        <v>255</v>
      </c>
      <c r="C33" s="7"/>
      <c r="D33" s="4" t="s">
        <v>269</v>
      </c>
      <c r="E33" s="4" t="s">
        <v>19</v>
      </c>
      <c r="F33" s="4">
        <v>29</v>
      </c>
      <c r="G33" s="3">
        <v>2022</v>
      </c>
      <c r="H33" s="12">
        <v>2</v>
      </c>
      <c r="I33" s="4">
        <v>29</v>
      </c>
      <c r="J33" s="4" t="str">
        <f>Tableau2[[#This Row],[Annee d''inscription au programme]]&amp;"-"&amp;Tableau2[[#This Row],[Code d''ecole]]&amp;"-"&amp;Tableau2[[#This Row],[Numero HM de la fille]]</f>
        <v>2022-2-29</v>
      </c>
      <c r="K33" s="4">
        <v>5</v>
      </c>
      <c r="L33" s="4">
        <v>9.5</v>
      </c>
      <c r="M33" s="52">
        <f>AVERAGE(Tableau2[[#This Row],[Français /20]]+Tableau2[[#This Row],[Mathématique /20]])/2</f>
        <v>7.25</v>
      </c>
      <c r="N33" s="4">
        <v>6</v>
      </c>
      <c r="O33" s="4">
        <v>2.5</v>
      </c>
      <c r="P33" s="55">
        <f>AVERAGE(Tableau2[[#This Row],[Français/20]]+Tableau2[[#This Row],[Mathématique/20]])/2</f>
        <v>4.25</v>
      </c>
      <c r="Q33" s="31"/>
      <c r="R33" s="31"/>
      <c r="S33" s="31"/>
      <c r="T33" s="31">
        <f t="shared" si="0"/>
        <v>0</v>
      </c>
      <c r="U33" s="71" t="s">
        <v>317</v>
      </c>
      <c r="V33" s="88"/>
    </row>
    <row r="34" spans="1:22" s="42" customFormat="1" ht="15.75" hidden="1" x14ac:dyDescent="0.25">
      <c r="A34" s="3" t="s">
        <v>247</v>
      </c>
      <c r="B34" s="4" t="s">
        <v>256</v>
      </c>
      <c r="C34" s="4"/>
      <c r="D34" s="7" t="s">
        <v>271</v>
      </c>
      <c r="E34" s="4" t="s">
        <v>19</v>
      </c>
      <c r="F34" s="4">
        <v>30</v>
      </c>
      <c r="G34" s="3">
        <v>2022</v>
      </c>
      <c r="H34" s="12">
        <v>2</v>
      </c>
      <c r="I34" s="4">
        <v>30</v>
      </c>
      <c r="J34" s="4" t="str">
        <f>Tableau2[[#This Row],[Annee d''inscription au programme]]&amp;"-"&amp;Tableau2[[#This Row],[Code d''ecole]]&amp;"-"&amp;Tableau2[[#This Row],[Numero HM de la fille]]</f>
        <v>2022-2-30</v>
      </c>
      <c r="K34" s="4">
        <v>5.5</v>
      </c>
      <c r="L34" s="4">
        <v>4.5</v>
      </c>
      <c r="M34" s="52">
        <f>AVERAGE(Tableau2[[#This Row],[Français /20]]+Tableau2[[#This Row],[Mathématique /20]])/2</f>
        <v>5</v>
      </c>
      <c r="N34" s="4">
        <v>4.5</v>
      </c>
      <c r="O34" s="4">
        <v>6.25</v>
      </c>
      <c r="P34" s="55">
        <f>AVERAGE(Tableau2[[#This Row],[Français/20]]+Tableau2[[#This Row],[Mathématique/20]])/2</f>
        <v>5.375</v>
      </c>
      <c r="Q34" s="31"/>
      <c r="R34" s="31"/>
      <c r="S34" s="31"/>
      <c r="T34" s="31">
        <f t="shared" si="0"/>
        <v>0</v>
      </c>
      <c r="U34" s="71" t="s">
        <v>317</v>
      </c>
      <c r="V34" s="88"/>
    </row>
    <row r="35" spans="1:22" s="42" customFormat="1" ht="15.75" hidden="1" x14ac:dyDescent="0.25">
      <c r="A35" s="3" t="s">
        <v>247</v>
      </c>
      <c r="B35" s="4" t="s">
        <v>257</v>
      </c>
      <c r="C35" s="4"/>
      <c r="D35" s="7" t="s">
        <v>272</v>
      </c>
      <c r="E35" s="4" t="s">
        <v>19</v>
      </c>
      <c r="F35" s="4">
        <v>31</v>
      </c>
      <c r="G35" s="3">
        <v>2022</v>
      </c>
      <c r="H35" s="12">
        <v>2</v>
      </c>
      <c r="I35" s="4">
        <v>31</v>
      </c>
      <c r="J35" s="4" t="str">
        <f>Tableau2[[#This Row],[Annee d''inscription au programme]]&amp;"-"&amp;Tableau2[[#This Row],[Code d''ecole]]&amp;"-"&amp;Tableau2[[#This Row],[Numero HM de la fille]]</f>
        <v>2022-2-31</v>
      </c>
      <c r="K35" s="4">
        <v>10.5</v>
      </c>
      <c r="L35" s="4">
        <v>3.5</v>
      </c>
      <c r="M35" s="52">
        <f>AVERAGE(Tableau2[[#This Row],[Français /20]]+Tableau2[[#This Row],[Mathématique /20]])/2</f>
        <v>7</v>
      </c>
      <c r="N35" s="4">
        <v>4</v>
      </c>
      <c r="O35" s="4">
        <v>1</v>
      </c>
      <c r="P35" s="55">
        <f>AVERAGE(Tableau2[[#This Row],[Français/20]]+Tableau2[[#This Row],[Mathématique/20]])/2</f>
        <v>2.5</v>
      </c>
      <c r="Q35" s="31">
        <v>3</v>
      </c>
      <c r="R35" s="31">
        <v>3.28</v>
      </c>
      <c r="S35" s="31">
        <v>2.67</v>
      </c>
      <c r="T35" s="31">
        <f t="shared" si="0"/>
        <v>2.9833333333333329</v>
      </c>
      <c r="U35" s="71" t="s">
        <v>315</v>
      </c>
      <c r="V35" s="88"/>
    </row>
    <row r="36" spans="1:22" s="42" customFormat="1" ht="15.75" hidden="1" x14ac:dyDescent="0.25">
      <c r="A36" s="3" t="s">
        <v>247</v>
      </c>
      <c r="B36" s="4" t="s">
        <v>258</v>
      </c>
      <c r="C36" s="7"/>
      <c r="D36" s="4" t="s">
        <v>269</v>
      </c>
      <c r="E36" s="4" t="s">
        <v>19</v>
      </c>
      <c r="F36" s="4">
        <v>32</v>
      </c>
      <c r="G36" s="3">
        <v>2022</v>
      </c>
      <c r="H36" s="12">
        <v>2</v>
      </c>
      <c r="I36" s="4">
        <v>32</v>
      </c>
      <c r="J36" s="4" t="str">
        <f>Tableau2[[#This Row],[Annee d''inscription au programme]]&amp;"-"&amp;Tableau2[[#This Row],[Code d''ecole]]&amp;"-"&amp;Tableau2[[#This Row],[Numero HM de la fille]]</f>
        <v>2022-2-32</v>
      </c>
      <c r="K36" s="4">
        <v>7</v>
      </c>
      <c r="L36" s="4">
        <v>11.5</v>
      </c>
      <c r="M36" s="52">
        <f>AVERAGE(Tableau2[[#This Row],[Français /20]]+Tableau2[[#This Row],[Mathématique /20]])/2</f>
        <v>9.25</v>
      </c>
      <c r="N36" s="4">
        <v>14</v>
      </c>
      <c r="O36" s="4">
        <v>10.5</v>
      </c>
      <c r="P36" s="55">
        <f>AVERAGE(Tableau2[[#This Row],[Français/20]]+Tableau2[[#This Row],[Mathématique/20]])/2</f>
        <v>12.25</v>
      </c>
      <c r="Q36" s="31">
        <v>9.08</v>
      </c>
      <c r="R36" s="31">
        <v>7.76</v>
      </c>
      <c r="S36" s="31">
        <v>9.7799999999999994</v>
      </c>
      <c r="T36" s="31">
        <f t="shared" si="0"/>
        <v>8.8733333333333331</v>
      </c>
      <c r="U36" s="71" t="s">
        <v>321</v>
      </c>
      <c r="V36" s="88" t="s">
        <v>323</v>
      </c>
    </row>
    <row r="37" spans="1:22" s="42" customFormat="1" ht="15.75" x14ac:dyDescent="0.25">
      <c r="A37" s="3" t="s">
        <v>247</v>
      </c>
      <c r="B37" s="4" t="s">
        <v>259</v>
      </c>
      <c r="C37" s="7"/>
      <c r="D37" s="4" t="s">
        <v>197</v>
      </c>
      <c r="E37" s="4" t="s">
        <v>19</v>
      </c>
      <c r="F37" s="4">
        <v>33</v>
      </c>
      <c r="G37" s="3">
        <v>2022</v>
      </c>
      <c r="H37" s="12">
        <v>2</v>
      </c>
      <c r="I37" s="4">
        <v>33</v>
      </c>
      <c r="J37" s="4" t="str">
        <f>Tableau2[[#This Row],[Annee d''inscription au programme]]&amp;"-"&amp;Tableau2[[#This Row],[Code d''ecole]]&amp;"-"&amp;Tableau2[[#This Row],[Numero HM de la fille]]</f>
        <v>2022-2-33</v>
      </c>
      <c r="K37" s="4">
        <v>5</v>
      </c>
      <c r="L37" s="4">
        <v>6.5</v>
      </c>
      <c r="M37" s="52">
        <f>AVERAGE(Tableau2[[#This Row],[Français /20]]+Tableau2[[#This Row],[Mathématique /20]])/2</f>
        <v>5.75</v>
      </c>
      <c r="N37" s="4">
        <v>9.25</v>
      </c>
      <c r="O37" s="4">
        <v>3.5</v>
      </c>
      <c r="P37" s="55">
        <f>AVERAGE(Tableau2[[#This Row],[Français/20]]+Tableau2[[#This Row],[Mathématique/20]])/2</f>
        <v>6.375</v>
      </c>
      <c r="Q37" s="31">
        <v>5.75</v>
      </c>
      <c r="R37" s="31">
        <v>5.71</v>
      </c>
      <c r="S37" s="31">
        <v>6.17</v>
      </c>
      <c r="T37" s="31">
        <f t="shared" si="0"/>
        <v>5.8766666666666678</v>
      </c>
      <c r="U37" s="71" t="s">
        <v>321</v>
      </c>
      <c r="V37" s="88" t="s">
        <v>327</v>
      </c>
    </row>
    <row r="38" spans="1:22" s="42" customFormat="1" ht="15.75" hidden="1" x14ac:dyDescent="0.25">
      <c r="A38" s="3" t="s">
        <v>247</v>
      </c>
      <c r="B38" s="4" t="s">
        <v>260</v>
      </c>
      <c r="C38" s="7"/>
      <c r="D38" s="4" t="s">
        <v>273</v>
      </c>
      <c r="E38" s="4" t="s">
        <v>19</v>
      </c>
      <c r="F38" s="4">
        <v>34</v>
      </c>
      <c r="G38" s="3">
        <v>2022</v>
      </c>
      <c r="H38" s="12">
        <v>2</v>
      </c>
      <c r="I38" s="4">
        <v>34</v>
      </c>
      <c r="J38" s="4" t="str">
        <f>Tableau2[[#This Row],[Annee d''inscription au programme]]&amp;"-"&amp;Tableau2[[#This Row],[Code d''ecole]]&amp;"-"&amp;Tableau2[[#This Row],[Numero HM de la fille]]</f>
        <v>2022-2-34</v>
      </c>
      <c r="K38" s="4">
        <v>4</v>
      </c>
      <c r="L38" s="4">
        <v>6.5</v>
      </c>
      <c r="M38" s="52">
        <f>AVERAGE(Tableau2[[#This Row],[Français /20]]+Tableau2[[#This Row],[Mathématique /20]])/2</f>
        <v>5.25</v>
      </c>
      <c r="N38" s="4">
        <v>1.5</v>
      </c>
      <c r="O38" s="4">
        <v>6</v>
      </c>
      <c r="P38" s="55">
        <f>AVERAGE(Tableau2[[#This Row],[Français/20]]+Tableau2[[#This Row],[Mathématique/20]])/2</f>
        <v>3.75</v>
      </c>
      <c r="Q38" s="31">
        <v>2.17</v>
      </c>
      <c r="R38" s="31">
        <v>1.92</v>
      </c>
      <c r="S38" s="31">
        <v>2.71</v>
      </c>
      <c r="T38" s="31">
        <f t="shared" ref="T38:T62" si="1">AVERAGE(Q38+R38+S38)/3</f>
        <v>2.2666666666666666</v>
      </c>
      <c r="U38" s="71" t="s">
        <v>315</v>
      </c>
      <c r="V38" s="88"/>
    </row>
    <row r="39" spans="1:22" s="42" customFormat="1" ht="15.75" hidden="1" x14ac:dyDescent="0.25">
      <c r="A39" s="3" t="s">
        <v>247</v>
      </c>
      <c r="B39" s="4" t="s">
        <v>261</v>
      </c>
      <c r="C39" s="7"/>
      <c r="D39" s="4" t="s">
        <v>274</v>
      </c>
      <c r="E39" s="4" t="s">
        <v>19</v>
      </c>
      <c r="F39" s="4">
        <v>36</v>
      </c>
      <c r="G39" s="3">
        <v>2022</v>
      </c>
      <c r="H39" s="12">
        <v>2</v>
      </c>
      <c r="I39" s="4">
        <v>36</v>
      </c>
      <c r="J39" s="4" t="str">
        <f>Tableau2[[#This Row],[Annee d''inscription au programme]]&amp;"-"&amp;Tableau2[[#This Row],[Code d''ecole]]&amp;"-"&amp;Tableau2[[#This Row],[Numero HM de la fille]]</f>
        <v>2022-2-36</v>
      </c>
      <c r="K39" s="4">
        <v>5</v>
      </c>
      <c r="L39" s="4">
        <v>7.5</v>
      </c>
      <c r="M39" s="52">
        <f>AVERAGE(Tableau2[[#This Row],[Français /20]]+Tableau2[[#This Row],[Mathématique /20]])/2</f>
        <v>6.25</v>
      </c>
      <c r="N39" s="4">
        <v>7</v>
      </c>
      <c r="O39" s="4">
        <v>8</v>
      </c>
      <c r="P39" s="55">
        <f>AVERAGE(Tableau2[[#This Row],[Français/20]]+Tableau2[[#This Row],[Mathématique/20]])/2</f>
        <v>7.5</v>
      </c>
      <c r="Q39" s="31">
        <v>2.94</v>
      </c>
      <c r="R39" s="31">
        <v>4.0599999999999996</v>
      </c>
      <c r="S39" s="31">
        <v>5.89</v>
      </c>
      <c r="T39" s="31">
        <f t="shared" si="1"/>
        <v>4.2966666666666669</v>
      </c>
      <c r="U39" s="71" t="s">
        <v>315</v>
      </c>
      <c r="V39" s="88"/>
    </row>
    <row r="40" spans="1:22" s="42" customFormat="1" ht="15.75" hidden="1" x14ac:dyDescent="0.25">
      <c r="A40" s="3" t="s">
        <v>247</v>
      </c>
      <c r="B40" s="4" t="s">
        <v>262</v>
      </c>
      <c r="C40" s="7"/>
      <c r="D40" s="4" t="s">
        <v>275</v>
      </c>
      <c r="E40" s="4" t="s">
        <v>19</v>
      </c>
      <c r="F40" s="4">
        <v>37</v>
      </c>
      <c r="G40" s="3">
        <v>2022</v>
      </c>
      <c r="H40" s="12">
        <v>2</v>
      </c>
      <c r="I40" s="4">
        <v>37</v>
      </c>
      <c r="J40" s="4" t="str">
        <f>Tableau2[[#This Row],[Annee d''inscription au programme]]&amp;"-"&amp;Tableau2[[#This Row],[Code d''ecole]]&amp;"-"&amp;Tableau2[[#This Row],[Numero HM de la fille]]</f>
        <v>2022-2-37</v>
      </c>
      <c r="K40" s="4">
        <v>4.5</v>
      </c>
      <c r="L40" s="4">
        <v>12</v>
      </c>
      <c r="M40" s="52">
        <f>AVERAGE(Tableau2[[#This Row],[Français /20]]+Tableau2[[#This Row],[Mathématique /20]])/2</f>
        <v>8.25</v>
      </c>
      <c r="N40" s="4">
        <v>6</v>
      </c>
      <c r="O40" s="4">
        <v>6</v>
      </c>
      <c r="P40" s="55">
        <f>AVERAGE(Tableau2[[#This Row],[Français/20]]+Tableau2[[#This Row],[Mathématique/20]])/2</f>
        <v>6</v>
      </c>
      <c r="Q40" s="31">
        <v>7.25</v>
      </c>
      <c r="R40" s="31">
        <v>6.96</v>
      </c>
      <c r="S40" s="31">
        <v>8.0299999999999994</v>
      </c>
      <c r="T40" s="31">
        <f t="shared" si="1"/>
        <v>7.413333333333334</v>
      </c>
      <c r="U40" s="71" t="s">
        <v>321</v>
      </c>
      <c r="V40" s="88" t="s">
        <v>323</v>
      </c>
    </row>
    <row r="41" spans="1:22" s="42" customFormat="1" ht="15.75" hidden="1" x14ac:dyDescent="0.25">
      <c r="A41" s="3" t="s">
        <v>247</v>
      </c>
      <c r="B41" s="4" t="s">
        <v>263</v>
      </c>
      <c r="C41" s="7"/>
      <c r="D41" s="4" t="s">
        <v>200</v>
      </c>
      <c r="E41" s="4" t="s">
        <v>19</v>
      </c>
      <c r="F41" s="4">
        <v>38</v>
      </c>
      <c r="G41" s="3">
        <v>2022</v>
      </c>
      <c r="H41" s="12">
        <v>3</v>
      </c>
      <c r="I41" s="4">
        <v>38</v>
      </c>
      <c r="J41" s="4" t="str">
        <f>Tableau2[[#This Row],[Annee d''inscription au programme]]&amp;"-"&amp;Tableau2[[#This Row],[Code d''ecole]]&amp;"-"&amp;Tableau2[[#This Row],[Numero HM de la fille]]</f>
        <v>2022-3-38</v>
      </c>
      <c r="K41" s="4">
        <v>5</v>
      </c>
      <c r="L41" s="4">
        <v>10</v>
      </c>
      <c r="M41" s="52">
        <f>AVERAGE(Tableau2[[#This Row],[Français /20]]+Tableau2[[#This Row],[Mathématique /20]])/2</f>
        <v>7.5</v>
      </c>
      <c r="N41" s="4">
        <v>4.5</v>
      </c>
      <c r="O41" s="4">
        <v>5</v>
      </c>
      <c r="P41" s="55">
        <f>AVERAGE(Tableau2[[#This Row],[Français/20]]+Tableau2[[#This Row],[Mathématique/20]])/2</f>
        <v>4.75</v>
      </c>
      <c r="Q41" s="31">
        <v>3.42</v>
      </c>
      <c r="R41" s="31">
        <v>3.89</v>
      </c>
      <c r="S41" s="31">
        <v>2.57</v>
      </c>
      <c r="T41" s="31">
        <f t="shared" si="1"/>
        <v>3.2933333333333334</v>
      </c>
      <c r="U41" s="71" t="s">
        <v>315</v>
      </c>
      <c r="V41" s="88"/>
    </row>
    <row r="42" spans="1:22" s="42" customFormat="1" ht="15.75" hidden="1" x14ac:dyDescent="0.25">
      <c r="A42" s="3" t="s">
        <v>247</v>
      </c>
      <c r="B42" s="4" t="s">
        <v>264</v>
      </c>
      <c r="C42" s="7"/>
      <c r="D42" s="4" t="s">
        <v>276</v>
      </c>
      <c r="E42" s="4" t="s">
        <v>19</v>
      </c>
      <c r="F42" s="4">
        <v>39</v>
      </c>
      <c r="G42" s="3">
        <v>2022</v>
      </c>
      <c r="H42" s="12">
        <v>3</v>
      </c>
      <c r="I42" s="4">
        <v>39</v>
      </c>
      <c r="J42" s="4" t="str">
        <f>Tableau2[[#This Row],[Annee d''inscription au programme]]&amp;"-"&amp;Tableau2[[#This Row],[Code d''ecole]]&amp;"-"&amp;Tableau2[[#This Row],[Numero HM de la fille]]</f>
        <v>2022-3-39</v>
      </c>
      <c r="K42" s="4">
        <v>5</v>
      </c>
      <c r="L42" s="4">
        <v>10.5</v>
      </c>
      <c r="M42" s="52">
        <f>AVERAGE(Tableau2[[#This Row],[Français /20]]+Tableau2[[#This Row],[Mathématique /20]])/2</f>
        <v>7.75</v>
      </c>
      <c r="N42" s="4">
        <v>9.5</v>
      </c>
      <c r="O42" s="4">
        <v>6.5</v>
      </c>
      <c r="P42" s="55">
        <f>AVERAGE(Tableau2[[#This Row],[Français/20]]+Tableau2[[#This Row],[Mathématique/20]])/2</f>
        <v>8</v>
      </c>
      <c r="Q42" s="31"/>
      <c r="R42" s="31"/>
      <c r="S42" s="31"/>
      <c r="T42" s="31">
        <f t="shared" si="1"/>
        <v>0</v>
      </c>
      <c r="U42" s="71" t="s">
        <v>317</v>
      </c>
      <c r="V42" s="88"/>
    </row>
    <row r="43" spans="1:22" s="42" customFormat="1" ht="15.75" hidden="1" x14ac:dyDescent="0.25">
      <c r="A43" s="3" t="s">
        <v>247</v>
      </c>
      <c r="B43" s="4" t="s">
        <v>265</v>
      </c>
      <c r="C43" s="7"/>
      <c r="D43" s="4" t="s">
        <v>277</v>
      </c>
      <c r="E43" s="4" t="s">
        <v>19</v>
      </c>
      <c r="F43" s="4">
        <v>40</v>
      </c>
      <c r="G43" s="3">
        <v>2022</v>
      </c>
      <c r="H43" s="12">
        <v>3</v>
      </c>
      <c r="I43" s="4">
        <v>40</v>
      </c>
      <c r="J43" s="4" t="str">
        <f>Tableau2[[#This Row],[Annee d''inscription au programme]]&amp;"-"&amp;Tableau2[[#This Row],[Code d''ecole]]&amp;"-"&amp;Tableau2[[#This Row],[Numero HM de la fille]]</f>
        <v>2022-3-40</v>
      </c>
      <c r="K43" s="4">
        <v>5</v>
      </c>
      <c r="L43" s="4">
        <v>11.5</v>
      </c>
      <c r="M43" s="52">
        <f>AVERAGE(Tableau2[[#This Row],[Français /20]]+Tableau2[[#This Row],[Mathématique /20]])/2</f>
        <v>8.25</v>
      </c>
      <c r="N43" s="4">
        <v>6.5</v>
      </c>
      <c r="O43" s="4">
        <v>7</v>
      </c>
      <c r="P43" s="55">
        <f>AVERAGE(Tableau2[[#This Row],[Français/20]]+Tableau2[[#This Row],[Mathématique/20]])/2</f>
        <v>6.75</v>
      </c>
      <c r="Q43" s="31"/>
      <c r="R43" s="31"/>
      <c r="S43" s="31"/>
      <c r="T43" s="31">
        <f t="shared" si="1"/>
        <v>0</v>
      </c>
      <c r="U43" s="71" t="s">
        <v>317</v>
      </c>
      <c r="V43" s="88"/>
    </row>
    <row r="44" spans="1:22" s="42" customFormat="1" ht="15.75" hidden="1" x14ac:dyDescent="0.25">
      <c r="A44" s="3" t="s">
        <v>248</v>
      </c>
      <c r="B44" s="4" t="s">
        <v>310</v>
      </c>
      <c r="C44" s="7"/>
      <c r="D44" s="4" t="s">
        <v>295</v>
      </c>
      <c r="E44" s="4" t="s">
        <v>19</v>
      </c>
      <c r="F44" s="4">
        <v>41</v>
      </c>
      <c r="G44" s="3">
        <v>2022</v>
      </c>
      <c r="H44" s="12">
        <v>3</v>
      </c>
      <c r="I44" s="4">
        <v>636</v>
      </c>
      <c r="J44" s="4" t="str">
        <f>Tableau2[[#This Row],[Annee d''inscription au programme]]&amp;"-"&amp;Tableau2[[#This Row],[Code d''ecole]]&amp;"-"&amp;Tableau2[[#This Row],[Numero HM de la fille]]</f>
        <v>2022-3-636</v>
      </c>
      <c r="K44" s="4">
        <v>1.5</v>
      </c>
      <c r="L44" s="4">
        <v>6.5</v>
      </c>
      <c r="M44" s="52">
        <f>AVERAGE(Tableau2[[#This Row],[Français /20]]+Tableau2[[#This Row],[Mathématique /20]])/2</f>
        <v>4</v>
      </c>
      <c r="N44" s="4">
        <v>6</v>
      </c>
      <c r="O44" s="4">
        <v>3</v>
      </c>
      <c r="P44" s="55">
        <f>AVERAGE(Tableau2[[#This Row],[Français/20]]+Tableau2[[#This Row],[Mathématique/20]])/2</f>
        <v>4.5</v>
      </c>
      <c r="Q44" s="31">
        <v>4.42</v>
      </c>
      <c r="R44" s="31">
        <v>3.5</v>
      </c>
      <c r="S44" s="31">
        <v>3.7</v>
      </c>
      <c r="T44" s="31">
        <f t="shared" si="1"/>
        <v>3.8733333333333335</v>
      </c>
      <c r="U44" s="71" t="s">
        <v>315</v>
      </c>
      <c r="V44" s="88"/>
    </row>
    <row r="45" spans="1:22" s="42" customFormat="1" ht="15.75" hidden="1" x14ac:dyDescent="0.25">
      <c r="A45" s="3" t="s">
        <v>248</v>
      </c>
      <c r="B45" s="4" t="s">
        <v>279</v>
      </c>
      <c r="C45" s="7"/>
      <c r="D45" s="4" t="s">
        <v>296</v>
      </c>
      <c r="E45" s="4" t="s">
        <v>19</v>
      </c>
      <c r="F45" s="4">
        <v>42</v>
      </c>
      <c r="G45" s="3">
        <v>2022</v>
      </c>
      <c r="H45" s="12">
        <v>3</v>
      </c>
      <c r="I45" s="4">
        <v>637</v>
      </c>
      <c r="J45" s="4" t="str">
        <f>Tableau2[[#This Row],[Annee d''inscription au programme]]&amp;"-"&amp;Tableau2[[#This Row],[Code d''ecole]]&amp;"-"&amp;Tableau2[[#This Row],[Numero HM de la fille]]</f>
        <v>2022-3-637</v>
      </c>
      <c r="K45" s="4">
        <v>1</v>
      </c>
      <c r="L45" s="4">
        <v>2.5</v>
      </c>
      <c r="M45" s="52">
        <f>AVERAGE(Tableau2[[#This Row],[Français /20]]+Tableau2[[#This Row],[Mathématique /20]])/2</f>
        <v>1.75</v>
      </c>
      <c r="N45" s="4">
        <v>1.5</v>
      </c>
      <c r="O45" s="4">
        <v>5</v>
      </c>
      <c r="P45" s="55">
        <f>AVERAGE(Tableau2[[#This Row],[Français/20]]+Tableau2[[#This Row],[Mathématique/20]])/2</f>
        <v>3.25</v>
      </c>
      <c r="Q45" s="31">
        <v>1.81</v>
      </c>
      <c r="R45" s="31">
        <v>3</v>
      </c>
      <c r="S45" s="31">
        <v>2</v>
      </c>
      <c r="T45" s="31">
        <f t="shared" si="1"/>
        <v>2.27</v>
      </c>
      <c r="U45" s="71" t="s">
        <v>315</v>
      </c>
      <c r="V45" s="88"/>
    </row>
    <row r="46" spans="1:22" s="42" customFormat="1" ht="15.75" hidden="1" x14ac:dyDescent="0.25">
      <c r="A46" s="3" t="s">
        <v>248</v>
      </c>
      <c r="B46" s="4" t="s">
        <v>280</v>
      </c>
      <c r="C46" s="7"/>
      <c r="D46" s="4" t="s">
        <v>199</v>
      </c>
      <c r="E46" s="4" t="s">
        <v>19</v>
      </c>
      <c r="F46" s="4">
        <v>43</v>
      </c>
      <c r="G46" s="3">
        <v>2022</v>
      </c>
      <c r="H46" s="12">
        <v>3</v>
      </c>
      <c r="I46" s="4">
        <v>43</v>
      </c>
      <c r="J46" s="4" t="str">
        <f>Tableau2[[#This Row],[Annee d''inscription au programme]]&amp;"-"&amp;Tableau2[[#This Row],[Code d''ecole]]&amp;"-"&amp;Tableau2[[#This Row],[Numero HM de la fille]]</f>
        <v>2022-3-43</v>
      </c>
      <c r="K46" s="4">
        <v>7.5</v>
      </c>
      <c r="L46" s="4">
        <v>10</v>
      </c>
      <c r="M46" s="52">
        <f>AVERAGE(Tableau2[[#This Row],[Français /20]]+Tableau2[[#This Row],[Mathématique /20]])/2</f>
        <v>8.75</v>
      </c>
      <c r="N46" s="4"/>
      <c r="O46" s="4"/>
      <c r="P46" s="55">
        <f>AVERAGE(Tableau2[[#This Row],[Français/20]]+Tableau2[[#This Row],[Mathématique/20]])/2</f>
        <v>0</v>
      </c>
      <c r="Q46" s="31">
        <v>2</v>
      </c>
      <c r="R46" s="31">
        <v>2.87</v>
      </c>
      <c r="S46" s="31">
        <v>2</v>
      </c>
      <c r="T46" s="31">
        <f t="shared" si="1"/>
        <v>2.29</v>
      </c>
      <c r="U46" s="71" t="s">
        <v>315</v>
      </c>
      <c r="V46" s="88"/>
    </row>
    <row r="47" spans="1:22" s="42" customFormat="1" ht="15.75" hidden="1" x14ac:dyDescent="0.25">
      <c r="A47" s="3" t="s">
        <v>248</v>
      </c>
      <c r="B47" s="4" t="s">
        <v>281</v>
      </c>
      <c r="C47" s="7"/>
      <c r="D47" s="4" t="s">
        <v>297</v>
      </c>
      <c r="E47" s="4" t="s">
        <v>19</v>
      </c>
      <c r="F47" s="4">
        <v>44</v>
      </c>
      <c r="G47" s="3">
        <v>2022</v>
      </c>
      <c r="H47" s="12">
        <v>3</v>
      </c>
      <c r="I47" s="4">
        <v>631</v>
      </c>
      <c r="J47" s="4" t="str">
        <f>Tableau2[[#This Row],[Annee d''inscription au programme]]&amp;"-"&amp;Tableau2[[#This Row],[Code d''ecole]]&amp;"-"&amp;Tableau2[[#This Row],[Numero HM de la fille]]</f>
        <v>2022-3-631</v>
      </c>
      <c r="K47" s="4">
        <v>8</v>
      </c>
      <c r="L47" s="4">
        <v>11.5</v>
      </c>
      <c r="M47" s="52">
        <f>AVERAGE(Tableau2[[#This Row],[Français /20]]+Tableau2[[#This Row],[Mathématique /20]])/2</f>
        <v>9.75</v>
      </c>
      <c r="N47" s="4">
        <v>4.5</v>
      </c>
      <c r="O47" s="4">
        <v>5</v>
      </c>
      <c r="P47" s="55">
        <f>AVERAGE(Tableau2[[#This Row],[Français/20]]+Tableau2[[#This Row],[Mathématique/20]])/2</f>
        <v>4.75</v>
      </c>
      <c r="Q47" s="31">
        <v>5.51</v>
      </c>
      <c r="R47" s="31">
        <v>7.6</v>
      </c>
      <c r="S47" s="31">
        <v>6.6</v>
      </c>
      <c r="T47" s="31">
        <f t="shared" si="1"/>
        <v>6.57</v>
      </c>
      <c r="U47" s="71" t="s">
        <v>321</v>
      </c>
      <c r="V47" s="88" t="s">
        <v>323</v>
      </c>
    </row>
    <row r="48" spans="1:22" s="42" customFormat="1" ht="15.75" hidden="1" x14ac:dyDescent="0.25">
      <c r="A48" s="3" t="s">
        <v>248</v>
      </c>
      <c r="B48" s="4" t="s">
        <v>282</v>
      </c>
      <c r="C48" s="7"/>
      <c r="D48" s="4" t="s">
        <v>298</v>
      </c>
      <c r="E48" s="4" t="s">
        <v>19</v>
      </c>
      <c r="F48" s="4">
        <v>45</v>
      </c>
      <c r="G48" s="3">
        <v>2022</v>
      </c>
      <c r="H48" s="12">
        <v>3</v>
      </c>
      <c r="I48" s="4">
        <v>646</v>
      </c>
      <c r="J48" s="4" t="str">
        <f>Tableau2[[#This Row],[Annee d''inscription au programme]]&amp;"-"&amp;Tableau2[[#This Row],[Code d''ecole]]&amp;"-"&amp;Tableau2[[#This Row],[Numero HM de la fille]]</f>
        <v>2022-3-646</v>
      </c>
      <c r="K48" s="4">
        <v>4</v>
      </c>
      <c r="L48" s="4">
        <v>9.5</v>
      </c>
      <c r="M48" s="52">
        <f>AVERAGE(Tableau2[[#This Row],[Français /20]]+Tableau2[[#This Row],[Mathématique /20]])/2</f>
        <v>6.75</v>
      </c>
      <c r="N48" s="4">
        <v>10</v>
      </c>
      <c r="O48" s="4">
        <v>7</v>
      </c>
      <c r="P48" s="55">
        <f>AVERAGE(Tableau2[[#This Row],[Français/20]]+Tableau2[[#This Row],[Mathématique/20]])/2</f>
        <v>8.5</v>
      </c>
      <c r="Q48" s="31">
        <v>3.51</v>
      </c>
      <c r="R48" s="31">
        <v>7</v>
      </c>
      <c r="S48" s="31">
        <v>5</v>
      </c>
      <c r="T48" s="31">
        <f t="shared" si="1"/>
        <v>5.17</v>
      </c>
      <c r="U48" s="71" t="s">
        <v>321</v>
      </c>
      <c r="V48" s="88" t="s">
        <v>323</v>
      </c>
    </row>
    <row r="49" spans="1:22" s="42" customFormat="1" ht="15.75" hidden="1" x14ac:dyDescent="0.25">
      <c r="A49" s="3" t="s">
        <v>248</v>
      </c>
      <c r="B49" s="4" t="s">
        <v>283</v>
      </c>
      <c r="C49" s="7"/>
      <c r="D49" s="4" t="s">
        <v>299</v>
      </c>
      <c r="E49" s="4" t="s">
        <v>19</v>
      </c>
      <c r="F49" s="4">
        <v>46</v>
      </c>
      <c r="G49" s="3">
        <v>2022</v>
      </c>
      <c r="H49" s="12">
        <v>3</v>
      </c>
      <c r="I49" s="4">
        <v>633</v>
      </c>
      <c r="J49" s="4" t="str">
        <f>Tableau2[[#This Row],[Annee d''inscription au programme]]&amp;"-"&amp;Tableau2[[#This Row],[Code d''ecole]]&amp;"-"&amp;Tableau2[[#This Row],[Numero HM de la fille]]</f>
        <v>2022-3-633</v>
      </c>
      <c r="K49" s="4">
        <v>4</v>
      </c>
      <c r="L49" s="4">
        <v>8</v>
      </c>
      <c r="M49" s="52">
        <f>AVERAGE(Tableau2[[#This Row],[Français /20]]+Tableau2[[#This Row],[Mathématique /20]])/2</f>
        <v>6</v>
      </c>
      <c r="N49" s="4">
        <v>0</v>
      </c>
      <c r="O49" s="4">
        <v>0</v>
      </c>
      <c r="P49" s="55">
        <f>AVERAGE(Tableau2[[#This Row],[Français/20]]+Tableau2[[#This Row],[Mathématique/20]])/2</f>
        <v>0</v>
      </c>
      <c r="Q49" s="31">
        <v>4</v>
      </c>
      <c r="R49" s="31">
        <v>2</v>
      </c>
      <c r="S49" s="31">
        <v>3.18</v>
      </c>
      <c r="T49" s="31">
        <f t="shared" si="1"/>
        <v>3.06</v>
      </c>
      <c r="U49" s="71" t="s">
        <v>315</v>
      </c>
      <c r="V49" s="88"/>
    </row>
    <row r="50" spans="1:22" s="42" customFormat="1" ht="15.75" hidden="1" x14ac:dyDescent="0.25">
      <c r="A50" s="3" t="s">
        <v>248</v>
      </c>
      <c r="B50" s="4" t="s">
        <v>284</v>
      </c>
      <c r="C50" s="7"/>
      <c r="D50" s="4" t="s">
        <v>300</v>
      </c>
      <c r="E50" s="4" t="s">
        <v>19</v>
      </c>
      <c r="F50" s="4">
        <v>47</v>
      </c>
      <c r="G50" s="3">
        <v>2022</v>
      </c>
      <c r="H50" s="12">
        <v>3</v>
      </c>
      <c r="I50" s="4">
        <v>641</v>
      </c>
      <c r="J50" s="4" t="str">
        <f>Tableau2[[#This Row],[Annee d''inscription au programme]]&amp;"-"&amp;Tableau2[[#This Row],[Code d''ecole]]&amp;"-"&amp;Tableau2[[#This Row],[Numero HM de la fille]]</f>
        <v>2022-3-641</v>
      </c>
      <c r="K50" s="4">
        <v>1</v>
      </c>
      <c r="L50" s="4">
        <v>3</v>
      </c>
      <c r="M50" s="52">
        <f>AVERAGE(Tableau2[[#This Row],[Français /20]]+Tableau2[[#This Row],[Mathématique /20]])/2</f>
        <v>2</v>
      </c>
      <c r="N50" s="4">
        <v>0</v>
      </c>
      <c r="O50" s="4">
        <v>0</v>
      </c>
      <c r="P50" s="55">
        <f>AVERAGE(Tableau2[[#This Row],[Français/20]]+Tableau2[[#This Row],[Mathématique/20]])/2</f>
        <v>0</v>
      </c>
      <c r="Q50" s="31">
        <v>2.57</v>
      </c>
      <c r="R50" s="31">
        <v>2</v>
      </c>
      <c r="S50" s="31">
        <v>2</v>
      </c>
      <c r="T50" s="31">
        <f t="shared" si="1"/>
        <v>2.19</v>
      </c>
      <c r="U50" s="71" t="s">
        <v>315</v>
      </c>
      <c r="V50" s="88"/>
    </row>
    <row r="51" spans="1:22" s="42" customFormat="1" ht="15.75" hidden="1" x14ac:dyDescent="0.25">
      <c r="A51" s="3" t="s">
        <v>248</v>
      </c>
      <c r="B51" s="4" t="s">
        <v>285</v>
      </c>
      <c r="C51" s="7"/>
      <c r="D51" s="4" t="s">
        <v>301</v>
      </c>
      <c r="E51" s="4" t="s">
        <v>19</v>
      </c>
      <c r="F51" s="4">
        <v>48</v>
      </c>
      <c r="G51" s="3">
        <v>2022</v>
      </c>
      <c r="H51" s="12">
        <v>3</v>
      </c>
      <c r="I51" s="4">
        <v>644</v>
      </c>
      <c r="J51" s="4" t="str">
        <f>Tableau2[[#This Row],[Annee d''inscription au programme]]&amp;"-"&amp;Tableau2[[#This Row],[Code d''ecole]]&amp;"-"&amp;Tableau2[[#This Row],[Numero HM de la fille]]</f>
        <v>2022-3-644</v>
      </c>
      <c r="K51" s="4">
        <v>5</v>
      </c>
      <c r="L51" s="4">
        <v>7.5</v>
      </c>
      <c r="M51" s="52">
        <f>AVERAGE(Tableau2[[#This Row],[Français /20]]+Tableau2[[#This Row],[Mathématique /20]])/2</f>
        <v>6.25</v>
      </c>
      <c r="N51" s="4">
        <v>6</v>
      </c>
      <c r="O51" s="4">
        <v>4</v>
      </c>
      <c r="P51" s="55">
        <f>AVERAGE(Tableau2[[#This Row],[Français/20]]+Tableau2[[#This Row],[Mathématique/20]])/2</f>
        <v>5</v>
      </c>
      <c r="Q51" s="31">
        <v>4.09</v>
      </c>
      <c r="R51" s="31">
        <v>6</v>
      </c>
      <c r="S51" s="31">
        <v>5</v>
      </c>
      <c r="T51" s="31">
        <f t="shared" si="1"/>
        <v>5.03</v>
      </c>
      <c r="U51" s="71" t="s">
        <v>321</v>
      </c>
      <c r="V51" s="88" t="s">
        <v>323</v>
      </c>
    </row>
    <row r="52" spans="1:22" s="42" customFormat="1" ht="15.75" hidden="1" x14ac:dyDescent="0.25">
      <c r="A52" s="3" t="s">
        <v>248</v>
      </c>
      <c r="B52" s="4" t="s">
        <v>286</v>
      </c>
      <c r="C52" s="7"/>
      <c r="D52" s="4" t="s">
        <v>302</v>
      </c>
      <c r="E52" s="4" t="s">
        <v>19</v>
      </c>
      <c r="F52" s="4">
        <v>49</v>
      </c>
      <c r="G52" s="3">
        <v>2022</v>
      </c>
      <c r="H52" s="12">
        <v>3</v>
      </c>
      <c r="I52" s="4">
        <v>635</v>
      </c>
      <c r="J52" s="4" t="str">
        <f>Tableau2[[#This Row],[Annee d''inscription au programme]]&amp;"-"&amp;Tableau2[[#This Row],[Code d''ecole]]&amp;"-"&amp;Tableau2[[#This Row],[Numero HM de la fille]]</f>
        <v>2022-3-635</v>
      </c>
      <c r="K52" s="4">
        <v>1</v>
      </c>
      <c r="L52" s="4">
        <v>9.5</v>
      </c>
      <c r="M52" s="52">
        <f>AVERAGE(Tableau2[[#This Row],[Français /20]]+Tableau2[[#This Row],[Mathématique /20]])/2</f>
        <v>5.25</v>
      </c>
      <c r="N52" s="4">
        <v>5.5</v>
      </c>
      <c r="O52" s="4">
        <v>6</v>
      </c>
      <c r="P52" s="55">
        <f>AVERAGE(Tableau2[[#This Row],[Français/20]]+Tableau2[[#This Row],[Mathématique/20]])/2</f>
        <v>5.75</v>
      </c>
      <c r="Q52" s="31">
        <v>5.42</v>
      </c>
      <c r="R52" s="31">
        <v>3.6</v>
      </c>
      <c r="S52" s="31">
        <v>2.6</v>
      </c>
      <c r="T52" s="31">
        <f t="shared" si="1"/>
        <v>3.8733333333333331</v>
      </c>
      <c r="U52" s="71" t="s">
        <v>315</v>
      </c>
      <c r="V52" s="88"/>
    </row>
    <row r="53" spans="1:22" s="42" customFormat="1" ht="15.75" hidden="1" x14ac:dyDescent="0.25">
      <c r="A53" s="3" t="s">
        <v>248</v>
      </c>
      <c r="B53" s="4" t="s">
        <v>287</v>
      </c>
      <c r="C53" s="7"/>
      <c r="D53" s="4" t="s">
        <v>303</v>
      </c>
      <c r="E53" s="4" t="s">
        <v>19</v>
      </c>
      <c r="F53" s="4">
        <v>50</v>
      </c>
      <c r="G53" s="3">
        <v>2022</v>
      </c>
      <c r="H53" s="12">
        <v>3</v>
      </c>
      <c r="I53" s="4">
        <v>645</v>
      </c>
      <c r="J53" s="4" t="str">
        <f>Tableau2[[#This Row],[Annee d''inscription au programme]]&amp;"-"&amp;Tableau2[[#This Row],[Code d''ecole]]&amp;"-"&amp;Tableau2[[#This Row],[Numero HM de la fille]]</f>
        <v>2022-3-645</v>
      </c>
      <c r="K53" s="4">
        <v>5.5</v>
      </c>
      <c r="L53" s="4">
        <v>7</v>
      </c>
      <c r="M53" s="52">
        <f>AVERAGE(Tableau2[[#This Row],[Français /20]]+Tableau2[[#This Row],[Mathématique /20]])/2</f>
        <v>6.25</v>
      </c>
      <c r="N53" s="4">
        <v>8</v>
      </c>
      <c r="O53" s="4">
        <v>8</v>
      </c>
      <c r="P53" s="55">
        <f>AVERAGE(Tableau2[[#This Row],[Français/20]]+Tableau2[[#This Row],[Mathématique/20]])/2</f>
        <v>8</v>
      </c>
      <c r="Q53" s="31">
        <v>5.3</v>
      </c>
      <c r="R53" s="31">
        <v>5</v>
      </c>
      <c r="S53" s="31">
        <v>5</v>
      </c>
      <c r="T53" s="31">
        <f t="shared" si="1"/>
        <v>5.1000000000000005</v>
      </c>
      <c r="U53" s="71" t="s">
        <v>321</v>
      </c>
      <c r="V53" s="88" t="s">
        <v>323</v>
      </c>
    </row>
    <row r="54" spans="1:22" s="42" customFormat="1" ht="15.75" hidden="1" x14ac:dyDescent="0.25">
      <c r="A54" s="3" t="s">
        <v>248</v>
      </c>
      <c r="B54" s="4" t="s">
        <v>288</v>
      </c>
      <c r="C54" s="7"/>
      <c r="D54" s="4" t="s">
        <v>304</v>
      </c>
      <c r="E54" s="4" t="s">
        <v>19</v>
      </c>
      <c r="F54" s="4">
        <v>51</v>
      </c>
      <c r="G54" s="3">
        <v>2022</v>
      </c>
      <c r="H54" s="12">
        <v>3</v>
      </c>
      <c r="I54" s="4">
        <v>634</v>
      </c>
      <c r="J54" s="4" t="str">
        <f>Tableau2[[#This Row],[Annee d''inscription au programme]]&amp;"-"&amp;Tableau2[[#This Row],[Code d''ecole]]&amp;"-"&amp;Tableau2[[#This Row],[Numero HM de la fille]]</f>
        <v>2022-3-634</v>
      </c>
      <c r="K54" s="4">
        <v>5</v>
      </c>
      <c r="L54" s="4">
        <v>6.5</v>
      </c>
      <c r="M54" s="52">
        <f>AVERAGE(Tableau2[[#This Row],[Français /20]]+Tableau2[[#This Row],[Mathématique /20]])/2</f>
        <v>5.75</v>
      </c>
      <c r="N54" s="4">
        <v>2.5</v>
      </c>
      <c r="O54" s="4">
        <v>6</v>
      </c>
      <c r="P54" s="55">
        <f>AVERAGE(Tableau2[[#This Row],[Français/20]]+Tableau2[[#This Row],[Mathématique/20]])/2</f>
        <v>4.25</v>
      </c>
      <c r="Q54" s="31">
        <v>7.6</v>
      </c>
      <c r="R54" s="31">
        <v>2.25</v>
      </c>
      <c r="S54" s="31">
        <v>7.6</v>
      </c>
      <c r="T54" s="31">
        <f t="shared" si="1"/>
        <v>5.8166666666666664</v>
      </c>
      <c r="U54" s="71" t="s">
        <v>321</v>
      </c>
      <c r="V54" s="88" t="s">
        <v>323</v>
      </c>
    </row>
    <row r="55" spans="1:22" s="42" customFormat="1" ht="15.75" hidden="1" x14ac:dyDescent="0.25">
      <c r="A55" s="3" t="s">
        <v>248</v>
      </c>
      <c r="B55" s="4" t="s">
        <v>289</v>
      </c>
      <c r="C55" s="7"/>
      <c r="D55" s="4" t="s">
        <v>223</v>
      </c>
      <c r="E55" s="4" t="s">
        <v>19</v>
      </c>
      <c r="F55" s="4">
        <v>52</v>
      </c>
      <c r="G55" s="3">
        <v>2022</v>
      </c>
      <c r="H55" s="12">
        <v>3</v>
      </c>
      <c r="I55" s="4">
        <v>638</v>
      </c>
      <c r="J55" s="4" t="str">
        <f>Tableau2[[#This Row],[Annee d''inscription au programme]]&amp;"-"&amp;Tableau2[[#This Row],[Code d''ecole]]&amp;"-"&amp;Tableau2[[#This Row],[Numero HM de la fille]]</f>
        <v>2022-3-638</v>
      </c>
      <c r="K55" s="4">
        <v>2</v>
      </c>
      <c r="L55" s="4">
        <v>10</v>
      </c>
      <c r="M55" s="52">
        <f>AVERAGE(Tableau2[[#This Row],[Français /20]]+Tableau2[[#This Row],[Mathématique /20]])/2</f>
        <v>6</v>
      </c>
      <c r="N55" s="4">
        <v>5</v>
      </c>
      <c r="O55" s="4">
        <v>14</v>
      </c>
      <c r="P55" s="55">
        <f>AVERAGE(Tableau2[[#This Row],[Français/20]]+Tableau2[[#This Row],[Mathématique/20]])/2</f>
        <v>9.5</v>
      </c>
      <c r="Q55" s="31">
        <v>4.3</v>
      </c>
      <c r="R55" s="31">
        <v>3.59</v>
      </c>
      <c r="S55" s="31">
        <v>2.2999999999999998</v>
      </c>
      <c r="T55" s="31">
        <f t="shared" si="1"/>
        <v>3.3966666666666665</v>
      </c>
      <c r="U55" s="71" t="s">
        <v>315</v>
      </c>
      <c r="V55" s="88"/>
    </row>
    <row r="56" spans="1:22" s="42" customFormat="1" ht="15.75" hidden="1" x14ac:dyDescent="0.25">
      <c r="A56" s="3" t="s">
        <v>248</v>
      </c>
      <c r="B56" s="4" t="s">
        <v>290</v>
      </c>
      <c r="C56" s="7"/>
      <c r="D56" s="4" t="s">
        <v>199</v>
      </c>
      <c r="E56" s="4" t="s">
        <v>19</v>
      </c>
      <c r="F56" s="4">
        <v>53</v>
      </c>
      <c r="G56" s="3">
        <v>2022</v>
      </c>
      <c r="H56" s="12">
        <v>3</v>
      </c>
      <c r="I56" s="4">
        <v>643</v>
      </c>
      <c r="J56" s="4" t="str">
        <f>Tableau2[[#This Row],[Annee d''inscription au programme]]&amp;"-"&amp;Tableau2[[#This Row],[Code d''ecole]]&amp;"-"&amp;Tableau2[[#This Row],[Numero HM de la fille]]</f>
        <v>2022-3-643</v>
      </c>
      <c r="K56" s="4">
        <v>7.5</v>
      </c>
      <c r="L56" s="4">
        <v>10</v>
      </c>
      <c r="M56" s="52">
        <f>AVERAGE(Tableau2[[#This Row],[Français /20]]+Tableau2[[#This Row],[Mathématique /20]])/2</f>
        <v>8.75</v>
      </c>
      <c r="N56" s="4"/>
      <c r="O56" s="4"/>
      <c r="P56" s="55">
        <f>AVERAGE(Tableau2[[#This Row],[Français/20]]+Tableau2[[#This Row],[Mathématique/20]])/2</f>
        <v>0</v>
      </c>
      <c r="Q56" s="31"/>
      <c r="R56" s="31"/>
      <c r="S56" s="31"/>
      <c r="T56" s="31">
        <f t="shared" si="1"/>
        <v>0</v>
      </c>
      <c r="U56" s="71" t="s">
        <v>317</v>
      </c>
      <c r="V56" s="88"/>
    </row>
    <row r="57" spans="1:22" s="42" customFormat="1" ht="15.75" hidden="1" x14ac:dyDescent="0.25">
      <c r="A57" s="3" t="s">
        <v>248</v>
      </c>
      <c r="B57" s="4" t="s">
        <v>291</v>
      </c>
      <c r="C57" s="7"/>
      <c r="D57" s="4" t="s">
        <v>67</v>
      </c>
      <c r="E57" s="4" t="s">
        <v>19</v>
      </c>
      <c r="F57" s="4">
        <v>54</v>
      </c>
      <c r="G57" s="3">
        <v>2022</v>
      </c>
      <c r="H57" s="12">
        <v>3</v>
      </c>
      <c r="I57" s="4">
        <v>630</v>
      </c>
      <c r="J57" s="4" t="str">
        <f>Tableau2[[#This Row],[Annee d''inscription au programme]]&amp;"-"&amp;Tableau2[[#This Row],[Code d''ecole]]&amp;"-"&amp;Tableau2[[#This Row],[Numero HM de la fille]]</f>
        <v>2022-3-630</v>
      </c>
      <c r="K57" s="4">
        <v>2</v>
      </c>
      <c r="L57" s="4">
        <v>5.5</v>
      </c>
      <c r="M57" s="52">
        <f>AVERAGE(Tableau2[[#This Row],[Français /20]]+Tableau2[[#This Row],[Mathématique /20]])/2</f>
        <v>3.75</v>
      </c>
      <c r="N57" s="4">
        <v>3</v>
      </c>
      <c r="O57" s="4">
        <v>7</v>
      </c>
      <c r="P57" s="55">
        <f>AVERAGE(Tableau2[[#This Row],[Français/20]]+Tableau2[[#This Row],[Mathématique/20]])/2</f>
        <v>5</v>
      </c>
      <c r="Q57" s="31">
        <v>2.2999999999999998</v>
      </c>
      <c r="R57" s="31">
        <v>3.59</v>
      </c>
      <c r="S57" s="31">
        <v>1.3</v>
      </c>
      <c r="T57" s="31">
        <f t="shared" si="1"/>
        <v>2.3966666666666665</v>
      </c>
      <c r="U57" s="71" t="s">
        <v>315</v>
      </c>
      <c r="V57" s="88"/>
    </row>
    <row r="58" spans="1:22" s="42" customFormat="1" ht="15.75" hidden="1" x14ac:dyDescent="0.25">
      <c r="A58" s="3" t="s">
        <v>248</v>
      </c>
      <c r="B58" s="4" t="s">
        <v>292</v>
      </c>
      <c r="C58" s="7"/>
      <c r="D58" s="4" t="s">
        <v>305</v>
      </c>
      <c r="E58" s="4" t="s">
        <v>19</v>
      </c>
      <c r="F58" s="4">
        <v>55</v>
      </c>
      <c r="G58" s="3">
        <v>2022</v>
      </c>
      <c r="H58" s="12">
        <v>3</v>
      </c>
      <c r="I58" s="4">
        <v>642</v>
      </c>
      <c r="J58" s="4" t="str">
        <f>Tableau2[[#This Row],[Annee d''inscription au programme]]&amp;"-"&amp;Tableau2[[#This Row],[Code d''ecole]]&amp;"-"&amp;Tableau2[[#This Row],[Numero HM de la fille]]</f>
        <v>2022-3-642</v>
      </c>
      <c r="K58" s="4">
        <v>4</v>
      </c>
      <c r="L58" s="4">
        <v>6</v>
      </c>
      <c r="M58" s="52">
        <f>AVERAGE(Tableau2[[#This Row],[Français /20]]+Tableau2[[#This Row],[Mathématique /20]])/2</f>
        <v>5</v>
      </c>
      <c r="N58" s="4">
        <v>6</v>
      </c>
      <c r="O58" s="4">
        <v>6.5</v>
      </c>
      <c r="P58" s="55">
        <f>AVERAGE(Tableau2[[#This Row],[Français/20]]+Tableau2[[#This Row],[Mathématique/20]])/2</f>
        <v>6.25</v>
      </c>
      <c r="Q58" s="31">
        <v>3.98</v>
      </c>
      <c r="R58" s="31">
        <v>4.3</v>
      </c>
      <c r="S58" s="31">
        <v>2.2999999999999998</v>
      </c>
      <c r="T58" s="31">
        <f t="shared" si="1"/>
        <v>3.526666666666666</v>
      </c>
      <c r="U58" s="71" t="s">
        <v>315</v>
      </c>
      <c r="V58" s="88"/>
    </row>
    <row r="59" spans="1:22" s="42" customFormat="1" ht="15.75" hidden="1" x14ac:dyDescent="0.25">
      <c r="A59" s="3" t="s">
        <v>248</v>
      </c>
      <c r="B59" s="4" t="s">
        <v>293</v>
      </c>
      <c r="C59" s="7"/>
      <c r="D59" s="4" t="s">
        <v>306</v>
      </c>
      <c r="E59" s="4" t="s">
        <v>19</v>
      </c>
      <c r="F59" s="4">
        <v>56</v>
      </c>
      <c r="G59" s="3">
        <v>2022</v>
      </c>
      <c r="H59" s="12">
        <v>3</v>
      </c>
      <c r="I59" s="4">
        <v>632</v>
      </c>
      <c r="J59" s="4" t="str">
        <f>Tableau2[[#This Row],[Annee d''inscription au programme]]&amp;"-"&amp;Tableau2[[#This Row],[Code d''ecole]]&amp;"-"&amp;Tableau2[[#This Row],[Numero HM de la fille]]</f>
        <v>2022-3-632</v>
      </c>
      <c r="K59" s="4">
        <v>5.5</v>
      </c>
      <c r="L59" s="4">
        <v>12</v>
      </c>
      <c r="M59" s="52">
        <f>AVERAGE(Tableau2[[#This Row],[Français /20]]+Tableau2[[#This Row],[Mathématique /20]])/2</f>
        <v>8.75</v>
      </c>
      <c r="N59" s="4">
        <v>6.5</v>
      </c>
      <c r="O59" s="4">
        <v>13</v>
      </c>
      <c r="P59" s="55">
        <f>AVERAGE(Tableau2[[#This Row],[Français/20]]+Tableau2[[#This Row],[Mathématique/20]])/2</f>
        <v>9.75</v>
      </c>
      <c r="Q59" s="31">
        <v>6</v>
      </c>
      <c r="R59" s="31">
        <v>7</v>
      </c>
      <c r="S59" s="31">
        <v>5.33</v>
      </c>
      <c r="T59" s="31">
        <f t="shared" si="1"/>
        <v>6.1099999999999994</v>
      </c>
      <c r="U59" s="71" t="s">
        <v>321</v>
      </c>
      <c r="V59" s="88" t="s">
        <v>323</v>
      </c>
    </row>
    <row r="60" spans="1:22" s="42" customFormat="1" ht="15.75" hidden="1" x14ac:dyDescent="0.25">
      <c r="A60" s="3" t="s">
        <v>248</v>
      </c>
      <c r="B60" s="4" t="s">
        <v>307</v>
      </c>
      <c r="C60" s="7"/>
      <c r="D60" s="4" t="s">
        <v>295</v>
      </c>
      <c r="E60" s="4" t="s">
        <v>19</v>
      </c>
      <c r="F60" s="4">
        <v>57</v>
      </c>
      <c r="G60" s="3">
        <v>2022</v>
      </c>
      <c r="H60" s="12">
        <v>3</v>
      </c>
      <c r="I60" s="4">
        <v>639</v>
      </c>
      <c r="J60" s="4" t="str">
        <f>Tableau2[[#This Row],[Annee d''inscription au programme]]&amp;"-"&amp;Tableau2[[#This Row],[Code d''ecole]]&amp;"-"&amp;Tableau2[[#This Row],[Numero HM de la fille]]</f>
        <v>2022-3-639</v>
      </c>
      <c r="K60" s="4">
        <v>2.5</v>
      </c>
      <c r="L60" s="4">
        <v>9</v>
      </c>
      <c r="M60" s="52">
        <f>AVERAGE(Tableau2[[#This Row],[Français /20]]+Tableau2[[#This Row],[Mathématique /20]])/2</f>
        <v>5.75</v>
      </c>
      <c r="N60" s="4">
        <v>3</v>
      </c>
      <c r="O60" s="4">
        <v>8.5</v>
      </c>
      <c r="P60" s="55">
        <f>AVERAGE(Tableau2[[#This Row],[Français/20]]+Tableau2[[#This Row],[Mathématique/20]])/2</f>
        <v>5.75</v>
      </c>
      <c r="Q60" s="31">
        <v>2.5</v>
      </c>
      <c r="R60" s="31">
        <v>2.6</v>
      </c>
      <c r="S60" s="31">
        <v>3</v>
      </c>
      <c r="T60" s="31">
        <f t="shared" si="1"/>
        <v>2.6999999999999997</v>
      </c>
      <c r="U60" s="71" t="s">
        <v>315</v>
      </c>
      <c r="V60" s="88"/>
    </row>
    <row r="61" spans="1:22" s="42" customFormat="1" ht="15.75" hidden="1" x14ac:dyDescent="0.25">
      <c r="A61" s="46" t="s">
        <v>248</v>
      </c>
      <c r="B61" s="47" t="s">
        <v>294</v>
      </c>
      <c r="C61" s="48"/>
      <c r="D61" s="47" t="s">
        <v>199</v>
      </c>
      <c r="E61" s="47" t="s">
        <v>19</v>
      </c>
      <c r="F61" s="47">
        <v>58</v>
      </c>
      <c r="G61" s="46">
        <v>2022</v>
      </c>
      <c r="H61" s="49">
        <v>3</v>
      </c>
      <c r="I61" s="47">
        <v>640</v>
      </c>
      <c r="J61" s="47" t="str">
        <f>Tableau2[[#This Row],[Annee d''inscription au programme]]&amp;"-"&amp;Tableau2[[#This Row],[Code d''ecole]]&amp;"-"&amp;Tableau2[[#This Row],[Numero HM de la fille]]</f>
        <v>2022-3-640</v>
      </c>
      <c r="K61" s="47">
        <v>3</v>
      </c>
      <c r="L61" s="47">
        <v>2.5</v>
      </c>
      <c r="M61" s="53">
        <f>AVERAGE(Tableau2[[#This Row],[Français /20]]+Tableau2[[#This Row],[Mathématique /20]])/2</f>
        <v>2.75</v>
      </c>
      <c r="N61" s="47">
        <v>5</v>
      </c>
      <c r="O61" s="47">
        <v>8</v>
      </c>
      <c r="P61" s="56">
        <f>AVERAGE(Tableau2[[#This Row],[Français/20]]+Tableau2[[#This Row],[Mathématique/20]])/2</f>
        <v>6.5</v>
      </c>
      <c r="Q61" s="31">
        <v>2.48</v>
      </c>
      <c r="R61" s="31">
        <v>1.6</v>
      </c>
      <c r="S61" s="31">
        <v>2.6</v>
      </c>
      <c r="T61" s="31">
        <f t="shared" si="1"/>
        <v>2.2266666666666666</v>
      </c>
      <c r="U61" s="71" t="s">
        <v>315</v>
      </c>
      <c r="V61" s="88"/>
    </row>
    <row r="62" spans="1:22" s="64" customFormat="1" ht="15.75" hidden="1" x14ac:dyDescent="0.25">
      <c r="A62" s="65"/>
      <c r="B62" s="66"/>
      <c r="C62" s="66"/>
      <c r="D62" s="66"/>
      <c r="E62" s="66"/>
      <c r="F62" s="67"/>
      <c r="G62" s="68" t="s">
        <v>311</v>
      </c>
      <c r="H62" s="66"/>
      <c r="I62" s="66"/>
      <c r="J62" s="67"/>
      <c r="K62" s="67">
        <f t="shared" ref="K62:O62" si="2">AVERAGE(K6:K61)</f>
        <v>4.7366071428571432</v>
      </c>
      <c r="L62" s="67">
        <f t="shared" si="2"/>
        <v>8.4642857142857135</v>
      </c>
      <c r="M62" s="67">
        <f>AVERAGE(Tableau2[[#This Row],[Français /20]]+Tableau2[[#This Row],[Mathématique /20]])/2</f>
        <v>6.6004464285714288</v>
      </c>
      <c r="N62" s="67">
        <f t="shared" si="2"/>
        <v>5.0787037037037033</v>
      </c>
      <c r="O62" s="67">
        <f t="shared" si="2"/>
        <v>6.0694444444444446</v>
      </c>
      <c r="P62" s="67">
        <f>AVERAGE(Tableau2[[#This Row],[Français/20]]+Tableau2[[#This Row],[Mathématique/20]])/2</f>
        <v>5.5740740740740744</v>
      </c>
      <c r="Q62" s="69"/>
      <c r="R62" s="70"/>
      <c r="S62" s="70"/>
      <c r="T62" s="70">
        <f t="shared" si="1"/>
        <v>0</v>
      </c>
      <c r="U62" s="65"/>
      <c r="V62" s="89"/>
    </row>
    <row r="63" spans="1:22" x14ac:dyDescent="0.25">
      <c r="C63" t="s">
        <v>0</v>
      </c>
      <c r="Q63" s="1"/>
      <c r="R63" s="1"/>
      <c r="S63" s="1"/>
      <c r="T63" s="1"/>
    </row>
    <row r="64" spans="1:22" x14ac:dyDescent="0.25">
      <c r="O64" s="1"/>
      <c r="P64" s="1"/>
      <c r="Q64" s="1"/>
      <c r="R64" s="1"/>
    </row>
  </sheetData>
  <mergeCells count="4">
    <mergeCell ref="G4:J4"/>
    <mergeCell ref="Q4:T4"/>
    <mergeCell ref="K4:M4"/>
    <mergeCell ref="N4:P4"/>
  </mergeCells>
  <conditionalFormatting sqref="I4:I5">
    <cfRule type="duplicateValues" dxfId="5" priority="1"/>
    <cfRule type="duplicateValues" dxfId="4" priority="2"/>
  </conditionalFormatting>
  <conditionalFormatting sqref="I4:I5">
    <cfRule type="duplicateValues" dxfId="3" priority="3"/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7"/>
  <sheetViews>
    <sheetView workbookViewId="0">
      <selection activeCell="C17" sqref="C17"/>
    </sheetView>
  </sheetViews>
  <sheetFormatPr baseColWidth="10" defaultRowHeight="15" x14ac:dyDescent="0.25"/>
  <cols>
    <col min="2" max="2" width="29.42578125" customWidth="1"/>
    <col min="3" max="3" width="22.85546875" customWidth="1"/>
  </cols>
  <sheetData>
    <row r="2" spans="1:3" s="44" customFormat="1" ht="18" x14ac:dyDescent="0.25">
      <c r="A2" s="44" t="s">
        <v>278</v>
      </c>
    </row>
    <row r="3" spans="1:3" ht="1.5" customHeight="1" x14ac:dyDescent="0.25"/>
    <row r="4" spans="1:3" s="39" customFormat="1" ht="29.25" customHeight="1" x14ac:dyDescent="0.3">
      <c r="A4" s="38" t="s">
        <v>244</v>
      </c>
      <c r="B4" s="38" t="s">
        <v>308</v>
      </c>
      <c r="C4" s="38" t="s">
        <v>309</v>
      </c>
    </row>
    <row r="5" spans="1:3" ht="39.75" customHeight="1" x14ac:dyDescent="0.35">
      <c r="A5" s="40">
        <v>1</v>
      </c>
      <c r="B5" s="41" t="s">
        <v>240</v>
      </c>
      <c r="C5" s="41" t="s">
        <v>248</v>
      </c>
    </row>
    <row r="6" spans="1:3" ht="45.75" customHeight="1" x14ac:dyDescent="0.35">
      <c r="A6" s="40">
        <v>2</v>
      </c>
      <c r="B6" s="41" t="s">
        <v>229</v>
      </c>
      <c r="C6" s="41" t="s">
        <v>247</v>
      </c>
    </row>
    <row r="7" spans="1:3" ht="44.25" customHeight="1" x14ac:dyDescent="0.35">
      <c r="A7" s="40">
        <v>3</v>
      </c>
      <c r="B7" s="41" t="s">
        <v>245</v>
      </c>
      <c r="C7" s="41" t="s">
        <v>246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Groupe Intervention </vt:lpstr>
      <vt:lpstr>Groupe Temoin </vt:lpstr>
      <vt:lpstr>Matching 2023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2022-12-13T09:39:50Z</dcterms:created>
  <dcterms:modified xsi:type="dcterms:W3CDTF">2024-01-17T16:47:09Z</dcterms:modified>
</cp:coreProperties>
</file>