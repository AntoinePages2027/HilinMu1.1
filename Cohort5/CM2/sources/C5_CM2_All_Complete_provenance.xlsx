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e Intervention " sheetId="1" r:id="rId4"/>
    <sheet state="visible" name="Groupe Temoin " sheetId="2" r:id="rId5"/>
    <sheet state="visible" name="Matching 2023" sheetId="3" r:id="rId6"/>
  </sheets>
  <externalReferences>
    <externalReference r:id="rId7"/>
  </externalReferences>
  <definedNames>
    <definedName hidden="1" localSheetId="0" name="_xlnm._FilterDatabase">'Groupe Intervention '!$A$1:$AP$1000</definedName>
    <definedName hidden="1" localSheetId="1" name="_xlnm._FilterDatabase">'Groupe Temoin '!$A$1:$Z$1000</definedName>
  </definedNames>
  <calcPr/>
  <extLst>
    <ext uri="GoogleSheetsCustomDataVersion2">
      <go:sheetsCustomData xmlns:go="http://customooxmlschemas.google.com/" r:id="rId8" roundtripDataChecksum="10Cf9gaI29dg9V2t+mkW527J4umTnzYGpPmIQ5auWK0="/>
    </ext>
  </extLst>
</workbook>
</file>

<file path=xl/sharedStrings.xml><?xml version="1.0" encoding="utf-8"?>
<sst xmlns="http://schemas.openxmlformats.org/spreadsheetml/2006/main" count="694" uniqueCount="327">
  <si>
    <t>Base de donnée du programme Hilin Mu</t>
  </si>
  <si>
    <t xml:space="preserve">Niveau :CM2 </t>
  </si>
  <si>
    <t xml:space="preserve">Année :2022-2023 </t>
  </si>
  <si>
    <t xml:space="preserve"> </t>
  </si>
  <si>
    <t xml:space="preserve">Pré-Test </t>
  </si>
  <si>
    <t>Post-Test</t>
  </si>
  <si>
    <t xml:space="preserve">Ecole </t>
  </si>
  <si>
    <t>Nom et Prénom</t>
  </si>
  <si>
    <t>Date et lieu de naissance</t>
  </si>
  <si>
    <t>Nom et prénom du père</t>
  </si>
  <si>
    <t xml:space="preserve">Nom de la commune </t>
  </si>
  <si>
    <t xml:space="preserve">Nombre des filles </t>
  </si>
  <si>
    <t>Annee d'inscription au programme</t>
  </si>
  <si>
    <t xml:space="preserve">Code des écoles </t>
  </si>
  <si>
    <t>Numero HM de la fille</t>
  </si>
  <si>
    <t>Identifiant Unique</t>
  </si>
  <si>
    <t>Français /20</t>
  </si>
  <si>
    <t>Mathématique/20</t>
  </si>
  <si>
    <t>Moyenne Génerale /20</t>
  </si>
  <si>
    <t>Français 20</t>
  </si>
  <si>
    <t>Mathématique /2O</t>
  </si>
  <si>
    <t>1ère composition/10</t>
  </si>
  <si>
    <t>2è composition/10</t>
  </si>
  <si>
    <t>3è composition/10</t>
  </si>
  <si>
    <t>Moyenne générale</t>
  </si>
  <si>
    <t>Commentaire</t>
  </si>
  <si>
    <t>Situation (fin d'annee scolaire 2022-2023)</t>
  </si>
  <si>
    <t>Louloubi</t>
  </si>
  <si>
    <t>Azima Alassan</t>
  </si>
  <si>
    <t>30/12/2009 à Louloubi</t>
  </si>
  <si>
    <t>Alassan Ibrahim</t>
  </si>
  <si>
    <t>Sae Saboua</t>
  </si>
  <si>
    <t>Azima Idi</t>
  </si>
  <si>
    <t>31/12/2010 à Louloubi</t>
  </si>
  <si>
    <t>Idi Daouda</t>
  </si>
  <si>
    <t xml:space="preserve">Aicha Salissou </t>
  </si>
  <si>
    <t>31/12/2010 0 Louloubi</t>
  </si>
  <si>
    <t>Salissou Soulé</t>
  </si>
  <si>
    <t>Barira Moussa</t>
  </si>
  <si>
    <t>01/01/2010 à Louloubi</t>
  </si>
  <si>
    <t>Moussa Labo</t>
  </si>
  <si>
    <t>Bassira Haladou</t>
  </si>
  <si>
    <t>16/02/2009 à Louloubi</t>
  </si>
  <si>
    <t>Haladou Ousmane</t>
  </si>
  <si>
    <t>Ramatou Yahaya</t>
  </si>
  <si>
    <t>20/12/2009 à Louloubi</t>
  </si>
  <si>
    <t>Yahaya Abdou</t>
  </si>
  <si>
    <t xml:space="preserve">Roumanatou Chaibou </t>
  </si>
  <si>
    <t>14/10/2009 à Louloubi</t>
  </si>
  <si>
    <t>Chaibou Salissou</t>
  </si>
  <si>
    <t>Nassaiba Yacoubou</t>
  </si>
  <si>
    <t>31/12/2009 à Louloubi</t>
  </si>
  <si>
    <t>Yacoubou Ousmane</t>
  </si>
  <si>
    <t>Napissa Oumarou</t>
  </si>
  <si>
    <t>Oumarou Yacouba</t>
  </si>
  <si>
    <t>Marliya Iliassou</t>
  </si>
  <si>
    <t>31/12/2010 Louloubi</t>
  </si>
  <si>
    <t>Iliassou</t>
  </si>
  <si>
    <t>Mansoura Moussa</t>
  </si>
  <si>
    <t>15/12/2011 à Louloubi</t>
  </si>
  <si>
    <t>Moussa Oumarou</t>
  </si>
  <si>
    <t>Liyanatou Oumarou</t>
  </si>
  <si>
    <t>17/10/2009 à Louloubi</t>
  </si>
  <si>
    <t>Moumarou Harouna</t>
  </si>
  <si>
    <t>Lantana Laouali</t>
  </si>
  <si>
    <t>20/10/2009 à Louloubi</t>
  </si>
  <si>
    <t>Laouali Djadi</t>
  </si>
  <si>
    <t>Habiba Aliou</t>
  </si>
  <si>
    <t>05/10/2010 Louloubi</t>
  </si>
  <si>
    <t>Aliou Yahaya</t>
  </si>
  <si>
    <t>Habsatou Oumarou</t>
  </si>
  <si>
    <t>03/10/2010 Louloubi</t>
  </si>
  <si>
    <t>Oumarou Issoufou</t>
  </si>
  <si>
    <t>Fatima Ibrahim</t>
  </si>
  <si>
    <t>Ibrahim Adamou</t>
  </si>
  <si>
    <t>Farida Saàdou</t>
  </si>
  <si>
    <t xml:space="preserve"> 30/12/2009 à Louloubi</t>
  </si>
  <si>
    <t>Saàdou Bala</t>
  </si>
  <si>
    <t>Fatima Massaoudou</t>
  </si>
  <si>
    <t>Massaoudou Hamidin</t>
  </si>
  <si>
    <t>Ramatou Oumarou</t>
  </si>
  <si>
    <t>26/06/2009 à Louloubi</t>
  </si>
  <si>
    <t>Oumarou</t>
  </si>
  <si>
    <t>Ramatou Abdoul Karim</t>
  </si>
  <si>
    <t>Vers 2OO9 à Louloubi</t>
  </si>
  <si>
    <t>Abdoul Karim</t>
  </si>
  <si>
    <t>Ramanatou Ma'azou</t>
  </si>
  <si>
    <t xml:space="preserve">13/03/2009 à Tsaraki Saboua </t>
  </si>
  <si>
    <t>Ma'azou</t>
  </si>
  <si>
    <t>Kadata</t>
  </si>
  <si>
    <t>Chappa Achirou</t>
  </si>
  <si>
    <t xml:space="preserve">Vers 2011 à Kadata </t>
  </si>
  <si>
    <t>Achirou Samaila</t>
  </si>
  <si>
    <t>Charifa Idi</t>
  </si>
  <si>
    <t xml:space="preserve">Vers 2010 à Kadata </t>
  </si>
  <si>
    <t>Idi Abdou</t>
  </si>
  <si>
    <t>Chamsia Rabé</t>
  </si>
  <si>
    <t>Rabé Salifou</t>
  </si>
  <si>
    <t>Fassouma Aboubacar</t>
  </si>
  <si>
    <t>Aboubacar Ibrahim</t>
  </si>
  <si>
    <t>Kadidja Ali</t>
  </si>
  <si>
    <t>Ali Barmo</t>
  </si>
  <si>
    <t>Kadija Idi</t>
  </si>
  <si>
    <t>Idi Issa</t>
  </si>
  <si>
    <t xml:space="preserve">Laria Habibou </t>
  </si>
  <si>
    <t>Habibou Hassan</t>
  </si>
  <si>
    <t xml:space="preserve">Manira Halilou </t>
  </si>
  <si>
    <t>Halilou Maàzou</t>
  </si>
  <si>
    <t>Ousseina Garba</t>
  </si>
  <si>
    <t>Garba Mahaman</t>
  </si>
  <si>
    <t>Rapia Idi</t>
  </si>
  <si>
    <t>Idi Malan Abdou</t>
  </si>
  <si>
    <t>Safina Kabirou</t>
  </si>
  <si>
    <t>Kabirou Moussa</t>
  </si>
  <si>
    <t>Safia Yahaya</t>
  </si>
  <si>
    <t>Yahaya Tsalha</t>
  </si>
  <si>
    <t>Souéba Moussa</t>
  </si>
  <si>
    <t>Moussa Issoufou</t>
  </si>
  <si>
    <t>Zeinab Ibrahim</t>
  </si>
  <si>
    <t xml:space="preserve">Ibrahim </t>
  </si>
  <si>
    <t>Barouana</t>
  </si>
  <si>
    <t>Assamaou Hassan</t>
  </si>
  <si>
    <t>31/12/ 2011 à Barouana</t>
  </si>
  <si>
    <t>Hassan Halilou</t>
  </si>
  <si>
    <t>Amina Abdou</t>
  </si>
  <si>
    <t>31/01/2011 à Barouana</t>
  </si>
  <si>
    <t>Abdou Chaibou</t>
  </si>
  <si>
    <t>Bassira Oumarou</t>
  </si>
  <si>
    <t>31/12/2011 à Barouana</t>
  </si>
  <si>
    <t>Oumarou Chaibou</t>
  </si>
  <si>
    <t xml:space="preserve">Choukouria Moussa </t>
  </si>
  <si>
    <t>Moussa Mamane</t>
  </si>
  <si>
    <t>Fa'iza Inoussa</t>
  </si>
  <si>
    <t>31/12/2011 à bBarouana</t>
  </si>
  <si>
    <t>Inoussa Garba</t>
  </si>
  <si>
    <t xml:space="preserve">Haoua Mamane </t>
  </si>
  <si>
    <t>Mamane Bowey</t>
  </si>
  <si>
    <t>Hazima Moumouni</t>
  </si>
  <si>
    <t>31/12/2011 a Barouana</t>
  </si>
  <si>
    <t>Moumouni Garba</t>
  </si>
  <si>
    <t xml:space="preserve">Habiba Chaibou </t>
  </si>
  <si>
    <t>Chaibou Adamou</t>
  </si>
  <si>
    <t>Hanifa Maliki</t>
  </si>
  <si>
    <t xml:space="preserve"> Maliki Yahaya</t>
  </si>
  <si>
    <t>Kalifa Habibou</t>
  </si>
  <si>
    <t>Habibou Issa</t>
  </si>
  <si>
    <t>Kadidja Saley</t>
  </si>
  <si>
    <t>Salé Garba</t>
  </si>
  <si>
    <t>Kadidja Chapiou</t>
  </si>
  <si>
    <t>Chapiou Laouali</t>
  </si>
  <si>
    <t>Laritou Abdou</t>
  </si>
  <si>
    <t>Abdou Issa</t>
  </si>
  <si>
    <t>Mariama Mansour</t>
  </si>
  <si>
    <t>Mansour Garba</t>
  </si>
  <si>
    <t>Marliya Yahaya</t>
  </si>
  <si>
    <t>Yahaya Isoufou</t>
  </si>
  <si>
    <t>Nana Aicha Issaka</t>
  </si>
  <si>
    <t>Issaka Adamou</t>
  </si>
  <si>
    <t>Rabi Issaka</t>
  </si>
  <si>
    <t>Razina Abdoul Karim</t>
  </si>
  <si>
    <t>Abdoul Karim Moussa</t>
  </si>
  <si>
    <t>Samira Yacouba</t>
  </si>
  <si>
    <t>Yacouba Maman Laouali</t>
  </si>
  <si>
    <t>Soumaya Moussa</t>
  </si>
  <si>
    <t>Moussa Laouali</t>
  </si>
  <si>
    <t>Salaha Tsayabou</t>
  </si>
  <si>
    <t>Tsahirou Issa</t>
  </si>
  <si>
    <t>Tsayaba Laouali</t>
  </si>
  <si>
    <t>Laouali Garba</t>
  </si>
  <si>
    <t>Zeitouna Abdou</t>
  </si>
  <si>
    <t>Zeinabou Ousmane</t>
  </si>
  <si>
    <t>Ousma Dan Ali</t>
  </si>
  <si>
    <t>Zeinabou Aminou</t>
  </si>
  <si>
    <t>Aminou Harouna</t>
  </si>
  <si>
    <t>Zeinabou Yacoubou</t>
  </si>
  <si>
    <t>Yacoubou Issa</t>
  </si>
  <si>
    <t>Zoulfaou Abaché</t>
  </si>
  <si>
    <t>Abaché Harouna</t>
  </si>
  <si>
    <t xml:space="preserve">Azima Inoussa </t>
  </si>
  <si>
    <t xml:space="preserve">Inoussa </t>
  </si>
  <si>
    <t xml:space="preserve">Dardiya Ousmane </t>
  </si>
  <si>
    <t xml:space="preserve">Ousmane </t>
  </si>
  <si>
    <t>Habsatou Haladou</t>
  </si>
  <si>
    <t>Haladou</t>
  </si>
  <si>
    <t xml:space="preserve">Mariama Garba </t>
  </si>
  <si>
    <t xml:space="preserve">Garba </t>
  </si>
  <si>
    <t xml:space="preserve">Nana Firdaoussi Inoussa </t>
  </si>
  <si>
    <t>Roumma Oumarou</t>
  </si>
  <si>
    <t>Yasmina Sa'adou</t>
  </si>
  <si>
    <t xml:space="preserve">Sa'adou </t>
  </si>
  <si>
    <t xml:space="preserve">Zeinabou Sabiou </t>
  </si>
  <si>
    <t xml:space="preserve">Sabiou </t>
  </si>
  <si>
    <t xml:space="preserve">Kadata </t>
  </si>
  <si>
    <t>Badariya Hachimou</t>
  </si>
  <si>
    <t>Hachimou</t>
  </si>
  <si>
    <t xml:space="preserve">Nafissatou Boukari </t>
  </si>
  <si>
    <t>Boukari</t>
  </si>
  <si>
    <t>Ramatou Adamou</t>
  </si>
  <si>
    <t>Adamou</t>
  </si>
  <si>
    <t xml:space="preserve">Louloubi </t>
  </si>
  <si>
    <t xml:space="preserve">Chappa'atou Illiassou </t>
  </si>
  <si>
    <t>Illiassou</t>
  </si>
  <si>
    <t>Nadja'atou Oumarou</t>
  </si>
  <si>
    <t xml:space="preserve">Razina Mamane </t>
  </si>
  <si>
    <t>Mamane</t>
  </si>
  <si>
    <t xml:space="preserve">Hassana Sanoussi </t>
  </si>
  <si>
    <t>Sanoussi</t>
  </si>
  <si>
    <t>MOYENNE</t>
  </si>
  <si>
    <t xml:space="preserve">MOYENNE </t>
  </si>
  <si>
    <t xml:space="preserve">BASE CONTRÔLE CM2 </t>
  </si>
  <si>
    <t xml:space="preserve">2022-2023 </t>
  </si>
  <si>
    <t>Identifiant de la fille</t>
  </si>
  <si>
    <t xml:space="preserve">BASE-LINE </t>
  </si>
  <si>
    <t xml:space="preserve">END-LINE </t>
  </si>
  <si>
    <t xml:space="preserve">Examens </t>
  </si>
  <si>
    <t>Code d'ecole</t>
  </si>
  <si>
    <t>Mathématique /20</t>
  </si>
  <si>
    <t xml:space="preserve">Moyenne Générale/40 </t>
  </si>
  <si>
    <t>Français/20</t>
  </si>
  <si>
    <t>Moyenne Générale /40</t>
  </si>
  <si>
    <t>3è composition</t>
  </si>
  <si>
    <t>Mata Milki</t>
  </si>
  <si>
    <t xml:space="preserve">Aicha Inoussa </t>
  </si>
  <si>
    <t>31/12/11 à Mata Mulki</t>
  </si>
  <si>
    <t>Biba Abdou</t>
  </si>
  <si>
    <t>31/12/10  à Mata Mulki</t>
  </si>
  <si>
    <t xml:space="preserve">Abdou </t>
  </si>
  <si>
    <t xml:space="preserve">Balkissa Achirou </t>
  </si>
  <si>
    <t xml:space="preserve">Achirou </t>
  </si>
  <si>
    <t>Firdaoussi Ali</t>
  </si>
  <si>
    <t>Ali</t>
  </si>
  <si>
    <t xml:space="preserve">Fatiha Abdoul Aziz </t>
  </si>
  <si>
    <t xml:space="preserve">Abdoul Aziz </t>
  </si>
  <si>
    <t>Hanafiya Baraou</t>
  </si>
  <si>
    <t>Baraou</t>
  </si>
  <si>
    <t>Massa'ouda Sidi</t>
  </si>
  <si>
    <t xml:space="preserve">Sidi </t>
  </si>
  <si>
    <t>Malika Laouali</t>
  </si>
  <si>
    <t xml:space="preserve">Laouali </t>
  </si>
  <si>
    <t>31/12/10 à Mata Mulki</t>
  </si>
  <si>
    <t xml:space="preserve">Nana Na'ima Tassiou </t>
  </si>
  <si>
    <t xml:space="preserve">Tassiou </t>
  </si>
  <si>
    <t xml:space="preserve">Ousseina Issaka </t>
  </si>
  <si>
    <t xml:space="preserve">Issaka </t>
  </si>
  <si>
    <t>Rachida Abdou</t>
  </si>
  <si>
    <t>Abdou</t>
  </si>
  <si>
    <t xml:space="preserve">Ramatou Yacouba </t>
  </si>
  <si>
    <t xml:space="preserve">Yacouba </t>
  </si>
  <si>
    <t>Safara'ou Ibrahim</t>
  </si>
  <si>
    <t>Ibrahim</t>
  </si>
  <si>
    <t xml:space="preserve">Safia Alassan </t>
  </si>
  <si>
    <t xml:space="preserve">Alassan </t>
  </si>
  <si>
    <t xml:space="preserve">Sabida Issaka </t>
  </si>
  <si>
    <t>Soumaya Amadou</t>
  </si>
  <si>
    <t xml:space="preserve">Amadou </t>
  </si>
  <si>
    <t>Soumaya Souley</t>
  </si>
  <si>
    <t>Souley</t>
  </si>
  <si>
    <t xml:space="preserve">Salima Baraou </t>
  </si>
  <si>
    <t xml:space="preserve">Yassira Abdou </t>
  </si>
  <si>
    <t xml:space="preserve">Habsatou Ibrahim </t>
  </si>
  <si>
    <t>Mountarou 1</t>
  </si>
  <si>
    <t xml:space="preserve">Amira Issaka </t>
  </si>
  <si>
    <t xml:space="preserve">Fadila Yaou </t>
  </si>
  <si>
    <t>Ya'ou</t>
  </si>
  <si>
    <t xml:space="preserve">Zahara'ou Zayya </t>
  </si>
  <si>
    <t xml:space="preserve">Zayya </t>
  </si>
  <si>
    <t xml:space="preserve">Mansoura Aboubacar </t>
  </si>
  <si>
    <t xml:space="preserve">Aboubacar </t>
  </si>
  <si>
    <t>Anissa Sani</t>
  </si>
  <si>
    <t>Sani</t>
  </si>
  <si>
    <t xml:space="preserve">Yasmina Yaou </t>
  </si>
  <si>
    <t>Yaou</t>
  </si>
  <si>
    <t>Manira Sani</t>
  </si>
  <si>
    <t>Rafia Idi</t>
  </si>
  <si>
    <t>Idi</t>
  </si>
  <si>
    <t xml:space="preserve">Nana Samira Sani Saidou </t>
  </si>
  <si>
    <t>Sani Saidou</t>
  </si>
  <si>
    <t>Fatima Sani</t>
  </si>
  <si>
    <t xml:space="preserve">Haoua'ou Issaka </t>
  </si>
  <si>
    <t xml:space="preserve">Soumaya Zouladeini </t>
  </si>
  <si>
    <t>Zouladeini</t>
  </si>
  <si>
    <t xml:space="preserve">Badariya Salissou </t>
  </si>
  <si>
    <t>Salissou</t>
  </si>
  <si>
    <t xml:space="preserve">Zeinab Sani Idi </t>
  </si>
  <si>
    <t>Sani Idi</t>
  </si>
  <si>
    <t xml:space="preserve">Kadidja Ibrahim </t>
  </si>
  <si>
    <t xml:space="preserve">Mastoura Hassan </t>
  </si>
  <si>
    <t xml:space="preserve">Hassan </t>
  </si>
  <si>
    <t xml:space="preserve">Maryam Biniya </t>
  </si>
  <si>
    <t xml:space="preserve">Biniya </t>
  </si>
  <si>
    <t xml:space="preserve">Karambi Sofoua </t>
  </si>
  <si>
    <t xml:space="preserve">Rouffa'atou Idrissa </t>
  </si>
  <si>
    <t>Idrissa</t>
  </si>
  <si>
    <t>Rakia Maman Nassirou</t>
  </si>
  <si>
    <t>Maman Nassirou</t>
  </si>
  <si>
    <t xml:space="preserve">Nisseifa Yacouba </t>
  </si>
  <si>
    <t xml:space="preserve">Soueba Kabirou </t>
  </si>
  <si>
    <t>Kabirou</t>
  </si>
  <si>
    <t xml:space="preserve">Rahila Moustapha </t>
  </si>
  <si>
    <t>Moustapha</t>
  </si>
  <si>
    <t xml:space="preserve">Mariama Mamouda </t>
  </si>
  <si>
    <t>Mamouda</t>
  </si>
  <si>
    <t xml:space="preserve">Tsalouba Nouhou </t>
  </si>
  <si>
    <t>Nouhou</t>
  </si>
  <si>
    <t xml:space="preserve">Ainaou Mahajourou </t>
  </si>
  <si>
    <t>Mahajourou</t>
  </si>
  <si>
    <t>Laouratou Abdoullahi</t>
  </si>
  <si>
    <t>Abdoullahi</t>
  </si>
  <si>
    <t xml:space="preserve">Rachida Rabiou </t>
  </si>
  <si>
    <t>Rabiou</t>
  </si>
  <si>
    <t>Azima Abdoul Moumouni</t>
  </si>
  <si>
    <t>Abdoul Moumouni</t>
  </si>
  <si>
    <t>Aicha Haladou</t>
  </si>
  <si>
    <t xml:space="preserve">Nisseiba Yacouba </t>
  </si>
  <si>
    <t>Safia Ma'azou</t>
  </si>
  <si>
    <t>Chamsiya Moutari</t>
  </si>
  <si>
    <t>Moutari</t>
  </si>
  <si>
    <t>Bachariya Halarou</t>
  </si>
  <si>
    <t>Halarou</t>
  </si>
  <si>
    <t xml:space="preserve">Ramatou Idrissa </t>
  </si>
  <si>
    <t xml:space="preserve">Souéba Yacouba </t>
  </si>
  <si>
    <t xml:space="preserve">Matching 2023 CM2 </t>
  </si>
  <si>
    <t xml:space="preserve">Code </t>
  </si>
  <si>
    <t xml:space="preserve">Site intervention </t>
  </si>
  <si>
    <t>Site contrôle</t>
  </si>
  <si>
    <t xml:space="preserve">Barouana </t>
  </si>
  <si>
    <t xml:space="preserve">Mata Milki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</si>
</sst>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1.0"/>
      <color theme="1"/>
      <name val="Calibri"/>
      <scheme val="minor"/>
    </font>
    <font>
      <b/>
      <sz val="14.0"/>
      <color theme="1"/>
      <name val="Times New Roman"/>
    </font>
    <font>
      <sz val="14.0"/>
      <color theme="1"/>
      <name val="Times New Roman"/>
    </font>
    <font>
      <b/>
      <sz val="11.0"/>
      <color theme="1"/>
      <name val="Arial Black"/>
    </font>
    <font>
      <sz val="11.0"/>
      <color theme="1"/>
      <name val="Arial Black"/>
    </font>
    <font>
      <b/>
      <sz val="11.0"/>
      <color theme="1"/>
      <name val="Cambria"/>
    </font>
    <font>
      <b/>
      <i/>
      <sz val="12.0"/>
      <color theme="1"/>
      <name val="Calibri"/>
    </font>
    <font>
      <sz val="14.0"/>
      <color theme="1"/>
      <name val="Calibri"/>
    </font>
    <font/>
    <font>
      <sz val="12.0"/>
      <color theme="1"/>
      <name val="Bahnschrift Condensed"/>
    </font>
    <font>
      <sz val="11.0"/>
      <color theme="1"/>
      <name val="Calibri"/>
    </font>
    <font>
      <sz val="12.0"/>
      <color theme="1"/>
      <name val="Calibri"/>
    </font>
    <font>
      <b/>
      <sz val="11.0"/>
      <color theme="1"/>
      <name val="Times New Roman"/>
    </font>
    <font>
      <sz val="11.0"/>
      <color theme="1"/>
      <name val="Times New Roman"/>
    </font>
    <font>
      <b/>
      <sz val="11.0"/>
      <color theme="1"/>
      <name val="Calibri"/>
    </font>
    <font>
      <color theme="1"/>
      <name val="Calibri"/>
      <scheme val="minor"/>
    </font>
    <font>
      <i/>
      <sz val="14.0"/>
      <color theme="1"/>
      <name val="Cambria"/>
    </font>
    <font>
      <b/>
      <sz val="16.0"/>
      <color theme="1"/>
      <name val="Cambria"/>
    </font>
    <font>
      <b/>
      <sz val="14.0"/>
      <color theme="1"/>
      <name val="Calibri"/>
    </font>
    <font>
      <sz val="16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  <fill>
      <patternFill patternType="solid">
        <fgColor theme="0"/>
        <bgColor theme="0"/>
      </patternFill>
    </fill>
    <fill>
      <patternFill patternType="solid">
        <fgColor rgb="FF8DB3E2"/>
        <bgColor rgb="FF8DB3E2"/>
      </patternFill>
    </fill>
    <fill>
      <patternFill patternType="solid">
        <fgColor rgb="FFFABF8F"/>
        <bgColor rgb="FFFABF8F"/>
      </patternFill>
    </fill>
    <fill>
      <patternFill patternType="solid">
        <fgColor rgb="FFFFFF00"/>
        <bgColor rgb="FFFFFF00"/>
      </patternFill>
    </fill>
    <fill>
      <patternFill patternType="solid">
        <fgColor rgb="FFD6E3BC"/>
        <bgColor rgb="FFD6E3BC"/>
      </patternFill>
    </fill>
    <fill>
      <patternFill patternType="solid">
        <fgColor rgb="FFEAF1DD"/>
        <bgColor rgb="FFEAF1DD"/>
      </patternFill>
    </fill>
    <fill>
      <patternFill patternType="solid">
        <fgColor rgb="FFB8CCE4"/>
        <bgColor rgb="FFB8CCE4"/>
      </patternFill>
    </fill>
    <fill>
      <patternFill patternType="solid">
        <fgColor rgb="FFB2A1C7"/>
        <bgColor rgb="FFB2A1C7"/>
      </patternFill>
    </fill>
    <fill>
      <patternFill patternType="solid">
        <fgColor rgb="FFD99594"/>
        <bgColor rgb="FFD99594"/>
      </patternFill>
    </fill>
  </fills>
  <borders count="2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Font="1"/>
    <xf borderId="1" fillId="0" fontId="2" numFmtId="0" xfId="0" applyAlignment="1" applyBorder="1" applyFont="1">
      <alignment horizontal="center"/>
    </xf>
    <xf borderId="2" fillId="0" fontId="8" numFmtId="0" xfId="0" applyBorder="1" applyFont="1"/>
    <xf borderId="3" fillId="0" fontId="8" numFmtId="0" xfId="0" applyBorder="1" applyFont="1"/>
    <xf borderId="0" fillId="0" fontId="2" numFmtId="0" xfId="0" applyAlignment="1" applyFont="1">
      <alignment horizontal="center"/>
    </xf>
    <xf borderId="4" fillId="2" fontId="9" numFmtId="0" xfId="0" applyAlignment="1" applyBorder="1" applyFill="1" applyFont="1">
      <alignment horizontal="left" shrinkToFit="0" textRotation="45" wrapText="1"/>
    </xf>
    <xf borderId="5" fillId="2" fontId="9" numFmtId="0" xfId="0" applyAlignment="1" applyBorder="1" applyFont="1">
      <alignment horizontal="left" shrinkToFit="0" textRotation="45" wrapText="1"/>
    </xf>
    <xf borderId="6" fillId="2" fontId="9" numFmtId="0" xfId="0" applyAlignment="1" applyBorder="1" applyFont="1">
      <alignment horizontal="left" shrinkToFit="0" textRotation="45" wrapText="1"/>
    </xf>
    <xf borderId="7" fillId="2" fontId="9" numFmtId="0" xfId="0" applyAlignment="1" applyBorder="1" applyFont="1">
      <alignment horizontal="left" shrinkToFit="0" textRotation="45" wrapText="1"/>
    </xf>
    <xf borderId="4" fillId="2" fontId="10" numFmtId="0" xfId="0" applyAlignment="1" applyBorder="1" applyFont="1">
      <alignment shrinkToFit="0" textRotation="45" wrapText="1"/>
    </xf>
    <xf borderId="8" fillId="0" fontId="11" numFmtId="0" xfId="0" applyBorder="1" applyFont="1"/>
    <xf borderId="8" fillId="0" fontId="11" numFmtId="0" xfId="0" applyAlignment="1" applyBorder="1" applyFont="1">
      <alignment horizontal="left"/>
    </xf>
    <xf borderId="8" fillId="0" fontId="11" numFmtId="0" xfId="0" applyAlignment="1" applyBorder="1" applyFont="1">
      <alignment horizontal="center"/>
    </xf>
    <xf borderId="4" fillId="3" fontId="11" numFmtId="0" xfId="0" applyAlignment="1" applyBorder="1" applyFill="1" applyFont="1">
      <alignment horizontal="left"/>
    </xf>
    <xf borderId="5" fillId="4" fontId="11" numFmtId="0" xfId="0" applyAlignment="1" applyBorder="1" applyFill="1" applyFont="1">
      <alignment horizontal="left"/>
    </xf>
    <xf borderId="5" fillId="5" fontId="11" numFmtId="0" xfId="0" applyAlignment="1" applyBorder="1" applyFill="1" applyFont="1">
      <alignment horizontal="left"/>
    </xf>
    <xf borderId="9" fillId="0" fontId="11" numFmtId="0" xfId="0" applyAlignment="1" applyBorder="1" applyFont="1">
      <alignment horizontal="center"/>
    </xf>
    <xf borderId="4" fillId="0" fontId="5" numFmtId="0" xfId="0" applyBorder="1" applyFont="1"/>
    <xf borderId="4" fillId="0" fontId="11" numFmtId="0" xfId="0" applyBorder="1" applyFont="1"/>
    <xf borderId="4" fillId="0" fontId="11" numFmtId="0" xfId="0" applyAlignment="1" applyBorder="1" applyFont="1">
      <alignment horizontal="left"/>
    </xf>
    <xf borderId="4" fillId="0" fontId="11" numFmtId="0" xfId="0" applyAlignment="1" applyBorder="1" applyFont="1">
      <alignment horizontal="center"/>
    </xf>
    <xf borderId="1" fillId="0" fontId="11" numFmtId="0" xfId="0" applyAlignment="1" applyBorder="1" applyFont="1">
      <alignment horizontal="center"/>
    </xf>
    <xf borderId="4" fillId="3" fontId="9" numFmtId="0" xfId="0" applyAlignment="1" applyBorder="1" applyFont="1">
      <alignment horizontal="left" shrinkToFit="0" textRotation="45" wrapText="1"/>
    </xf>
    <xf borderId="10" fillId="3" fontId="9" numFmtId="0" xfId="0" applyAlignment="1" applyBorder="1" applyFont="1">
      <alignment horizontal="left" shrinkToFit="0" textRotation="45" wrapText="1"/>
    </xf>
    <xf borderId="4" fillId="0" fontId="11" numFmtId="14" xfId="0" applyAlignment="1" applyBorder="1" applyFont="1" applyNumberFormat="1">
      <alignment horizontal="left"/>
    </xf>
    <xf borderId="4" fillId="3" fontId="11" numFmtId="0" xfId="0" applyBorder="1" applyFont="1"/>
    <xf borderId="4" fillId="0" fontId="11" numFmtId="0" xfId="0" applyAlignment="1" applyBorder="1" applyFont="1">
      <alignment horizontal="center" shrinkToFit="0" wrapText="1"/>
    </xf>
    <xf borderId="1" fillId="0" fontId="11" numFmtId="0" xfId="0" applyBorder="1" applyFont="1"/>
    <xf borderId="4" fillId="0" fontId="10" numFmtId="0" xfId="0" applyBorder="1" applyFont="1"/>
    <xf borderId="4" fillId="0" fontId="11" numFmtId="14" xfId="0" applyAlignment="1" applyBorder="1" applyFont="1" applyNumberFormat="1">
      <alignment horizontal="left" vertical="top"/>
    </xf>
    <xf borderId="4" fillId="3" fontId="11" numFmtId="14" xfId="0" applyAlignment="1" applyBorder="1" applyFont="1" applyNumberFormat="1">
      <alignment horizontal="left"/>
    </xf>
    <xf borderId="4" fillId="3" fontId="11" numFmtId="0" xfId="0" applyAlignment="1" applyBorder="1" applyFont="1">
      <alignment horizontal="center"/>
    </xf>
    <xf borderId="7" fillId="3" fontId="11" numFmtId="0" xfId="0" applyAlignment="1" applyBorder="1" applyFont="1">
      <alignment horizontal="center"/>
    </xf>
    <xf borderId="4" fillId="3" fontId="10" numFmtId="0" xfId="0" applyBorder="1" applyFont="1"/>
    <xf borderId="10" fillId="3" fontId="10" numFmtId="0" xfId="0" applyBorder="1" applyFont="1"/>
    <xf borderId="11" fillId="0" fontId="11" numFmtId="0" xfId="0" applyAlignment="1" applyBorder="1" applyFont="1">
      <alignment horizontal="left"/>
    </xf>
    <xf borderId="12" fillId="6" fontId="11" numFmtId="0" xfId="0" applyAlignment="1" applyBorder="1" applyFill="1" applyFont="1">
      <alignment horizontal="left"/>
    </xf>
    <xf borderId="12" fillId="7" fontId="11" numFmtId="0" xfId="0" applyAlignment="1" applyBorder="1" applyFill="1" applyFont="1">
      <alignment horizontal="left"/>
    </xf>
    <xf borderId="13" fillId="4" fontId="11" numFmtId="0" xfId="0" applyAlignment="1" applyBorder="1" applyFont="1">
      <alignment horizontal="left"/>
    </xf>
    <xf borderId="13" fillId="5" fontId="11" numFmtId="0" xfId="0" applyAlignment="1" applyBorder="1" applyFont="1">
      <alignment horizontal="left"/>
    </xf>
    <xf borderId="11" fillId="0" fontId="11" numFmtId="0" xfId="0" applyAlignment="1" applyBorder="1" applyFont="1">
      <alignment horizontal="center"/>
    </xf>
    <xf borderId="14" fillId="0" fontId="11" numFmtId="0" xfId="0" applyAlignment="1" applyBorder="1" applyFont="1">
      <alignment horizontal="center"/>
    </xf>
    <xf borderId="1" fillId="0" fontId="10" numFmtId="0" xfId="0" applyAlignment="1" applyBorder="1" applyFont="1">
      <alignment horizontal="center"/>
    </xf>
    <xf borderId="12" fillId="4" fontId="11" numFmtId="0" xfId="0" applyAlignment="1" applyBorder="1" applyFont="1">
      <alignment horizontal="left"/>
    </xf>
    <xf borderId="12" fillId="5" fontId="11" numFmtId="0" xfId="0" applyAlignment="1" applyBorder="1" applyFont="1">
      <alignment horizontal="left"/>
    </xf>
    <xf borderId="0" fillId="0" fontId="10" numFmtId="0" xfId="0" applyAlignment="1" applyFont="1">
      <alignment horizontal="center"/>
    </xf>
    <xf borderId="0" fillId="0" fontId="12" numFmtId="0" xfId="0" applyAlignment="1" applyFont="1">
      <alignment horizontal="left"/>
    </xf>
    <xf borderId="0" fillId="0" fontId="13" numFmtId="0" xfId="0" applyAlignment="1" applyFont="1">
      <alignment horizontal="left"/>
    </xf>
    <xf borderId="0" fillId="0" fontId="13" numFmtId="0" xfId="0" applyFont="1"/>
    <xf borderId="0" fillId="0" fontId="13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center"/>
    </xf>
    <xf borderId="14" fillId="0" fontId="14" numFmtId="0" xfId="0" applyAlignment="1" applyBorder="1" applyFont="1">
      <alignment horizontal="center"/>
    </xf>
    <xf borderId="15" fillId="0" fontId="8" numFmtId="0" xfId="0" applyBorder="1" applyFont="1"/>
    <xf borderId="16" fillId="0" fontId="8" numFmtId="0" xfId="0" applyBorder="1" applyFont="1"/>
    <xf borderId="1" fillId="0" fontId="14" numFmtId="0" xfId="0" applyAlignment="1" applyBorder="1" applyFont="1">
      <alignment horizontal="center"/>
    </xf>
    <xf borderId="17" fillId="3" fontId="14" numFmtId="0" xfId="0" applyAlignment="1" applyBorder="1" applyFont="1">
      <alignment horizontal="center"/>
    </xf>
    <xf borderId="18" fillId="0" fontId="8" numFmtId="0" xfId="0" applyBorder="1" applyFont="1"/>
    <xf borderId="19" fillId="0" fontId="8" numFmtId="0" xfId="0" applyBorder="1" applyFont="1"/>
    <xf borderId="4" fillId="3" fontId="11" numFmtId="0" xfId="0" applyAlignment="1" applyBorder="1" applyFont="1">
      <alignment shrinkToFit="0" textRotation="45" wrapText="1"/>
    </xf>
    <xf borderId="4" fillId="3" fontId="11" numFmtId="0" xfId="0" applyAlignment="1" applyBorder="1" applyFont="1">
      <alignment horizontal="center" shrinkToFit="0" textRotation="45" wrapText="1"/>
    </xf>
    <xf borderId="5" fillId="3" fontId="11" numFmtId="0" xfId="0" applyAlignment="1" applyBorder="1" applyFont="1">
      <alignment shrinkToFit="0" textRotation="45" wrapText="1"/>
    </xf>
    <xf borderId="8" fillId="8" fontId="11" numFmtId="0" xfId="0" applyBorder="1" applyFill="1" applyFont="1"/>
    <xf borderId="8" fillId="8" fontId="11" numFmtId="0" xfId="0" applyAlignment="1" applyBorder="1" applyFont="1">
      <alignment horizontal="left"/>
    </xf>
    <xf borderId="8" fillId="8" fontId="11" numFmtId="0" xfId="0" applyAlignment="1" applyBorder="1" applyFont="1">
      <alignment horizontal="right"/>
    </xf>
    <xf borderId="5" fillId="8" fontId="11" numFmtId="0" xfId="0" applyAlignment="1" applyBorder="1" applyFont="1">
      <alignment horizontal="left"/>
    </xf>
    <xf borderId="8" fillId="8" fontId="11" numFmtId="0" xfId="0" applyAlignment="1" applyBorder="1" applyFont="1">
      <alignment horizontal="center"/>
    </xf>
    <xf borderId="4" fillId="8" fontId="11" numFmtId="0" xfId="0" applyBorder="1" applyFont="1"/>
    <xf borderId="0" fillId="0" fontId="10" numFmtId="0" xfId="0" applyFont="1"/>
    <xf borderId="8" fillId="9" fontId="11" numFmtId="0" xfId="0" applyBorder="1" applyFill="1" applyFont="1"/>
    <xf borderId="4" fillId="9" fontId="11" numFmtId="0" xfId="0" applyAlignment="1" applyBorder="1" applyFont="1">
      <alignment horizontal="left"/>
    </xf>
    <xf borderId="4" fillId="9" fontId="11" numFmtId="0" xfId="0" applyBorder="1" applyFont="1"/>
    <xf borderId="4" fillId="9" fontId="11" numFmtId="0" xfId="0" applyAlignment="1" applyBorder="1" applyFont="1">
      <alignment horizontal="right"/>
    </xf>
    <xf borderId="4" fillId="9" fontId="11" numFmtId="0" xfId="0" applyAlignment="1" applyBorder="1" applyFont="1">
      <alignment horizontal="center"/>
    </xf>
    <xf borderId="4" fillId="8" fontId="11" numFmtId="0" xfId="0" applyAlignment="1" applyBorder="1" applyFont="1">
      <alignment horizontal="left"/>
    </xf>
    <xf borderId="4" fillId="8" fontId="11" numFmtId="0" xfId="0" applyAlignment="1" applyBorder="1" applyFont="1">
      <alignment horizontal="right"/>
    </xf>
    <xf borderId="4" fillId="8" fontId="11" numFmtId="0" xfId="0" applyAlignment="1" applyBorder="1" applyFont="1">
      <alignment horizontal="center" shrinkToFit="0" wrapText="1"/>
    </xf>
    <xf borderId="4" fillId="9" fontId="11" numFmtId="14" xfId="0" applyAlignment="1" applyBorder="1" applyFont="1" applyNumberFormat="1">
      <alignment horizontal="left"/>
    </xf>
    <xf borderId="4" fillId="8" fontId="11" numFmtId="14" xfId="0" applyAlignment="1" applyBorder="1" applyFont="1" applyNumberFormat="1">
      <alignment horizontal="left"/>
    </xf>
    <xf borderId="4" fillId="8" fontId="11" numFmtId="0" xfId="0" applyAlignment="1" applyBorder="1" applyFont="1">
      <alignment horizontal="center"/>
    </xf>
    <xf borderId="4" fillId="9" fontId="11" numFmtId="0" xfId="0" applyAlignment="1" applyBorder="1" applyFont="1">
      <alignment horizontal="center" shrinkToFit="0" wrapText="1"/>
    </xf>
    <xf borderId="11" fillId="9" fontId="11" numFmtId="0" xfId="0" applyBorder="1" applyFont="1"/>
    <xf borderId="11" fillId="9" fontId="11" numFmtId="0" xfId="0" applyAlignment="1" applyBorder="1" applyFont="1">
      <alignment horizontal="left"/>
    </xf>
    <xf borderId="11" fillId="9" fontId="11" numFmtId="14" xfId="0" applyAlignment="1" applyBorder="1" applyFont="1" applyNumberFormat="1">
      <alignment horizontal="left"/>
    </xf>
    <xf borderId="11" fillId="9" fontId="11" numFmtId="0" xfId="0" applyAlignment="1" applyBorder="1" applyFont="1">
      <alignment horizontal="right"/>
    </xf>
    <xf borderId="12" fillId="9" fontId="11" numFmtId="0" xfId="0" applyAlignment="1" applyBorder="1" applyFont="1">
      <alignment horizontal="left"/>
    </xf>
    <xf borderId="11" fillId="9" fontId="11" numFmtId="0" xfId="0" applyAlignment="1" applyBorder="1" applyFont="1">
      <alignment horizontal="center"/>
    </xf>
    <xf borderId="11" fillId="8" fontId="11" numFmtId="0" xfId="0" applyBorder="1" applyFont="1"/>
    <xf borderId="11" fillId="8" fontId="11" numFmtId="0" xfId="0" applyAlignment="1" applyBorder="1" applyFont="1">
      <alignment horizontal="left"/>
    </xf>
    <xf borderId="12" fillId="8" fontId="11" numFmtId="0" xfId="0" applyAlignment="1" applyBorder="1" applyFont="1">
      <alignment horizontal="left"/>
    </xf>
    <xf borderId="20" fillId="8" fontId="10" numFmtId="0" xfId="0" applyAlignment="1" applyBorder="1" applyFont="1">
      <alignment horizontal="center"/>
    </xf>
    <xf borderId="0" fillId="8" fontId="10" numFmtId="0" xfId="0" applyFont="1"/>
    <xf borderId="11" fillId="8" fontId="11" numFmtId="0" xfId="0" applyAlignment="1" applyBorder="1" applyFont="1">
      <alignment horizontal="center"/>
    </xf>
    <xf borderId="0" fillId="0" fontId="15" numFmtId="0" xfId="0" applyFont="1"/>
    <xf borderId="4" fillId="10" fontId="11" numFmtId="0" xfId="0" applyAlignment="1" applyBorder="1" applyFill="1" applyFont="1">
      <alignment horizontal="left"/>
    </xf>
    <xf borderId="4" fillId="11" fontId="11" numFmtId="0" xfId="0" applyAlignment="1" applyBorder="1" applyFill="1" applyFont="1">
      <alignment horizontal="left"/>
    </xf>
    <xf borderId="0" fillId="0" fontId="16" numFmtId="0" xfId="0" applyFont="1"/>
    <xf borderId="4" fillId="0" fontId="17" numFmtId="0" xfId="0" applyBorder="1" applyFont="1"/>
    <xf borderId="0" fillId="0" fontId="17" numFmtId="0" xfId="0" applyFont="1"/>
    <xf borderId="4" fillId="0" fontId="18" numFmtId="0" xfId="0" applyAlignment="1" applyBorder="1" applyFont="1">
      <alignment horizontal="center" vertical="center"/>
    </xf>
    <xf borderId="4" fillId="0" fontId="19" numFmtId="0" xfId="0" applyBorder="1" applyFon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SUIVI-EVALUATION/SE%202022/PHASE%20PILOTE/Base%20de%20donn&#233;e%20Phase%20pilote%20CM1.2022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1. Base de donnée Intervention"/>
      <sheetName val="Base de donnée Phase pilote CM1"/>
    </sheet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14"/>
    <col customWidth="1" min="2" max="2" width="32.0"/>
    <col customWidth="1" hidden="1" min="3" max="3" width="24.0"/>
    <col customWidth="1" min="4" max="4" width="18.57"/>
    <col customWidth="1" hidden="1" min="5" max="5" width="11.86"/>
    <col customWidth="1" hidden="1" min="6" max="6" width="8.71"/>
    <col customWidth="1" hidden="1" min="7" max="7" width="16.86"/>
    <col customWidth="1" hidden="1" min="8" max="8" width="8.29"/>
    <col customWidth="1" min="9" max="9" width="6.14"/>
    <col customWidth="1" min="10" max="10" width="8.43"/>
    <col customWidth="1" min="11" max="12" width="9.14"/>
    <col customWidth="1" min="13" max="13" width="13.43"/>
    <col customWidth="1" min="14" max="14" width="8.71"/>
    <col customWidth="1" min="15" max="15" width="9.14"/>
    <col customWidth="1" min="16" max="16" width="15.0"/>
    <col customWidth="1" min="17" max="17" width="12.57"/>
    <col customWidth="1" min="18" max="18" width="12.0"/>
    <col customWidth="1" min="19" max="19" width="12.57"/>
    <col customWidth="1" min="20" max="20" width="8.86"/>
    <col customWidth="1" min="21" max="21" width="10.71"/>
    <col customWidth="1" min="22" max="22" width="21.86"/>
    <col customWidth="1" min="23" max="42" width="10.71"/>
  </cols>
  <sheetData>
    <row r="1">
      <c r="A1" s="1" t="s">
        <v>0</v>
      </c>
      <c r="B1" s="2"/>
    </row>
    <row r="2">
      <c r="A2" s="3" t="s">
        <v>1</v>
      </c>
      <c r="B2" s="4"/>
    </row>
    <row r="3">
      <c r="A3" s="5" t="s">
        <v>2</v>
      </c>
      <c r="B3" s="5"/>
      <c r="C3" s="6"/>
    </row>
    <row r="4">
      <c r="A4" s="7"/>
      <c r="B4" s="7"/>
      <c r="C4" s="2" t="s">
        <v>3</v>
      </c>
      <c r="D4" s="2"/>
      <c r="E4" s="2"/>
      <c r="F4" s="2"/>
      <c r="G4" s="2"/>
      <c r="H4" s="2"/>
      <c r="I4" s="2"/>
      <c r="J4" s="2"/>
      <c r="K4" s="8" t="s">
        <v>4</v>
      </c>
      <c r="L4" s="9"/>
      <c r="M4" s="10"/>
      <c r="N4" s="8" t="s">
        <v>5</v>
      </c>
      <c r="O4" s="9"/>
      <c r="P4" s="10"/>
      <c r="Q4" s="11"/>
      <c r="R4" s="11"/>
      <c r="S4" s="11"/>
      <c r="T4" s="11"/>
      <c r="U4" s="2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</row>
    <row r="5" ht="60.75" customHeight="1">
      <c r="A5" s="12" t="s">
        <v>6</v>
      </c>
      <c r="B5" s="12" t="s">
        <v>7</v>
      </c>
      <c r="C5" s="12" t="s">
        <v>8</v>
      </c>
      <c r="D5" s="12" t="s">
        <v>9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3" t="s">
        <v>19</v>
      </c>
      <c r="O5" s="13" t="s">
        <v>20</v>
      </c>
      <c r="P5" s="14" t="s">
        <v>18</v>
      </c>
      <c r="Q5" s="12" t="s">
        <v>21</v>
      </c>
      <c r="R5" s="12" t="s">
        <v>22</v>
      </c>
      <c r="S5" s="12" t="s">
        <v>23</v>
      </c>
      <c r="T5" s="12" t="s">
        <v>24</v>
      </c>
      <c r="U5" s="15" t="s">
        <v>25</v>
      </c>
      <c r="V5" s="16" t="s">
        <v>26</v>
      </c>
    </row>
    <row r="6">
      <c r="A6" s="17" t="s">
        <v>27</v>
      </c>
      <c r="B6" s="18" t="s">
        <v>28</v>
      </c>
      <c r="C6" s="18" t="s">
        <v>29</v>
      </c>
      <c r="D6" s="18" t="s">
        <v>30</v>
      </c>
      <c r="E6" s="18" t="s">
        <v>31</v>
      </c>
      <c r="F6" s="19">
        <v>1.0</v>
      </c>
      <c r="G6" s="19">
        <v>2022.0</v>
      </c>
      <c r="H6" s="19">
        <v>1.0</v>
      </c>
      <c r="I6" s="19">
        <v>1.0</v>
      </c>
      <c r="J6" s="20" t="str">
        <f>[1]!Tableau2[[#This Row],[Annee d''inscription au programme]]&amp;"-"&amp;[1]!Tableau2[[#This Row],[Code d''ecole]]&amp;"-"&amp;[1]!Tableau2[[#This Row],[Numero HM de la fille]]</f>
        <v>#ERROR!</v>
      </c>
      <c r="K6" s="18">
        <v>2.5</v>
      </c>
      <c r="L6" s="18">
        <v>3.5</v>
      </c>
      <c r="M6" s="21">
        <f t="shared" ref="M6:M84" si="1">SUM(K6+L6)/2</f>
        <v>3</v>
      </c>
      <c r="N6" s="18">
        <v>11.5</v>
      </c>
      <c r="O6" s="18">
        <v>16.0</v>
      </c>
      <c r="P6" s="22">
        <f t="shared" ref="P6:P84" si="2">SUM(N6+O6)/2</f>
        <v>13.75</v>
      </c>
      <c r="Q6" s="19"/>
      <c r="R6" s="19"/>
      <c r="S6" s="19"/>
      <c r="T6" s="19"/>
      <c r="U6" s="23"/>
      <c r="V6" s="24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</row>
    <row r="7" ht="16.5" customHeight="1">
      <c r="A7" s="25" t="s">
        <v>27</v>
      </c>
      <c r="B7" s="26" t="s">
        <v>32</v>
      </c>
      <c r="C7" s="26" t="s">
        <v>33</v>
      </c>
      <c r="D7" s="26" t="s">
        <v>34</v>
      </c>
      <c r="E7" s="26" t="s">
        <v>31</v>
      </c>
      <c r="F7" s="27">
        <v>2.0</v>
      </c>
      <c r="G7" s="27">
        <v>2022.0</v>
      </c>
      <c r="H7" s="27">
        <v>1.0</v>
      </c>
      <c r="I7" s="27">
        <v>2.0</v>
      </c>
      <c r="J7" s="20" t="str">
        <f>[1]!Tableau2[[#This Row],[Annee d''inscription au programme]]&amp;"-"&amp;[1]!Tableau2[[#This Row],[Code d''ecole]]&amp;"-"&amp;[1]!Tableau2[[#This Row],[Numero HM de la fille]]</f>
        <v>#ERROR!</v>
      </c>
      <c r="K7" s="26">
        <v>7.0</v>
      </c>
      <c r="L7" s="26">
        <v>4.5</v>
      </c>
      <c r="M7" s="21">
        <f t="shared" si="1"/>
        <v>5.75</v>
      </c>
      <c r="N7" s="26">
        <v>14.5</v>
      </c>
      <c r="O7" s="18">
        <v>12.5</v>
      </c>
      <c r="P7" s="22">
        <f t="shared" si="2"/>
        <v>13.5</v>
      </c>
      <c r="Q7" s="27"/>
      <c r="R7" s="27"/>
      <c r="S7" s="27"/>
      <c r="T7" s="27"/>
      <c r="U7" s="28"/>
      <c r="V7" s="29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</row>
    <row r="8">
      <c r="A8" s="25" t="s">
        <v>27</v>
      </c>
      <c r="B8" s="25" t="s">
        <v>35</v>
      </c>
      <c r="C8" s="31" t="s">
        <v>36</v>
      </c>
      <c r="D8" s="25" t="s">
        <v>37</v>
      </c>
      <c r="E8" s="26" t="s">
        <v>31</v>
      </c>
      <c r="F8" s="27">
        <v>3.0</v>
      </c>
      <c r="G8" s="27">
        <v>2022.0</v>
      </c>
      <c r="H8" s="27">
        <v>1.0</v>
      </c>
      <c r="I8" s="27">
        <v>3.0</v>
      </c>
      <c r="J8" s="32" t="str">
        <f>[1]!Tableau2[[#This Row],[Annee d''inscription au programme]]&amp;"-"&amp;[1]!Tableau2[[#This Row],[Code d''ecole]]&amp;"-"&amp;[1]!Tableau2[[#This Row],[Numero HM de la fille]]</f>
        <v>#ERROR!</v>
      </c>
      <c r="K8" s="26">
        <v>7.5</v>
      </c>
      <c r="L8" s="26">
        <v>7.0</v>
      </c>
      <c r="M8" s="21">
        <f t="shared" si="1"/>
        <v>7.25</v>
      </c>
      <c r="N8" s="26">
        <v>16.0</v>
      </c>
      <c r="O8" s="26">
        <v>12.5</v>
      </c>
      <c r="P8" s="22">
        <f t="shared" si="2"/>
        <v>14.25</v>
      </c>
      <c r="Q8" s="33"/>
      <c r="R8" s="33"/>
      <c r="S8" s="33"/>
      <c r="T8" s="33"/>
      <c r="U8" s="34"/>
      <c r="V8" s="35"/>
    </row>
    <row r="9">
      <c r="A9" s="25" t="s">
        <v>27</v>
      </c>
      <c r="B9" s="26" t="s">
        <v>38</v>
      </c>
      <c r="C9" s="31" t="s">
        <v>39</v>
      </c>
      <c r="D9" s="26" t="s">
        <v>40</v>
      </c>
      <c r="E9" s="26" t="s">
        <v>31</v>
      </c>
      <c r="F9" s="27">
        <v>4.0</v>
      </c>
      <c r="G9" s="27">
        <v>2022.0</v>
      </c>
      <c r="H9" s="27">
        <v>1.0</v>
      </c>
      <c r="I9" s="27">
        <v>4.0</v>
      </c>
      <c r="J9" s="20" t="str">
        <f>[1]!Tableau2[[#This Row],[Annee d''inscription au programme]]&amp;"-"&amp;[1]!Tableau2[[#This Row],[Code d''ecole]]&amp;"-"&amp;[1]!Tableau2[[#This Row],[Numero HM de la fille]]</f>
        <v>#ERROR!</v>
      </c>
      <c r="K9" s="26">
        <v>12.0</v>
      </c>
      <c r="L9" s="26">
        <v>5.5</v>
      </c>
      <c r="M9" s="21">
        <f t="shared" si="1"/>
        <v>8.75</v>
      </c>
      <c r="N9" s="26">
        <v>15.75</v>
      </c>
      <c r="O9" s="26">
        <v>16.0</v>
      </c>
      <c r="P9" s="22">
        <f t="shared" si="2"/>
        <v>15.875</v>
      </c>
      <c r="Q9" s="27"/>
      <c r="R9" s="27"/>
      <c r="S9" s="27"/>
      <c r="T9" s="27"/>
      <c r="U9" s="28"/>
      <c r="V9" s="35"/>
    </row>
    <row r="10">
      <c r="A10" s="25" t="s">
        <v>27</v>
      </c>
      <c r="B10" s="26" t="s">
        <v>41</v>
      </c>
      <c r="C10" s="31" t="s">
        <v>42</v>
      </c>
      <c r="D10" s="26" t="s">
        <v>43</v>
      </c>
      <c r="E10" s="26" t="s">
        <v>31</v>
      </c>
      <c r="F10" s="27">
        <v>5.0</v>
      </c>
      <c r="G10" s="27">
        <v>2022.0</v>
      </c>
      <c r="H10" s="27">
        <v>1.0</v>
      </c>
      <c r="I10" s="27">
        <v>5.0</v>
      </c>
      <c r="J10" s="20" t="str">
        <f>[1]!Tableau2[[#This Row],[Annee d''inscription au programme]]&amp;"-"&amp;[1]!Tableau2[[#This Row],[Code d''ecole]]&amp;"-"&amp;[1]!Tableau2[[#This Row],[Numero HM de la fille]]</f>
        <v>#ERROR!</v>
      </c>
      <c r="K10" s="26">
        <v>8.5</v>
      </c>
      <c r="L10" s="26">
        <v>5.0</v>
      </c>
      <c r="M10" s="21">
        <f t="shared" si="1"/>
        <v>6.75</v>
      </c>
      <c r="N10" s="26">
        <v>18.5</v>
      </c>
      <c r="O10" s="26">
        <v>10.0</v>
      </c>
      <c r="P10" s="22">
        <f t="shared" si="2"/>
        <v>14.25</v>
      </c>
      <c r="Q10" s="27"/>
      <c r="R10" s="27"/>
      <c r="S10" s="27"/>
      <c r="T10" s="27"/>
      <c r="U10" s="28"/>
      <c r="V10" s="35"/>
    </row>
    <row r="11">
      <c r="A11" s="25" t="s">
        <v>27</v>
      </c>
      <c r="B11" s="25" t="s">
        <v>44</v>
      </c>
      <c r="C11" s="31" t="s">
        <v>45</v>
      </c>
      <c r="D11" s="25" t="s">
        <v>46</v>
      </c>
      <c r="E11" s="26" t="s">
        <v>31</v>
      </c>
      <c r="F11" s="27">
        <v>6.0</v>
      </c>
      <c r="G11" s="27">
        <v>2022.0</v>
      </c>
      <c r="H11" s="27">
        <v>1.0</v>
      </c>
      <c r="I11" s="27">
        <v>6.0</v>
      </c>
      <c r="J11" s="32" t="str">
        <f>[1]!Tableau2[[#This Row],[Annee d''inscription au programme]]&amp;"-"&amp;[1]!Tableau2[[#This Row],[Code d''ecole]]&amp;"-"&amp;[1]!Tableau2[[#This Row],[Numero HM de la fille]]</f>
        <v>#ERROR!</v>
      </c>
      <c r="K11" s="26">
        <v>5.0</v>
      </c>
      <c r="L11" s="26">
        <v>4.0</v>
      </c>
      <c r="M11" s="21">
        <f t="shared" si="1"/>
        <v>4.5</v>
      </c>
      <c r="N11" s="26">
        <v>15.5</v>
      </c>
      <c r="O11" s="26">
        <v>14.0</v>
      </c>
      <c r="P11" s="22">
        <f t="shared" si="2"/>
        <v>14.75</v>
      </c>
      <c r="Q11" s="33"/>
      <c r="R11" s="33"/>
      <c r="S11" s="33"/>
      <c r="T11" s="33"/>
      <c r="U11" s="34"/>
      <c r="V11" s="35"/>
    </row>
    <row r="12">
      <c r="A12" s="25" t="s">
        <v>27</v>
      </c>
      <c r="B12" s="25" t="s">
        <v>47</v>
      </c>
      <c r="C12" s="31" t="s">
        <v>48</v>
      </c>
      <c r="D12" s="25" t="s">
        <v>49</v>
      </c>
      <c r="E12" s="26" t="s">
        <v>31</v>
      </c>
      <c r="F12" s="27">
        <v>7.0</v>
      </c>
      <c r="G12" s="27">
        <v>2022.0</v>
      </c>
      <c r="H12" s="27">
        <v>1.0</v>
      </c>
      <c r="I12" s="27">
        <v>7.0</v>
      </c>
      <c r="J12" s="32" t="str">
        <f>[1]!Tableau2[[#This Row],[Annee d''inscription au programme]]&amp;"-"&amp;[1]!Tableau2[[#This Row],[Code d''ecole]]&amp;"-"&amp;[1]!Tableau2[[#This Row],[Numero HM de la fille]]</f>
        <v>#ERROR!</v>
      </c>
      <c r="K12" s="26">
        <v>6.0</v>
      </c>
      <c r="L12" s="26">
        <v>5.0</v>
      </c>
      <c r="M12" s="21">
        <f t="shared" si="1"/>
        <v>5.5</v>
      </c>
      <c r="N12" s="26">
        <v>18.0</v>
      </c>
      <c r="O12" s="26">
        <v>15.0</v>
      </c>
      <c r="P12" s="22">
        <f t="shared" si="2"/>
        <v>16.5</v>
      </c>
      <c r="Q12" s="33"/>
      <c r="R12" s="33"/>
      <c r="S12" s="33"/>
      <c r="T12" s="33"/>
      <c r="U12" s="34"/>
      <c r="V12" s="35"/>
    </row>
    <row r="13">
      <c r="A13" s="25" t="s">
        <v>27</v>
      </c>
      <c r="B13" s="25" t="s">
        <v>50</v>
      </c>
      <c r="C13" s="31" t="s">
        <v>51</v>
      </c>
      <c r="D13" s="25" t="s">
        <v>52</v>
      </c>
      <c r="E13" s="26" t="s">
        <v>31</v>
      </c>
      <c r="F13" s="27">
        <v>8.0</v>
      </c>
      <c r="G13" s="27">
        <v>2022.0</v>
      </c>
      <c r="H13" s="27">
        <v>1.0</v>
      </c>
      <c r="I13" s="27">
        <v>8.0</v>
      </c>
      <c r="J13" s="32" t="str">
        <f>[1]!Tableau2[[#This Row],[Annee d''inscription au programme]]&amp;"-"&amp;[1]!Tableau2[[#This Row],[Code d''ecole]]&amp;"-"&amp;[1]!Tableau2[[#This Row],[Numero HM de la fille]]</f>
        <v>#ERROR!</v>
      </c>
      <c r="K13" s="26">
        <v>8.0</v>
      </c>
      <c r="L13" s="26">
        <v>6.0</v>
      </c>
      <c r="M13" s="21">
        <f t="shared" si="1"/>
        <v>7</v>
      </c>
      <c r="N13" s="26">
        <v>13.0</v>
      </c>
      <c r="O13" s="26">
        <v>15.5</v>
      </c>
      <c r="P13" s="22">
        <f t="shared" si="2"/>
        <v>14.25</v>
      </c>
      <c r="Q13" s="33"/>
      <c r="R13" s="33"/>
      <c r="S13" s="33"/>
      <c r="T13" s="33"/>
      <c r="U13" s="34"/>
      <c r="V13" s="35"/>
    </row>
    <row r="14">
      <c r="A14" s="25" t="s">
        <v>27</v>
      </c>
      <c r="B14" s="25" t="s">
        <v>53</v>
      </c>
      <c r="C14" s="31" t="s">
        <v>51</v>
      </c>
      <c r="D14" s="25" t="s">
        <v>54</v>
      </c>
      <c r="E14" s="26" t="s">
        <v>31</v>
      </c>
      <c r="F14" s="27">
        <v>9.0</v>
      </c>
      <c r="G14" s="27">
        <v>2022.0</v>
      </c>
      <c r="H14" s="27">
        <v>1.0</v>
      </c>
      <c r="I14" s="27">
        <v>9.0</v>
      </c>
      <c r="J14" s="32" t="str">
        <f>[1]!Tableau2[[#This Row],[Annee d''inscription au programme]]&amp;"-"&amp;[1]!Tableau2[[#This Row],[Code d''ecole]]&amp;"-"&amp;[1]!Tableau2[[#This Row],[Numero HM de la fille]]</f>
        <v>#ERROR!</v>
      </c>
      <c r="K14" s="26"/>
      <c r="L14" s="26"/>
      <c r="M14" s="21">
        <f t="shared" si="1"/>
        <v>0</v>
      </c>
      <c r="N14" s="26">
        <v>9.0</v>
      </c>
      <c r="O14" s="26">
        <v>16.5</v>
      </c>
      <c r="P14" s="22">
        <f t="shared" si="2"/>
        <v>12.75</v>
      </c>
      <c r="Q14" s="33"/>
      <c r="R14" s="33"/>
      <c r="S14" s="33"/>
      <c r="T14" s="33"/>
      <c r="U14" s="34"/>
      <c r="V14" s="35"/>
    </row>
    <row r="15">
      <c r="A15" s="25" t="s">
        <v>27</v>
      </c>
      <c r="B15" s="25" t="s">
        <v>55</v>
      </c>
      <c r="C15" s="31" t="s">
        <v>56</v>
      </c>
      <c r="D15" s="25" t="s">
        <v>57</v>
      </c>
      <c r="E15" s="26" t="s">
        <v>31</v>
      </c>
      <c r="F15" s="27">
        <v>10.0</v>
      </c>
      <c r="G15" s="27">
        <v>2022.0</v>
      </c>
      <c r="H15" s="27">
        <v>1.0</v>
      </c>
      <c r="I15" s="27">
        <v>10.0</v>
      </c>
      <c r="J15" s="32" t="str">
        <f>[1]!Tableau2[[#This Row],[Annee d''inscription au programme]]&amp;"-"&amp;[1]!Tableau2[[#This Row],[Code d''ecole]]&amp;"-"&amp;[1]!Tableau2[[#This Row],[Numero HM de la fille]]</f>
        <v>#ERROR!</v>
      </c>
      <c r="K15" s="26">
        <v>8.0</v>
      </c>
      <c r="L15" s="26">
        <v>3.0</v>
      </c>
      <c r="M15" s="21">
        <f t="shared" si="1"/>
        <v>5.5</v>
      </c>
      <c r="N15" s="26">
        <v>14.0</v>
      </c>
      <c r="O15" s="26">
        <v>16.0</v>
      </c>
      <c r="P15" s="22">
        <f t="shared" si="2"/>
        <v>15</v>
      </c>
      <c r="Q15" s="33"/>
      <c r="R15" s="33"/>
      <c r="S15" s="33"/>
      <c r="T15" s="33"/>
      <c r="U15" s="34"/>
      <c r="V15" s="35"/>
    </row>
    <row r="16">
      <c r="A16" s="25" t="s">
        <v>27</v>
      </c>
      <c r="B16" s="25" t="s">
        <v>58</v>
      </c>
      <c r="C16" s="31" t="s">
        <v>59</v>
      </c>
      <c r="D16" s="25" t="s">
        <v>60</v>
      </c>
      <c r="E16" s="26" t="s">
        <v>31</v>
      </c>
      <c r="F16" s="27">
        <v>11.0</v>
      </c>
      <c r="G16" s="27">
        <v>2022.0</v>
      </c>
      <c r="H16" s="27">
        <v>1.0</v>
      </c>
      <c r="I16" s="27">
        <v>11.0</v>
      </c>
      <c r="J16" s="32" t="str">
        <f>[1]!Tableau2[[#This Row],[Annee d''inscription au programme]]&amp;"-"&amp;[1]!Tableau2[[#This Row],[Code d''ecole]]&amp;"-"&amp;[1]!Tableau2[[#This Row],[Numero HM de la fille]]</f>
        <v>#ERROR!</v>
      </c>
      <c r="K16" s="26">
        <v>9.5</v>
      </c>
      <c r="L16" s="26">
        <v>4.5</v>
      </c>
      <c r="M16" s="21">
        <f t="shared" si="1"/>
        <v>7</v>
      </c>
      <c r="N16" s="26">
        <v>15.5</v>
      </c>
      <c r="O16" s="26">
        <v>15.0</v>
      </c>
      <c r="P16" s="22">
        <f t="shared" si="2"/>
        <v>15.25</v>
      </c>
      <c r="Q16" s="33"/>
      <c r="R16" s="33"/>
      <c r="S16" s="33"/>
      <c r="T16" s="33"/>
      <c r="U16" s="34"/>
      <c r="V16" s="35"/>
    </row>
    <row r="17">
      <c r="A17" s="25" t="s">
        <v>27</v>
      </c>
      <c r="B17" s="25" t="s">
        <v>61</v>
      </c>
      <c r="C17" s="31" t="s">
        <v>62</v>
      </c>
      <c r="D17" s="25" t="s">
        <v>63</v>
      </c>
      <c r="E17" s="26" t="s">
        <v>31</v>
      </c>
      <c r="F17" s="27">
        <v>12.0</v>
      </c>
      <c r="G17" s="27">
        <v>2022.0</v>
      </c>
      <c r="H17" s="27">
        <v>1.0</v>
      </c>
      <c r="I17" s="27">
        <v>12.0</v>
      </c>
      <c r="J17" s="32" t="str">
        <f>[1]!Tableau2[[#This Row],[Annee d''inscription au programme]]&amp;"-"&amp;[1]!Tableau2[[#This Row],[Code d''ecole]]&amp;"-"&amp;[1]!Tableau2[[#This Row],[Numero HM de la fille]]</f>
        <v>#ERROR!</v>
      </c>
      <c r="K17" s="26">
        <v>9.0</v>
      </c>
      <c r="L17" s="26">
        <v>7.0</v>
      </c>
      <c r="M17" s="21">
        <f t="shared" si="1"/>
        <v>8</v>
      </c>
      <c r="N17" s="26">
        <v>18.0</v>
      </c>
      <c r="O17" s="26">
        <v>18.5</v>
      </c>
      <c r="P17" s="22">
        <f t="shared" si="2"/>
        <v>18.25</v>
      </c>
      <c r="Q17" s="33"/>
      <c r="R17" s="33"/>
      <c r="S17" s="33"/>
      <c r="T17" s="33"/>
      <c r="U17" s="34"/>
      <c r="V17" s="35"/>
    </row>
    <row r="18">
      <c r="A18" s="25" t="s">
        <v>27</v>
      </c>
      <c r="B18" s="25" t="s">
        <v>64</v>
      </c>
      <c r="C18" s="31" t="s">
        <v>65</v>
      </c>
      <c r="D18" s="25" t="s">
        <v>66</v>
      </c>
      <c r="E18" s="26" t="s">
        <v>31</v>
      </c>
      <c r="F18" s="27">
        <v>13.0</v>
      </c>
      <c r="G18" s="27">
        <v>2022.0</v>
      </c>
      <c r="H18" s="27">
        <v>1.0</v>
      </c>
      <c r="I18" s="27">
        <v>13.0</v>
      </c>
      <c r="J18" s="32" t="str">
        <f>[1]!Tableau2[[#This Row],[Annee d''inscription au programme]]&amp;"-"&amp;[1]!Tableau2[[#This Row],[Code d''ecole]]&amp;"-"&amp;[1]!Tableau2[[#This Row],[Numero HM de la fille]]</f>
        <v>#ERROR!</v>
      </c>
      <c r="K18" s="26">
        <v>7.0</v>
      </c>
      <c r="L18" s="26">
        <v>5.5</v>
      </c>
      <c r="M18" s="21">
        <f t="shared" si="1"/>
        <v>6.25</v>
      </c>
      <c r="N18" s="26">
        <v>14.5</v>
      </c>
      <c r="O18" s="26">
        <v>13.5</v>
      </c>
      <c r="P18" s="22">
        <f t="shared" si="2"/>
        <v>14</v>
      </c>
      <c r="Q18" s="33"/>
      <c r="R18" s="33"/>
      <c r="S18" s="27"/>
      <c r="T18" s="33"/>
      <c r="U18" s="34"/>
      <c r="V18" s="35"/>
    </row>
    <row r="19">
      <c r="A19" s="25" t="s">
        <v>27</v>
      </c>
      <c r="B19" s="26" t="s">
        <v>67</v>
      </c>
      <c r="C19" s="36" t="s">
        <v>68</v>
      </c>
      <c r="D19" s="26" t="s">
        <v>69</v>
      </c>
      <c r="E19" s="26" t="s">
        <v>31</v>
      </c>
      <c r="F19" s="27">
        <v>14.0</v>
      </c>
      <c r="G19" s="27">
        <v>2022.0</v>
      </c>
      <c r="H19" s="27">
        <v>1.0</v>
      </c>
      <c r="I19" s="27">
        <v>14.0</v>
      </c>
      <c r="J19" s="20" t="str">
        <f>[1]!Tableau2[[#This Row],[Annee d''inscription au programme]]&amp;"-"&amp;[1]!Tableau2[[#This Row],[Code d''ecole]]&amp;"-"&amp;[1]!Tableau2[[#This Row],[Numero HM de la fille]]</f>
        <v>#ERROR!</v>
      </c>
      <c r="K19" s="26">
        <v>1.0</v>
      </c>
      <c r="L19" s="26">
        <v>2.5</v>
      </c>
      <c r="M19" s="21">
        <f t="shared" si="1"/>
        <v>1.75</v>
      </c>
      <c r="N19" s="26">
        <v>10.25</v>
      </c>
      <c r="O19" s="26">
        <v>12.5</v>
      </c>
      <c r="P19" s="22">
        <f t="shared" si="2"/>
        <v>11.375</v>
      </c>
      <c r="Q19" s="27"/>
      <c r="R19" s="27"/>
      <c r="S19" s="27"/>
      <c r="T19" s="27"/>
      <c r="U19" s="28"/>
      <c r="V19" s="35"/>
    </row>
    <row r="20">
      <c r="A20" s="25" t="s">
        <v>27</v>
      </c>
      <c r="B20" s="26" t="s">
        <v>70</v>
      </c>
      <c r="C20" s="36" t="s">
        <v>71</v>
      </c>
      <c r="D20" s="26" t="s">
        <v>72</v>
      </c>
      <c r="E20" s="26" t="s">
        <v>31</v>
      </c>
      <c r="F20" s="27">
        <v>15.0</v>
      </c>
      <c r="G20" s="27">
        <v>2022.0</v>
      </c>
      <c r="H20" s="27">
        <v>1.0</v>
      </c>
      <c r="I20" s="27">
        <v>15.0</v>
      </c>
      <c r="J20" s="20" t="str">
        <f>[1]!Tableau2[[#This Row],[Annee d''inscription au programme]]&amp;"-"&amp;[1]!Tableau2[[#This Row],[Code d''ecole]]&amp;"-"&amp;[1]!Tableau2[[#This Row],[Numero HM de la fille]]</f>
        <v>#ERROR!</v>
      </c>
      <c r="K20" s="26">
        <v>6.0</v>
      </c>
      <c r="L20" s="26">
        <v>5.0</v>
      </c>
      <c r="M20" s="21">
        <f t="shared" si="1"/>
        <v>5.5</v>
      </c>
      <c r="N20" s="26">
        <v>15.0</v>
      </c>
      <c r="O20" s="26">
        <v>14.25</v>
      </c>
      <c r="P20" s="22">
        <f t="shared" si="2"/>
        <v>14.625</v>
      </c>
      <c r="Q20" s="27"/>
      <c r="R20" s="27"/>
      <c r="S20" s="27"/>
      <c r="T20" s="27"/>
      <c r="U20" s="28"/>
      <c r="V20" s="35"/>
    </row>
    <row r="21" ht="15.75" customHeight="1">
      <c r="A21" s="25" t="s">
        <v>27</v>
      </c>
      <c r="B21" s="26" t="s">
        <v>73</v>
      </c>
      <c r="C21" s="36" t="s">
        <v>33</v>
      </c>
      <c r="D21" s="26" t="s">
        <v>74</v>
      </c>
      <c r="E21" s="26" t="s">
        <v>31</v>
      </c>
      <c r="F21" s="27">
        <v>16.0</v>
      </c>
      <c r="G21" s="27">
        <v>2022.0</v>
      </c>
      <c r="H21" s="27">
        <v>1.0</v>
      </c>
      <c r="I21" s="27">
        <v>16.0</v>
      </c>
      <c r="J21" s="20" t="str">
        <f>[1]!Tableau2[[#This Row],[Annee d''inscription au programme]]&amp;"-"&amp;[1]!Tableau2[[#This Row],[Code d''ecole]]&amp;"-"&amp;[1]!Tableau2[[#This Row],[Numero HM de la fille]]</f>
        <v>#ERROR!</v>
      </c>
      <c r="K21" s="26">
        <v>9.0</v>
      </c>
      <c r="L21" s="26">
        <v>5.0</v>
      </c>
      <c r="M21" s="21">
        <f t="shared" si="1"/>
        <v>7</v>
      </c>
      <c r="N21" s="26">
        <v>15.0</v>
      </c>
      <c r="O21" s="26">
        <v>14.25</v>
      </c>
      <c r="P21" s="22">
        <f t="shared" si="2"/>
        <v>14.625</v>
      </c>
      <c r="Q21" s="27"/>
      <c r="R21" s="27"/>
      <c r="S21" s="27"/>
      <c r="T21" s="27"/>
      <c r="U21" s="28"/>
      <c r="V21" s="35"/>
    </row>
    <row r="22" ht="15.75" customHeight="1">
      <c r="A22" s="25" t="s">
        <v>27</v>
      </c>
      <c r="B22" s="26" t="s">
        <v>75</v>
      </c>
      <c r="C22" s="36" t="s">
        <v>76</v>
      </c>
      <c r="D22" s="26" t="s">
        <v>77</v>
      </c>
      <c r="E22" s="26" t="s">
        <v>31</v>
      </c>
      <c r="F22" s="27">
        <v>17.0</v>
      </c>
      <c r="G22" s="27">
        <v>2022.0</v>
      </c>
      <c r="H22" s="27">
        <v>1.0</v>
      </c>
      <c r="I22" s="27">
        <v>17.0</v>
      </c>
      <c r="J22" s="20" t="str">
        <f>[1]!Tableau2[[#This Row],[Annee d''inscription au programme]]&amp;"-"&amp;[1]!Tableau2[[#This Row],[Code d''ecole]]&amp;"-"&amp;[1]!Tableau2[[#This Row],[Numero HM de la fille]]</f>
        <v>#ERROR!</v>
      </c>
      <c r="K22" s="26">
        <v>5.0</v>
      </c>
      <c r="L22" s="26">
        <v>4.0</v>
      </c>
      <c r="M22" s="21">
        <f t="shared" si="1"/>
        <v>4.5</v>
      </c>
      <c r="N22" s="26">
        <v>10.0</v>
      </c>
      <c r="O22" s="26">
        <v>15.75</v>
      </c>
      <c r="P22" s="22">
        <f t="shared" si="2"/>
        <v>12.875</v>
      </c>
      <c r="Q22" s="27"/>
      <c r="R22" s="27"/>
      <c r="S22" s="27"/>
      <c r="T22" s="27"/>
      <c r="U22" s="28"/>
      <c r="V22" s="35"/>
    </row>
    <row r="23" ht="15.75" customHeight="1">
      <c r="A23" s="25" t="s">
        <v>27</v>
      </c>
      <c r="B23" s="26" t="s">
        <v>78</v>
      </c>
      <c r="C23" s="36" t="s">
        <v>33</v>
      </c>
      <c r="D23" s="26" t="s">
        <v>79</v>
      </c>
      <c r="E23" s="26" t="s">
        <v>31</v>
      </c>
      <c r="F23" s="27">
        <v>18.0</v>
      </c>
      <c r="G23" s="27">
        <v>2022.0</v>
      </c>
      <c r="H23" s="27">
        <v>1.0</v>
      </c>
      <c r="I23" s="27">
        <v>18.0</v>
      </c>
      <c r="J23" s="20" t="str">
        <f>[1]!Tableau2[[#This Row],[Annee d''inscription au programme]]&amp;"-"&amp;[1]!Tableau2[[#This Row],[Code d''ecole]]&amp;"-"&amp;[1]!Tableau2[[#This Row],[Numero HM de la fille]]</f>
        <v>#ERROR!</v>
      </c>
      <c r="K23" s="26">
        <v>11.5</v>
      </c>
      <c r="L23" s="26">
        <v>6.0</v>
      </c>
      <c r="M23" s="21">
        <f t="shared" si="1"/>
        <v>8.75</v>
      </c>
      <c r="N23" s="26">
        <v>15.5</v>
      </c>
      <c r="O23" s="26">
        <v>14.0</v>
      </c>
      <c r="P23" s="22">
        <f t="shared" si="2"/>
        <v>14.75</v>
      </c>
      <c r="Q23" s="27"/>
      <c r="R23" s="27"/>
      <c r="S23" s="27"/>
      <c r="T23" s="27"/>
      <c r="U23" s="28"/>
      <c r="V23" s="35"/>
    </row>
    <row r="24" ht="15.75" customHeight="1">
      <c r="A24" s="25" t="s">
        <v>27</v>
      </c>
      <c r="B24" s="26" t="s">
        <v>80</v>
      </c>
      <c r="C24" s="31" t="s">
        <v>81</v>
      </c>
      <c r="D24" s="26" t="s">
        <v>82</v>
      </c>
      <c r="E24" s="26" t="s">
        <v>31</v>
      </c>
      <c r="F24" s="27">
        <v>19.0</v>
      </c>
      <c r="G24" s="27">
        <v>2022.0</v>
      </c>
      <c r="H24" s="27">
        <v>1.0</v>
      </c>
      <c r="I24" s="27">
        <v>19.0</v>
      </c>
      <c r="J24" s="20" t="str">
        <f>[1]!Tableau2[[#This Row],[Annee d''inscription au programme]]&amp;"-"&amp;[1]!Tableau2[[#This Row],[Code d''ecole]]&amp;"-"&amp;[1]!Tableau2[[#This Row],[Numero HM de la fille]]</f>
        <v>#ERROR!</v>
      </c>
      <c r="K24" s="26">
        <v>6.0</v>
      </c>
      <c r="L24" s="26">
        <v>2.5</v>
      </c>
      <c r="M24" s="21">
        <f t="shared" si="1"/>
        <v>4.25</v>
      </c>
      <c r="N24" s="26">
        <v>14.0</v>
      </c>
      <c r="O24" s="26">
        <v>15.0</v>
      </c>
      <c r="P24" s="22">
        <f t="shared" si="2"/>
        <v>14.5</v>
      </c>
      <c r="Q24" s="27"/>
      <c r="R24" s="27"/>
      <c r="S24" s="27"/>
      <c r="T24" s="27"/>
      <c r="U24" s="28"/>
      <c r="V24" s="35"/>
    </row>
    <row r="25" ht="15.75" customHeight="1">
      <c r="A25" s="25" t="s">
        <v>27</v>
      </c>
      <c r="B25" s="26" t="s">
        <v>83</v>
      </c>
      <c r="C25" s="31" t="s">
        <v>84</v>
      </c>
      <c r="D25" s="26" t="s">
        <v>85</v>
      </c>
      <c r="E25" s="26" t="s">
        <v>31</v>
      </c>
      <c r="F25" s="27">
        <v>20.0</v>
      </c>
      <c r="G25" s="27">
        <v>2022.0</v>
      </c>
      <c r="H25" s="27">
        <v>1.0</v>
      </c>
      <c r="I25" s="27">
        <v>20.0</v>
      </c>
      <c r="J25" s="20" t="str">
        <f>[1]!Tableau2[[#This Row],[Annee d''inscription au programme]]&amp;"-"&amp;[1]!Tableau2[[#This Row],[Code d''ecole]]&amp;"-"&amp;[1]!Tableau2[[#This Row],[Numero HM de la fille]]</f>
        <v>#ERROR!</v>
      </c>
      <c r="K25" s="26">
        <v>6.0</v>
      </c>
      <c r="L25" s="26">
        <v>3.0</v>
      </c>
      <c r="M25" s="21">
        <f t="shared" si="1"/>
        <v>4.5</v>
      </c>
      <c r="N25" s="26">
        <v>14.25</v>
      </c>
      <c r="O25" s="26">
        <v>16.5</v>
      </c>
      <c r="P25" s="22">
        <f t="shared" si="2"/>
        <v>15.375</v>
      </c>
      <c r="Q25" s="27"/>
      <c r="R25" s="27"/>
      <c r="S25" s="27"/>
      <c r="T25" s="27"/>
      <c r="U25" s="28"/>
      <c r="V25" s="35"/>
    </row>
    <row r="26" ht="15.75" customHeight="1">
      <c r="A26" s="25" t="s">
        <v>27</v>
      </c>
      <c r="B26" s="26" t="s">
        <v>86</v>
      </c>
      <c r="C26" s="31" t="s">
        <v>87</v>
      </c>
      <c r="D26" s="26" t="s">
        <v>88</v>
      </c>
      <c r="E26" s="26" t="s">
        <v>31</v>
      </c>
      <c r="F26" s="27">
        <v>21.0</v>
      </c>
      <c r="G26" s="27">
        <v>2022.0</v>
      </c>
      <c r="H26" s="27">
        <v>1.0</v>
      </c>
      <c r="I26" s="27">
        <v>21.0</v>
      </c>
      <c r="J26" s="20" t="str">
        <f>[1]!Tableau2[[#This Row],[Annee d''inscription au programme]]&amp;"-"&amp;[1]!Tableau2[[#This Row],[Code d''ecole]]&amp;"-"&amp;[1]!Tableau2[[#This Row],[Numero HM de la fille]]</f>
        <v>#ERROR!</v>
      </c>
      <c r="K26" s="26">
        <v>9.0</v>
      </c>
      <c r="L26" s="26">
        <v>6.5</v>
      </c>
      <c r="M26" s="21">
        <f t="shared" si="1"/>
        <v>7.75</v>
      </c>
      <c r="N26" s="26">
        <v>19.0</v>
      </c>
      <c r="O26" s="26">
        <v>15.5</v>
      </c>
      <c r="P26" s="22">
        <f t="shared" si="2"/>
        <v>17.25</v>
      </c>
      <c r="Q26" s="27"/>
      <c r="R26" s="27"/>
      <c r="S26" s="27"/>
      <c r="T26" s="27"/>
      <c r="U26" s="28"/>
      <c r="V26" s="35"/>
    </row>
    <row r="27" ht="15.75" customHeight="1">
      <c r="A27" s="25" t="s">
        <v>89</v>
      </c>
      <c r="B27" s="26" t="s">
        <v>90</v>
      </c>
      <c r="C27" s="31" t="s">
        <v>91</v>
      </c>
      <c r="D27" s="26" t="s">
        <v>92</v>
      </c>
      <c r="E27" s="26" t="s">
        <v>31</v>
      </c>
      <c r="F27" s="27">
        <v>22.0</v>
      </c>
      <c r="G27" s="27">
        <v>2022.0</v>
      </c>
      <c r="H27" s="27">
        <v>2.0</v>
      </c>
      <c r="I27" s="27">
        <v>22.0</v>
      </c>
      <c r="J27" s="20" t="str">
        <f>[1]!Tableau2[[#This Row],[Annee d''inscription au programme]]&amp;"-"&amp;[1]!Tableau2[[#This Row],[Code d''ecole]]&amp;"-"&amp;[1]!Tableau2[[#This Row],[Numero HM de la fille]]</f>
        <v>#ERROR!</v>
      </c>
      <c r="K27" s="26">
        <v>4.75</v>
      </c>
      <c r="L27" s="26">
        <v>12.25</v>
      </c>
      <c r="M27" s="21">
        <f t="shared" si="1"/>
        <v>8.5</v>
      </c>
      <c r="N27" s="26">
        <v>19.5</v>
      </c>
      <c r="O27" s="26">
        <v>14.75</v>
      </c>
      <c r="P27" s="22">
        <f t="shared" si="2"/>
        <v>17.125</v>
      </c>
      <c r="Q27" s="27"/>
      <c r="R27" s="27"/>
      <c r="S27" s="27"/>
      <c r="T27" s="27"/>
      <c r="U27" s="28"/>
      <c r="V27" s="35"/>
    </row>
    <row r="28" ht="15.75" customHeight="1">
      <c r="A28" s="25" t="s">
        <v>89</v>
      </c>
      <c r="B28" s="26" t="s">
        <v>93</v>
      </c>
      <c r="C28" s="31" t="s">
        <v>94</v>
      </c>
      <c r="D28" s="26" t="s">
        <v>95</v>
      </c>
      <c r="E28" s="26" t="s">
        <v>31</v>
      </c>
      <c r="F28" s="27">
        <v>23.0</v>
      </c>
      <c r="G28" s="27">
        <v>2022.0</v>
      </c>
      <c r="H28" s="27">
        <v>2.0</v>
      </c>
      <c r="I28" s="27">
        <v>23.0</v>
      </c>
      <c r="J28" s="20" t="str">
        <f>[1]!Tableau2[[#This Row],[Annee d''inscription au programme]]&amp;"-"&amp;[1]!Tableau2[[#This Row],[Code d''ecole]]&amp;"-"&amp;[1]!Tableau2[[#This Row],[Numero HM de la fille]]</f>
        <v>#ERROR!</v>
      </c>
      <c r="K28" s="26">
        <v>4.75</v>
      </c>
      <c r="L28" s="26">
        <v>9.0</v>
      </c>
      <c r="M28" s="21">
        <f t="shared" si="1"/>
        <v>6.875</v>
      </c>
      <c r="N28" s="26">
        <v>19.25</v>
      </c>
      <c r="O28" s="26">
        <v>16.0</v>
      </c>
      <c r="P28" s="22">
        <f t="shared" si="2"/>
        <v>17.625</v>
      </c>
      <c r="Q28" s="27"/>
      <c r="R28" s="27"/>
      <c r="S28" s="27"/>
      <c r="T28" s="27"/>
      <c r="U28" s="28"/>
      <c r="V28" s="35"/>
    </row>
    <row r="29" ht="14.25" customHeight="1">
      <c r="A29" s="25" t="s">
        <v>89</v>
      </c>
      <c r="B29" s="26" t="s">
        <v>96</v>
      </c>
      <c r="C29" s="31" t="s">
        <v>91</v>
      </c>
      <c r="D29" s="26" t="s">
        <v>97</v>
      </c>
      <c r="E29" s="26" t="s">
        <v>31</v>
      </c>
      <c r="F29" s="27">
        <v>24.0</v>
      </c>
      <c r="G29" s="27">
        <v>2022.0</v>
      </c>
      <c r="H29" s="27">
        <v>2.0</v>
      </c>
      <c r="I29" s="27">
        <v>24.0</v>
      </c>
      <c r="J29" s="20" t="str">
        <f>[1]!Tableau2[[#This Row],[Annee d''inscription au programme]]&amp;"-"&amp;[1]!Tableau2[[#This Row],[Code d''ecole]]&amp;"-"&amp;[1]!Tableau2[[#This Row],[Numero HM de la fille]]</f>
        <v>#ERROR!</v>
      </c>
      <c r="K29" s="26">
        <v>7.5</v>
      </c>
      <c r="L29" s="26">
        <v>5.0</v>
      </c>
      <c r="M29" s="21">
        <f t="shared" si="1"/>
        <v>6.25</v>
      </c>
      <c r="N29" s="26">
        <v>19.25</v>
      </c>
      <c r="O29" s="26">
        <v>15.5</v>
      </c>
      <c r="P29" s="22">
        <f t="shared" si="2"/>
        <v>17.375</v>
      </c>
      <c r="Q29" s="27"/>
      <c r="R29" s="27"/>
      <c r="S29" s="27"/>
      <c r="T29" s="27"/>
      <c r="U29" s="28"/>
      <c r="V29" s="35"/>
    </row>
    <row r="30" ht="2.25" hidden="1" customHeight="1">
      <c r="A30" s="25"/>
      <c r="B30" s="26"/>
      <c r="C30" s="31"/>
      <c r="D30" s="26"/>
      <c r="E30" s="26"/>
      <c r="F30" s="27"/>
      <c r="G30" s="27"/>
      <c r="H30" s="27"/>
      <c r="I30" s="27"/>
      <c r="J30" s="20"/>
      <c r="K30" s="26"/>
      <c r="L30" s="26"/>
      <c r="M30" s="21">
        <f t="shared" si="1"/>
        <v>0</v>
      </c>
      <c r="N30" s="27"/>
      <c r="O30" s="27"/>
      <c r="P30" s="22">
        <f t="shared" si="2"/>
        <v>0</v>
      </c>
      <c r="Q30" s="27"/>
      <c r="R30" s="27"/>
      <c r="S30" s="27"/>
      <c r="T30" s="27"/>
      <c r="V30" s="35"/>
    </row>
    <row r="31" ht="15.75" customHeight="1">
      <c r="A31" s="25" t="s">
        <v>89</v>
      </c>
      <c r="B31" s="26" t="s">
        <v>98</v>
      </c>
      <c r="C31" s="31" t="s">
        <v>94</v>
      </c>
      <c r="D31" s="26" t="s">
        <v>99</v>
      </c>
      <c r="E31" s="26" t="s">
        <v>31</v>
      </c>
      <c r="F31" s="27">
        <v>25.0</v>
      </c>
      <c r="G31" s="27">
        <v>2022.0</v>
      </c>
      <c r="H31" s="27">
        <v>2.0</v>
      </c>
      <c r="I31" s="27">
        <v>26.0</v>
      </c>
      <c r="J31" s="20" t="str">
        <f>[1]!Tableau2[[#This Row],[Annee d''inscription au programme]]&amp;"-"&amp;[1]!Tableau2[[#This Row],[Code d''ecole]]&amp;"-"&amp;[1]!Tableau2[[#This Row],[Numero HM de la fille]]</f>
        <v>#ERROR!</v>
      </c>
      <c r="K31" s="26"/>
      <c r="L31" s="26"/>
      <c r="M31" s="21">
        <f t="shared" si="1"/>
        <v>0</v>
      </c>
      <c r="N31" s="26"/>
      <c r="O31" s="26"/>
      <c r="P31" s="22">
        <f t="shared" si="2"/>
        <v>0</v>
      </c>
      <c r="Q31" s="27"/>
      <c r="R31" s="27"/>
      <c r="S31" s="27"/>
      <c r="T31" s="27"/>
      <c r="U31" s="28"/>
      <c r="V31" s="35"/>
    </row>
    <row r="32" ht="15.75" customHeight="1">
      <c r="A32" s="25" t="s">
        <v>89</v>
      </c>
      <c r="B32" s="26" t="s">
        <v>100</v>
      </c>
      <c r="C32" s="31" t="s">
        <v>91</v>
      </c>
      <c r="D32" s="26" t="s">
        <v>101</v>
      </c>
      <c r="E32" s="26" t="s">
        <v>31</v>
      </c>
      <c r="F32" s="27">
        <v>26.0</v>
      </c>
      <c r="G32" s="27">
        <v>2022.0</v>
      </c>
      <c r="H32" s="27">
        <v>2.0</v>
      </c>
      <c r="I32" s="27">
        <v>27.0</v>
      </c>
      <c r="J32" s="20" t="str">
        <f>[1]!Tableau2[[#This Row],[Annee d''inscription au programme]]&amp;"-"&amp;[1]!Tableau2[[#This Row],[Code d''ecole]]&amp;"-"&amp;[1]!Tableau2[[#This Row],[Numero HM de la fille]]</f>
        <v>#ERROR!</v>
      </c>
      <c r="K32" s="26">
        <v>4.5</v>
      </c>
      <c r="L32" s="26">
        <v>12.75</v>
      </c>
      <c r="M32" s="21">
        <f t="shared" si="1"/>
        <v>8.625</v>
      </c>
      <c r="N32" s="26">
        <v>16.5</v>
      </c>
      <c r="O32" s="26">
        <v>18.5</v>
      </c>
      <c r="P32" s="22">
        <f t="shared" si="2"/>
        <v>17.5</v>
      </c>
      <c r="Q32" s="27"/>
      <c r="R32" s="27"/>
      <c r="S32" s="27"/>
      <c r="T32" s="27"/>
      <c r="U32" s="28"/>
      <c r="V32" s="35"/>
    </row>
    <row r="33" ht="15.75" customHeight="1">
      <c r="A33" s="25" t="s">
        <v>89</v>
      </c>
      <c r="B33" s="26" t="s">
        <v>102</v>
      </c>
      <c r="C33" s="31" t="s">
        <v>91</v>
      </c>
      <c r="D33" s="26" t="s">
        <v>103</v>
      </c>
      <c r="E33" s="26" t="s">
        <v>31</v>
      </c>
      <c r="F33" s="27">
        <v>27.0</v>
      </c>
      <c r="G33" s="27">
        <v>2022.0</v>
      </c>
      <c r="H33" s="27">
        <v>2.0</v>
      </c>
      <c r="I33" s="27">
        <v>28.0</v>
      </c>
      <c r="J33" s="20" t="str">
        <f>[1]!Tableau2[[#This Row],[Annee d''inscription au programme]]&amp;"-"&amp;[1]!Tableau2[[#This Row],[Code d''ecole]]&amp;"-"&amp;[1]!Tableau2[[#This Row],[Numero HM de la fille]]</f>
        <v>#ERROR!</v>
      </c>
      <c r="K33" s="26">
        <v>7.25</v>
      </c>
      <c r="L33" s="26">
        <v>5.0</v>
      </c>
      <c r="M33" s="21">
        <f t="shared" si="1"/>
        <v>6.125</v>
      </c>
      <c r="N33" s="26">
        <v>17.25</v>
      </c>
      <c r="O33" s="26">
        <v>14.5</v>
      </c>
      <c r="P33" s="22">
        <f t="shared" si="2"/>
        <v>15.875</v>
      </c>
      <c r="Q33" s="27"/>
      <c r="R33" s="27"/>
      <c r="S33" s="27"/>
      <c r="T33" s="27"/>
      <c r="U33" s="28"/>
      <c r="V33" s="35"/>
    </row>
    <row r="34" ht="15.75" customHeight="1">
      <c r="A34" s="25" t="s">
        <v>89</v>
      </c>
      <c r="B34" s="26" t="s">
        <v>104</v>
      </c>
      <c r="C34" s="31" t="s">
        <v>91</v>
      </c>
      <c r="D34" s="26" t="s">
        <v>105</v>
      </c>
      <c r="E34" s="26" t="s">
        <v>31</v>
      </c>
      <c r="F34" s="27">
        <v>28.0</v>
      </c>
      <c r="G34" s="27">
        <v>2022.0</v>
      </c>
      <c r="H34" s="27">
        <v>2.0</v>
      </c>
      <c r="I34" s="27">
        <v>29.0</v>
      </c>
      <c r="J34" s="20" t="str">
        <f>[1]!Tableau2[[#This Row],[Annee d''inscription au programme]]&amp;"-"&amp;[1]!Tableau2[[#This Row],[Code d''ecole]]&amp;"-"&amp;[1]!Tableau2[[#This Row],[Numero HM de la fille]]</f>
        <v>#ERROR!</v>
      </c>
      <c r="K34" s="26">
        <v>2.25</v>
      </c>
      <c r="L34" s="26">
        <v>4.0</v>
      </c>
      <c r="M34" s="21">
        <f t="shared" si="1"/>
        <v>3.125</v>
      </c>
      <c r="N34" s="26">
        <v>17.0</v>
      </c>
      <c r="O34" s="26">
        <v>14.4</v>
      </c>
      <c r="P34" s="22">
        <f t="shared" si="2"/>
        <v>15.7</v>
      </c>
      <c r="Q34" s="27"/>
      <c r="R34" s="27"/>
      <c r="S34" s="27"/>
      <c r="T34" s="27"/>
      <c r="U34" s="28"/>
      <c r="V34" s="35"/>
    </row>
    <row r="35" ht="15.75" customHeight="1">
      <c r="A35" s="25" t="s">
        <v>89</v>
      </c>
      <c r="B35" s="26" t="s">
        <v>106</v>
      </c>
      <c r="C35" s="26" t="s">
        <v>91</v>
      </c>
      <c r="D35" s="31" t="s">
        <v>107</v>
      </c>
      <c r="E35" s="26" t="s">
        <v>31</v>
      </c>
      <c r="F35" s="27">
        <v>29.0</v>
      </c>
      <c r="G35" s="27">
        <v>2022.0</v>
      </c>
      <c r="H35" s="27">
        <v>2.0</v>
      </c>
      <c r="I35" s="27">
        <v>30.0</v>
      </c>
      <c r="J35" s="20" t="str">
        <f>[1]!Tableau2[[#This Row],[Annee d''inscription au programme]]&amp;"-"&amp;[1]!Tableau2[[#This Row],[Code d''ecole]]&amp;"-"&amp;[1]!Tableau2[[#This Row],[Numero HM de la fille]]</f>
        <v>#ERROR!</v>
      </c>
      <c r="K35" s="26">
        <v>7.25</v>
      </c>
      <c r="L35" s="26">
        <v>7.75</v>
      </c>
      <c r="M35" s="21">
        <f t="shared" si="1"/>
        <v>7.5</v>
      </c>
      <c r="N35" s="26">
        <v>16.25</v>
      </c>
      <c r="O35" s="26">
        <v>14.0</v>
      </c>
      <c r="P35" s="22">
        <f t="shared" si="2"/>
        <v>15.125</v>
      </c>
      <c r="Q35" s="27"/>
      <c r="R35" s="27"/>
      <c r="S35" s="27"/>
      <c r="T35" s="27"/>
      <c r="U35" s="28"/>
      <c r="V35" s="35"/>
    </row>
    <row r="36" ht="15.75" customHeight="1">
      <c r="A36" s="25" t="s">
        <v>89</v>
      </c>
      <c r="B36" s="26" t="s">
        <v>108</v>
      </c>
      <c r="C36" s="26" t="s">
        <v>94</v>
      </c>
      <c r="D36" s="31" t="s">
        <v>109</v>
      </c>
      <c r="E36" s="26" t="s">
        <v>31</v>
      </c>
      <c r="F36" s="27">
        <v>30.0</v>
      </c>
      <c r="G36" s="27">
        <v>2022.0</v>
      </c>
      <c r="H36" s="27">
        <v>2.0</v>
      </c>
      <c r="I36" s="27">
        <v>31.0</v>
      </c>
      <c r="J36" s="20" t="str">
        <f>[1]!Tableau2[[#This Row],[Annee d''inscription au programme]]&amp;"-"&amp;[1]!Tableau2[[#This Row],[Code d''ecole]]&amp;"-"&amp;[1]!Tableau2[[#This Row],[Numero HM de la fille]]</f>
        <v>#ERROR!</v>
      </c>
      <c r="K36" s="26">
        <v>2.5</v>
      </c>
      <c r="L36" s="26">
        <v>12.25</v>
      </c>
      <c r="M36" s="21">
        <f t="shared" si="1"/>
        <v>7.375</v>
      </c>
      <c r="N36" s="26">
        <v>18.25</v>
      </c>
      <c r="O36" s="26">
        <v>15.0</v>
      </c>
      <c r="P36" s="22">
        <f t="shared" si="2"/>
        <v>16.625</v>
      </c>
      <c r="Q36" s="27"/>
      <c r="R36" s="27"/>
      <c r="S36" s="27"/>
      <c r="T36" s="27"/>
      <c r="U36" s="28"/>
      <c r="V36" s="35"/>
    </row>
    <row r="37" ht="15.75" customHeight="1">
      <c r="A37" s="25" t="s">
        <v>89</v>
      </c>
      <c r="B37" s="26" t="s">
        <v>110</v>
      </c>
      <c r="C37" s="31" t="s">
        <v>94</v>
      </c>
      <c r="D37" s="26" t="s">
        <v>111</v>
      </c>
      <c r="E37" s="26" t="s">
        <v>31</v>
      </c>
      <c r="F37" s="27">
        <v>31.0</v>
      </c>
      <c r="G37" s="27">
        <v>2022.0</v>
      </c>
      <c r="H37" s="27">
        <v>2.0</v>
      </c>
      <c r="I37" s="27">
        <v>32.0</v>
      </c>
      <c r="J37" s="20" t="str">
        <f>[1]!Tableau2[[#This Row],[Annee d''inscription au programme]]&amp;"-"&amp;[1]!Tableau2[[#This Row],[Code d''ecole]]&amp;"-"&amp;[1]!Tableau2[[#This Row],[Numero HM de la fille]]</f>
        <v>#ERROR!</v>
      </c>
      <c r="K37" s="26">
        <v>2.5</v>
      </c>
      <c r="L37" s="26">
        <v>8.75</v>
      </c>
      <c r="M37" s="21">
        <f t="shared" si="1"/>
        <v>5.625</v>
      </c>
      <c r="N37" s="26">
        <v>17.75</v>
      </c>
      <c r="O37" s="26">
        <v>16.0</v>
      </c>
      <c r="P37" s="22">
        <f t="shared" si="2"/>
        <v>16.875</v>
      </c>
      <c r="Q37" s="27"/>
      <c r="R37" s="27"/>
      <c r="S37" s="27"/>
      <c r="T37" s="27"/>
      <c r="U37" s="28"/>
      <c r="V37" s="35"/>
    </row>
    <row r="38" ht="15.75" customHeight="1">
      <c r="A38" s="25" t="s">
        <v>89</v>
      </c>
      <c r="B38" s="26" t="s">
        <v>112</v>
      </c>
      <c r="C38" s="31" t="s">
        <v>91</v>
      </c>
      <c r="D38" s="26" t="s">
        <v>113</v>
      </c>
      <c r="E38" s="26" t="s">
        <v>31</v>
      </c>
      <c r="F38" s="27">
        <v>32.0</v>
      </c>
      <c r="G38" s="27">
        <v>2022.0</v>
      </c>
      <c r="H38" s="27">
        <v>2.0</v>
      </c>
      <c r="I38" s="27">
        <v>33.0</v>
      </c>
      <c r="J38" s="20" t="str">
        <f>[1]!Tableau2[[#This Row],[Annee d''inscription au programme]]&amp;"-"&amp;[1]!Tableau2[[#This Row],[Code d''ecole]]&amp;"-"&amp;[1]!Tableau2[[#This Row],[Numero HM de la fille]]</f>
        <v>#ERROR!</v>
      </c>
      <c r="K38" s="26"/>
      <c r="L38" s="26"/>
      <c r="M38" s="21">
        <f t="shared" si="1"/>
        <v>0</v>
      </c>
      <c r="N38" s="26"/>
      <c r="O38" s="26"/>
      <c r="P38" s="22">
        <f t="shared" si="2"/>
        <v>0</v>
      </c>
      <c r="Q38" s="27"/>
      <c r="R38" s="27"/>
      <c r="S38" s="27"/>
      <c r="T38" s="27"/>
      <c r="U38" s="28"/>
      <c r="V38" s="35"/>
    </row>
    <row r="39" ht="18.0" customHeight="1">
      <c r="A39" s="25" t="s">
        <v>89</v>
      </c>
      <c r="B39" s="26" t="s">
        <v>114</v>
      </c>
      <c r="C39" s="31" t="s">
        <v>94</v>
      </c>
      <c r="D39" s="26" t="s">
        <v>115</v>
      </c>
      <c r="E39" s="26" t="s">
        <v>31</v>
      </c>
      <c r="F39" s="27">
        <v>33.0</v>
      </c>
      <c r="G39" s="27">
        <v>2022.0</v>
      </c>
      <c r="H39" s="27">
        <v>2.0</v>
      </c>
      <c r="I39" s="27">
        <v>34.0</v>
      </c>
      <c r="J39" s="20" t="str">
        <f>[1]!Tableau2[[#This Row],[Annee d''inscription au programme]]&amp;"-"&amp;[1]!Tableau2[[#This Row],[Code d''ecole]]&amp;"-"&amp;[1]!Tableau2[[#This Row],[Numero HM de la fille]]</f>
        <v>#ERROR!</v>
      </c>
      <c r="K39" s="26">
        <v>6.5</v>
      </c>
      <c r="L39" s="26">
        <v>4.5</v>
      </c>
      <c r="M39" s="21">
        <f t="shared" si="1"/>
        <v>5.5</v>
      </c>
      <c r="N39" s="26">
        <v>17.0</v>
      </c>
      <c r="O39" s="26">
        <v>16.5</v>
      </c>
      <c r="P39" s="22">
        <f t="shared" si="2"/>
        <v>16.75</v>
      </c>
      <c r="Q39" s="27"/>
      <c r="R39" s="27"/>
      <c r="S39" s="27"/>
      <c r="T39" s="27"/>
      <c r="U39" s="28"/>
      <c r="V39" s="35"/>
    </row>
    <row r="40" ht="15.75" hidden="1" customHeight="1">
      <c r="A40" s="25"/>
      <c r="B40" s="26"/>
      <c r="C40" s="31"/>
      <c r="D40" s="26"/>
      <c r="E40" s="26"/>
      <c r="F40" s="27">
        <v>32.0</v>
      </c>
      <c r="G40" s="27"/>
      <c r="H40" s="27"/>
      <c r="I40" s="27"/>
      <c r="J40" s="20"/>
      <c r="K40" s="26"/>
      <c r="L40" s="26"/>
      <c r="M40" s="21">
        <f t="shared" si="1"/>
        <v>0</v>
      </c>
      <c r="N40" s="27"/>
      <c r="O40" s="27"/>
      <c r="P40" s="22">
        <f t="shared" si="2"/>
        <v>0</v>
      </c>
      <c r="Q40" s="27"/>
      <c r="R40" s="27"/>
      <c r="S40" s="27"/>
      <c r="T40" s="27"/>
      <c r="V40" s="35"/>
    </row>
    <row r="41" ht="15.75" customHeight="1">
      <c r="A41" s="25" t="s">
        <v>89</v>
      </c>
      <c r="B41" s="26" t="s">
        <v>116</v>
      </c>
      <c r="C41" s="31" t="s">
        <v>91</v>
      </c>
      <c r="D41" s="26" t="s">
        <v>117</v>
      </c>
      <c r="E41" s="26" t="s">
        <v>31</v>
      </c>
      <c r="F41" s="27">
        <v>34.0</v>
      </c>
      <c r="G41" s="27">
        <v>2022.0</v>
      </c>
      <c r="H41" s="27">
        <v>2.0</v>
      </c>
      <c r="I41" s="27">
        <v>36.0</v>
      </c>
      <c r="J41" s="20" t="str">
        <f>[1]!Tableau2[[#This Row],[Annee d''inscription au programme]]&amp;"-"&amp;[1]!Tableau2[[#This Row],[Code d''ecole]]&amp;"-"&amp;[1]!Tableau2[[#This Row],[Numero HM de la fille]]</f>
        <v>#ERROR!</v>
      </c>
      <c r="K41" s="26">
        <v>6.0</v>
      </c>
      <c r="L41" s="26">
        <v>8.75</v>
      </c>
      <c r="M41" s="21">
        <f t="shared" si="1"/>
        <v>7.375</v>
      </c>
      <c r="N41" s="26">
        <v>16.5</v>
      </c>
      <c r="O41" s="26">
        <v>16.5</v>
      </c>
      <c r="P41" s="22">
        <f t="shared" si="2"/>
        <v>16.5</v>
      </c>
      <c r="Q41" s="27"/>
      <c r="R41" s="27"/>
      <c r="S41" s="27"/>
      <c r="T41" s="27"/>
      <c r="U41" s="28"/>
      <c r="V41" s="35"/>
    </row>
    <row r="42" ht="15.75" customHeight="1">
      <c r="A42" s="25" t="s">
        <v>89</v>
      </c>
      <c r="B42" s="26" t="s">
        <v>118</v>
      </c>
      <c r="C42" s="31" t="s">
        <v>91</v>
      </c>
      <c r="D42" s="26" t="s">
        <v>119</v>
      </c>
      <c r="E42" s="26" t="s">
        <v>31</v>
      </c>
      <c r="F42" s="27">
        <v>35.0</v>
      </c>
      <c r="G42" s="27">
        <v>2022.0</v>
      </c>
      <c r="H42" s="27">
        <v>2.0</v>
      </c>
      <c r="I42" s="27">
        <v>37.0</v>
      </c>
      <c r="J42" s="20" t="str">
        <f>[1]!Tableau2[[#This Row],[Annee d''inscription au programme]]&amp;"-"&amp;[1]!Tableau2[[#This Row],[Code d''ecole]]&amp;"-"&amp;[1]!Tableau2[[#This Row],[Numero HM de la fille]]</f>
        <v>#ERROR!</v>
      </c>
      <c r="K42" s="26">
        <v>8.25</v>
      </c>
      <c r="L42" s="26">
        <v>7.25</v>
      </c>
      <c r="M42" s="21">
        <f t="shared" si="1"/>
        <v>7.75</v>
      </c>
      <c r="N42" s="26">
        <v>19.0</v>
      </c>
      <c r="O42" s="26">
        <v>17.0</v>
      </c>
      <c r="P42" s="22">
        <f t="shared" si="2"/>
        <v>18</v>
      </c>
      <c r="Q42" s="27"/>
      <c r="R42" s="27"/>
      <c r="S42" s="27"/>
      <c r="T42" s="27"/>
      <c r="U42" s="28"/>
      <c r="V42" s="35"/>
    </row>
    <row r="43" ht="15.75" customHeight="1">
      <c r="A43" s="25" t="s">
        <v>120</v>
      </c>
      <c r="B43" s="26" t="s">
        <v>121</v>
      </c>
      <c r="C43" s="31" t="s">
        <v>122</v>
      </c>
      <c r="D43" s="26" t="s">
        <v>123</v>
      </c>
      <c r="E43" s="26" t="s">
        <v>31</v>
      </c>
      <c r="F43" s="27">
        <v>36.0</v>
      </c>
      <c r="G43" s="27">
        <v>2022.0</v>
      </c>
      <c r="H43" s="27">
        <v>3.0</v>
      </c>
      <c r="I43" s="27">
        <v>38.0</v>
      </c>
      <c r="J43" s="20" t="str">
        <f>[1]!Tableau2[[#This Row],[Annee d''inscription au programme]]&amp;"-"&amp;[1]!Tableau2[[#This Row],[Code d''ecole]]&amp;"-"&amp;[1]!Tableau2[[#This Row],[Numero HM de la fille]]</f>
        <v>#ERROR!</v>
      </c>
      <c r="K43" s="26">
        <v>3.0</v>
      </c>
      <c r="L43" s="26">
        <v>0.0</v>
      </c>
      <c r="M43" s="21">
        <f t="shared" si="1"/>
        <v>1.5</v>
      </c>
      <c r="N43" s="26">
        <v>10.0</v>
      </c>
      <c r="O43" s="26">
        <v>14.5</v>
      </c>
      <c r="P43" s="22">
        <f t="shared" si="2"/>
        <v>12.25</v>
      </c>
      <c r="Q43" s="27"/>
      <c r="R43" s="27"/>
      <c r="S43" s="27"/>
      <c r="T43" s="27"/>
      <c r="U43" s="28"/>
      <c r="V43" s="35"/>
    </row>
    <row r="44" ht="15.75" customHeight="1">
      <c r="A44" s="25" t="s">
        <v>120</v>
      </c>
      <c r="B44" s="26" t="s">
        <v>124</v>
      </c>
      <c r="C44" s="31" t="s">
        <v>125</v>
      </c>
      <c r="D44" s="26" t="s">
        <v>126</v>
      </c>
      <c r="E44" s="26" t="s">
        <v>31</v>
      </c>
      <c r="F44" s="27">
        <v>37.0</v>
      </c>
      <c r="G44" s="27">
        <v>2022.0</v>
      </c>
      <c r="H44" s="27">
        <v>3.0</v>
      </c>
      <c r="I44" s="27">
        <v>39.0</v>
      </c>
      <c r="J44" s="20" t="str">
        <f>[1]!Tableau2[[#This Row],[Annee d''inscription au programme]]&amp;"-"&amp;[1]!Tableau2[[#This Row],[Code d''ecole]]&amp;"-"&amp;[1]!Tableau2[[#This Row],[Numero HM de la fille]]</f>
        <v>#ERROR!</v>
      </c>
      <c r="K44" s="26"/>
      <c r="L44" s="26"/>
      <c r="M44" s="21">
        <f t="shared" si="1"/>
        <v>0</v>
      </c>
      <c r="N44" s="26"/>
      <c r="O44" s="26"/>
      <c r="P44" s="22">
        <f t="shared" si="2"/>
        <v>0</v>
      </c>
      <c r="Q44" s="27"/>
      <c r="R44" s="27"/>
      <c r="S44" s="27"/>
      <c r="T44" s="27"/>
      <c r="U44" s="28"/>
      <c r="V44" s="35"/>
    </row>
    <row r="45" ht="15.75" customHeight="1">
      <c r="A45" s="25" t="s">
        <v>120</v>
      </c>
      <c r="B45" s="26" t="s">
        <v>127</v>
      </c>
      <c r="C45" s="31" t="s">
        <v>128</v>
      </c>
      <c r="D45" s="26" t="s">
        <v>129</v>
      </c>
      <c r="E45" s="26" t="s">
        <v>31</v>
      </c>
      <c r="F45" s="27">
        <v>38.0</v>
      </c>
      <c r="G45" s="27">
        <v>2022.0</v>
      </c>
      <c r="H45" s="27">
        <v>3.0</v>
      </c>
      <c r="I45" s="27">
        <v>40.0</v>
      </c>
      <c r="J45" s="20" t="str">
        <f>[1]!Tableau2[[#This Row],[Annee d''inscription au programme]]&amp;"-"&amp;[1]!Tableau2[[#This Row],[Code d''ecole]]&amp;"-"&amp;[1]!Tableau2[[#This Row],[Numero HM de la fille]]</f>
        <v>#ERROR!</v>
      </c>
      <c r="K45" s="26">
        <v>8.0</v>
      </c>
      <c r="L45" s="26">
        <v>9.5</v>
      </c>
      <c r="M45" s="21">
        <f t="shared" si="1"/>
        <v>8.75</v>
      </c>
      <c r="N45" s="26">
        <v>16.0</v>
      </c>
      <c r="O45" s="26">
        <v>15.5</v>
      </c>
      <c r="P45" s="22">
        <f t="shared" si="2"/>
        <v>15.75</v>
      </c>
      <c r="Q45" s="27"/>
      <c r="R45" s="27"/>
      <c r="S45" s="27"/>
      <c r="T45" s="27"/>
      <c r="U45" s="28"/>
      <c r="V45" s="35"/>
    </row>
    <row r="46" ht="15.75" customHeight="1">
      <c r="A46" s="25" t="s">
        <v>120</v>
      </c>
      <c r="B46" s="26" t="s">
        <v>130</v>
      </c>
      <c r="C46" s="31" t="s">
        <v>128</v>
      </c>
      <c r="D46" s="26" t="s">
        <v>131</v>
      </c>
      <c r="E46" s="26" t="s">
        <v>31</v>
      </c>
      <c r="F46" s="27">
        <v>39.0</v>
      </c>
      <c r="G46" s="27">
        <v>2022.0</v>
      </c>
      <c r="H46" s="27">
        <v>3.0</v>
      </c>
      <c r="I46" s="27">
        <v>41.0</v>
      </c>
      <c r="J46" s="20" t="str">
        <f>[1]!Tableau2[[#This Row],[Annee d''inscription au programme]]&amp;"-"&amp;[1]!Tableau2[[#This Row],[Code d''ecole]]&amp;"-"&amp;[1]!Tableau2[[#This Row],[Numero HM de la fille]]</f>
        <v>#ERROR!</v>
      </c>
      <c r="K46" s="26">
        <v>4.0</v>
      </c>
      <c r="L46" s="26">
        <v>1.0</v>
      </c>
      <c r="M46" s="21">
        <f t="shared" si="1"/>
        <v>2.5</v>
      </c>
      <c r="N46" s="26">
        <v>11.5</v>
      </c>
      <c r="O46" s="26">
        <v>14.0</v>
      </c>
      <c r="P46" s="22">
        <f t="shared" si="2"/>
        <v>12.75</v>
      </c>
      <c r="Q46" s="27"/>
      <c r="R46" s="27"/>
      <c r="S46" s="27"/>
      <c r="T46" s="27"/>
      <c r="U46" s="28"/>
      <c r="V46" s="35"/>
    </row>
    <row r="47" ht="15.75" customHeight="1">
      <c r="A47" s="25" t="s">
        <v>120</v>
      </c>
      <c r="B47" s="26" t="s">
        <v>132</v>
      </c>
      <c r="C47" s="31" t="s">
        <v>133</v>
      </c>
      <c r="D47" s="26" t="s">
        <v>134</v>
      </c>
      <c r="E47" s="26" t="s">
        <v>31</v>
      </c>
      <c r="F47" s="27">
        <v>40.0</v>
      </c>
      <c r="G47" s="27">
        <v>2022.0</v>
      </c>
      <c r="H47" s="27">
        <v>3.0</v>
      </c>
      <c r="I47" s="27">
        <v>42.0</v>
      </c>
      <c r="J47" s="20" t="str">
        <f>[1]!Tableau2[[#This Row],[Annee d''inscription au programme]]&amp;"-"&amp;[1]!Tableau2[[#This Row],[Code d''ecole]]&amp;"-"&amp;[1]!Tableau2[[#This Row],[Numero HM de la fille]]</f>
        <v>#ERROR!</v>
      </c>
      <c r="K47" s="26">
        <v>4.0</v>
      </c>
      <c r="L47" s="26">
        <v>2.0</v>
      </c>
      <c r="M47" s="21">
        <f t="shared" si="1"/>
        <v>3</v>
      </c>
      <c r="N47" s="26">
        <v>14.0</v>
      </c>
      <c r="O47" s="26">
        <v>18.0</v>
      </c>
      <c r="P47" s="22">
        <f t="shared" si="2"/>
        <v>16</v>
      </c>
      <c r="Q47" s="27"/>
      <c r="R47" s="27"/>
      <c r="S47" s="27"/>
      <c r="T47" s="27"/>
      <c r="U47" s="28"/>
      <c r="V47" s="35"/>
    </row>
    <row r="48" ht="15.75" customHeight="1">
      <c r="A48" s="25" t="s">
        <v>120</v>
      </c>
      <c r="B48" s="26" t="s">
        <v>135</v>
      </c>
      <c r="C48" s="31" t="s">
        <v>128</v>
      </c>
      <c r="D48" s="26" t="s">
        <v>136</v>
      </c>
      <c r="E48" s="26" t="s">
        <v>31</v>
      </c>
      <c r="F48" s="27">
        <v>41.0</v>
      </c>
      <c r="G48" s="27">
        <v>2022.0</v>
      </c>
      <c r="H48" s="27">
        <v>3.0</v>
      </c>
      <c r="I48" s="27">
        <v>43.0</v>
      </c>
      <c r="J48" s="20" t="str">
        <f>[1]!Tableau2[[#This Row],[Annee d''inscription au programme]]&amp;"-"&amp;[1]!Tableau2[[#This Row],[Code d''ecole]]&amp;"-"&amp;[1]!Tableau2[[#This Row],[Numero HM de la fille]]</f>
        <v>#ERROR!</v>
      </c>
      <c r="K48" s="26">
        <v>4.0</v>
      </c>
      <c r="L48" s="26">
        <v>1.5</v>
      </c>
      <c r="M48" s="21">
        <f t="shared" si="1"/>
        <v>2.75</v>
      </c>
      <c r="N48" s="26">
        <v>14.0</v>
      </c>
      <c r="O48" s="26">
        <v>10.0</v>
      </c>
      <c r="P48" s="22">
        <f t="shared" si="2"/>
        <v>12</v>
      </c>
      <c r="Q48" s="27"/>
      <c r="R48" s="27"/>
      <c r="S48" s="27"/>
      <c r="T48" s="27"/>
      <c r="U48" s="28"/>
      <c r="V48" s="35"/>
    </row>
    <row r="49" ht="15.75" customHeight="1">
      <c r="A49" s="25" t="s">
        <v>120</v>
      </c>
      <c r="B49" s="26" t="s">
        <v>137</v>
      </c>
      <c r="C49" s="31" t="s">
        <v>138</v>
      </c>
      <c r="D49" s="26" t="s">
        <v>139</v>
      </c>
      <c r="E49" s="26" t="s">
        <v>31</v>
      </c>
      <c r="F49" s="27">
        <v>42.0</v>
      </c>
      <c r="G49" s="27">
        <v>2022.0</v>
      </c>
      <c r="H49" s="27">
        <v>3.0</v>
      </c>
      <c r="I49" s="27">
        <v>44.0</v>
      </c>
      <c r="J49" s="20" t="str">
        <f>[1]!Tableau2[[#This Row],[Annee d''inscription au programme]]&amp;"-"&amp;[1]!Tableau2[[#This Row],[Code d''ecole]]&amp;"-"&amp;[1]!Tableau2[[#This Row],[Numero HM de la fille]]</f>
        <v>#ERROR!</v>
      </c>
      <c r="K49" s="26">
        <v>4.0</v>
      </c>
      <c r="L49" s="26">
        <v>2.5</v>
      </c>
      <c r="M49" s="21">
        <f t="shared" si="1"/>
        <v>3.25</v>
      </c>
      <c r="N49" s="26">
        <v>14.0</v>
      </c>
      <c r="O49" s="26">
        <v>18.0</v>
      </c>
      <c r="P49" s="22">
        <f t="shared" si="2"/>
        <v>16</v>
      </c>
      <c r="Q49" s="27"/>
      <c r="R49" s="27"/>
      <c r="S49" s="27"/>
      <c r="T49" s="27"/>
      <c r="U49" s="28"/>
      <c r="V49" s="35"/>
    </row>
    <row r="50" ht="15.75" customHeight="1">
      <c r="A50" s="25" t="s">
        <v>120</v>
      </c>
      <c r="B50" s="26" t="s">
        <v>140</v>
      </c>
      <c r="C50" s="31" t="s">
        <v>138</v>
      </c>
      <c r="D50" s="26" t="s">
        <v>141</v>
      </c>
      <c r="E50" s="26" t="s">
        <v>31</v>
      </c>
      <c r="F50" s="27">
        <v>43.0</v>
      </c>
      <c r="G50" s="27">
        <v>2022.0</v>
      </c>
      <c r="H50" s="27">
        <v>3.0</v>
      </c>
      <c r="I50" s="27">
        <v>45.0</v>
      </c>
      <c r="J50" s="20" t="str">
        <f>[1]!Tableau2[[#This Row],[Annee d''inscription au programme]]&amp;"-"&amp;[1]!Tableau2[[#This Row],[Code d''ecole]]&amp;"-"&amp;[1]!Tableau2[[#This Row],[Numero HM de la fille]]</f>
        <v>#ERROR!</v>
      </c>
      <c r="K50" s="26">
        <v>5.5</v>
      </c>
      <c r="L50" s="26">
        <v>7.5</v>
      </c>
      <c r="M50" s="21">
        <f t="shared" si="1"/>
        <v>6.5</v>
      </c>
      <c r="N50" s="26">
        <v>14.5</v>
      </c>
      <c r="O50" s="26">
        <v>14.0</v>
      </c>
      <c r="P50" s="22">
        <f t="shared" si="2"/>
        <v>14.25</v>
      </c>
      <c r="Q50" s="27"/>
      <c r="R50" s="27"/>
      <c r="S50" s="27"/>
      <c r="T50" s="27"/>
      <c r="U50" s="28"/>
      <c r="V50" s="35"/>
    </row>
    <row r="51" ht="15.75" customHeight="1">
      <c r="A51" s="25" t="s">
        <v>120</v>
      </c>
      <c r="B51" s="26" t="s">
        <v>142</v>
      </c>
      <c r="C51" s="31" t="s">
        <v>138</v>
      </c>
      <c r="D51" s="26" t="s">
        <v>143</v>
      </c>
      <c r="E51" s="26" t="s">
        <v>31</v>
      </c>
      <c r="F51" s="27">
        <v>44.0</v>
      </c>
      <c r="G51" s="27">
        <v>2022.0</v>
      </c>
      <c r="H51" s="27">
        <v>3.0</v>
      </c>
      <c r="I51" s="27">
        <v>46.0</v>
      </c>
      <c r="J51" s="20" t="str">
        <f>[1]!Tableau2[[#This Row],[Annee d''inscription au programme]]&amp;"-"&amp;[1]!Tableau2[[#This Row],[Code d''ecole]]&amp;"-"&amp;[1]!Tableau2[[#This Row],[Numero HM de la fille]]</f>
        <v>#ERROR!</v>
      </c>
      <c r="K51" s="26">
        <v>5.0</v>
      </c>
      <c r="L51" s="26">
        <v>2.0</v>
      </c>
      <c r="M51" s="21">
        <f t="shared" si="1"/>
        <v>3.5</v>
      </c>
      <c r="N51" s="26">
        <v>11.5</v>
      </c>
      <c r="O51" s="26">
        <v>17.0</v>
      </c>
      <c r="P51" s="22">
        <f t="shared" si="2"/>
        <v>14.25</v>
      </c>
      <c r="Q51" s="27"/>
      <c r="R51" s="27"/>
      <c r="S51" s="27"/>
      <c r="T51" s="27"/>
      <c r="U51" s="28"/>
      <c r="V51" s="35"/>
    </row>
    <row r="52" ht="15.75" customHeight="1">
      <c r="A52" s="25" t="s">
        <v>120</v>
      </c>
      <c r="B52" s="26" t="s">
        <v>144</v>
      </c>
      <c r="C52" s="31" t="s">
        <v>138</v>
      </c>
      <c r="D52" s="26" t="s">
        <v>145</v>
      </c>
      <c r="E52" s="26" t="s">
        <v>31</v>
      </c>
      <c r="F52" s="27">
        <v>45.0</v>
      </c>
      <c r="G52" s="27">
        <v>2022.0</v>
      </c>
      <c r="H52" s="27">
        <v>3.0</v>
      </c>
      <c r="I52" s="27">
        <v>47.0</v>
      </c>
      <c r="J52" s="20" t="str">
        <f>[1]!Tableau2[[#This Row],[Annee d''inscription au programme]]&amp;"-"&amp;[1]!Tableau2[[#This Row],[Code d''ecole]]&amp;"-"&amp;[1]!Tableau2[[#This Row],[Numero HM de la fille]]</f>
        <v>#ERROR!</v>
      </c>
      <c r="K52" s="26">
        <v>5.5</v>
      </c>
      <c r="L52" s="26">
        <v>0.5</v>
      </c>
      <c r="M52" s="21">
        <f t="shared" si="1"/>
        <v>3</v>
      </c>
      <c r="N52" s="26">
        <v>14.5</v>
      </c>
      <c r="O52" s="26">
        <v>15.0</v>
      </c>
      <c r="P52" s="22">
        <f t="shared" si="2"/>
        <v>14.75</v>
      </c>
      <c r="Q52" s="27"/>
      <c r="R52" s="27"/>
      <c r="S52" s="27"/>
      <c r="T52" s="27"/>
      <c r="U52" s="28"/>
      <c r="V52" s="35"/>
    </row>
    <row r="53" ht="15.75" customHeight="1">
      <c r="A53" s="25" t="s">
        <v>120</v>
      </c>
      <c r="B53" s="26" t="s">
        <v>146</v>
      </c>
      <c r="C53" s="31" t="s">
        <v>138</v>
      </c>
      <c r="D53" s="26" t="s">
        <v>147</v>
      </c>
      <c r="E53" s="26" t="s">
        <v>31</v>
      </c>
      <c r="F53" s="27">
        <v>46.0</v>
      </c>
      <c r="G53" s="27">
        <v>2022.0</v>
      </c>
      <c r="H53" s="27">
        <v>3.0</v>
      </c>
      <c r="I53" s="27">
        <v>48.0</v>
      </c>
      <c r="J53" s="20" t="str">
        <f>[1]!Tableau2[[#This Row],[Annee d''inscription au programme]]&amp;"-"&amp;[1]!Tableau2[[#This Row],[Code d''ecole]]&amp;"-"&amp;[1]!Tableau2[[#This Row],[Numero HM de la fille]]</f>
        <v>#ERROR!</v>
      </c>
      <c r="K53" s="26">
        <v>11.5</v>
      </c>
      <c r="L53" s="26">
        <v>5.5</v>
      </c>
      <c r="M53" s="21">
        <f t="shared" si="1"/>
        <v>8.5</v>
      </c>
      <c r="N53" s="26">
        <v>10.5</v>
      </c>
      <c r="O53" s="26">
        <v>14.0</v>
      </c>
      <c r="P53" s="22">
        <f t="shared" si="2"/>
        <v>12.25</v>
      </c>
      <c r="Q53" s="27"/>
      <c r="R53" s="27"/>
      <c r="S53" s="27"/>
      <c r="T53" s="27"/>
      <c r="U53" s="28"/>
      <c r="V53" s="35"/>
    </row>
    <row r="54" ht="15.75" customHeight="1">
      <c r="A54" s="25" t="s">
        <v>120</v>
      </c>
      <c r="B54" s="26" t="s">
        <v>148</v>
      </c>
      <c r="C54" s="31" t="s">
        <v>138</v>
      </c>
      <c r="D54" s="26" t="s">
        <v>149</v>
      </c>
      <c r="E54" s="26" t="s">
        <v>31</v>
      </c>
      <c r="F54" s="27">
        <v>47.0</v>
      </c>
      <c r="G54" s="27">
        <v>2022.0</v>
      </c>
      <c r="H54" s="27">
        <v>3.0</v>
      </c>
      <c r="I54" s="27">
        <v>49.0</v>
      </c>
      <c r="J54" s="20" t="str">
        <f>[1]!Tableau2[[#This Row],[Annee d''inscription au programme]]&amp;"-"&amp;[1]!Tableau2[[#This Row],[Code d''ecole]]&amp;"-"&amp;[1]!Tableau2[[#This Row],[Numero HM de la fille]]</f>
        <v>#ERROR!</v>
      </c>
      <c r="K54" s="26">
        <v>2.0</v>
      </c>
      <c r="L54" s="26">
        <v>1.5</v>
      </c>
      <c r="M54" s="21">
        <f t="shared" si="1"/>
        <v>1.75</v>
      </c>
      <c r="N54" s="26">
        <v>12.5</v>
      </c>
      <c r="O54" s="26">
        <v>12.25</v>
      </c>
      <c r="P54" s="22">
        <f t="shared" si="2"/>
        <v>12.375</v>
      </c>
      <c r="Q54" s="27"/>
      <c r="R54" s="27"/>
      <c r="S54" s="27"/>
      <c r="T54" s="27"/>
      <c r="U54" s="28"/>
      <c r="V54" s="35"/>
    </row>
    <row r="55" ht="15.75" customHeight="1">
      <c r="A55" s="25" t="s">
        <v>120</v>
      </c>
      <c r="B55" s="26" t="s">
        <v>150</v>
      </c>
      <c r="C55" s="31" t="s">
        <v>138</v>
      </c>
      <c r="D55" s="26" t="s">
        <v>151</v>
      </c>
      <c r="E55" s="26" t="s">
        <v>31</v>
      </c>
      <c r="F55" s="27">
        <v>48.0</v>
      </c>
      <c r="G55" s="27">
        <v>2022.0</v>
      </c>
      <c r="H55" s="27">
        <v>3.0</v>
      </c>
      <c r="I55" s="27">
        <v>50.0</v>
      </c>
      <c r="J55" s="20" t="str">
        <f>[1]!Tableau2[[#This Row],[Annee d''inscription au programme]]&amp;"-"&amp;[1]!Tableau2[[#This Row],[Code d''ecole]]&amp;"-"&amp;[1]!Tableau2[[#This Row],[Numero HM de la fille]]</f>
        <v>#ERROR!</v>
      </c>
      <c r="K55" s="26"/>
      <c r="L55" s="26"/>
      <c r="M55" s="21">
        <f t="shared" si="1"/>
        <v>0</v>
      </c>
      <c r="N55" s="26">
        <v>10.5</v>
      </c>
      <c r="O55" s="26">
        <v>11.5</v>
      </c>
      <c r="P55" s="22">
        <f t="shared" si="2"/>
        <v>11</v>
      </c>
      <c r="Q55" s="27"/>
      <c r="R55" s="27"/>
      <c r="S55" s="27"/>
      <c r="T55" s="27"/>
      <c r="U55" s="28"/>
      <c r="V55" s="35"/>
    </row>
    <row r="56" ht="15.75" customHeight="1">
      <c r="A56" s="25" t="s">
        <v>120</v>
      </c>
      <c r="B56" s="26" t="s">
        <v>152</v>
      </c>
      <c r="C56" s="31" t="s">
        <v>138</v>
      </c>
      <c r="D56" s="26" t="s">
        <v>153</v>
      </c>
      <c r="E56" s="26" t="s">
        <v>31</v>
      </c>
      <c r="F56" s="27">
        <v>49.0</v>
      </c>
      <c r="G56" s="27">
        <v>2022.0</v>
      </c>
      <c r="H56" s="27">
        <v>3.0</v>
      </c>
      <c r="I56" s="27">
        <v>51.0</v>
      </c>
      <c r="J56" s="20" t="str">
        <f>[1]!Tableau2[[#This Row],[Annee d''inscription au programme]]&amp;"-"&amp;[1]!Tableau2[[#This Row],[Code d''ecole]]&amp;"-"&amp;[1]!Tableau2[[#This Row],[Numero HM de la fille]]</f>
        <v>#ERROR!</v>
      </c>
      <c r="K56" s="26">
        <v>6.5</v>
      </c>
      <c r="L56" s="26">
        <v>2.5</v>
      </c>
      <c r="M56" s="21">
        <f t="shared" si="1"/>
        <v>4.5</v>
      </c>
      <c r="N56" s="26">
        <v>13.5</v>
      </c>
      <c r="O56" s="26">
        <v>14.5</v>
      </c>
      <c r="P56" s="22">
        <f t="shared" si="2"/>
        <v>14</v>
      </c>
      <c r="Q56" s="27"/>
      <c r="R56" s="27"/>
      <c r="S56" s="27"/>
      <c r="T56" s="27"/>
      <c r="U56" s="28"/>
      <c r="V56" s="35"/>
    </row>
    <row r="57" ht="15.75" customHeight="1">
      <c r="A57" s="25" t="s">
        <v>120</v>
      </c>
      <c r="B57" s="26" t="s">
        <v>154</v>
      </c>
      <c r="C57" s="31" t="s">
        <v>138</v>
      </c>
      <c r="D57" s="26" t="s">
        <v>155</v>
      </c>
      <c r="E57" s="26" t="s">
        <v>31</v>
      </c>
      <c r="F57" s="27">
        <v>50.0</v>
      </c>
      <c r="G57" s="27">
        <v>2022.0</v>
      </c>
      <c r="H57" s="27">
        <v>3.0</v>
      </c>
      <c r="I57" s="27">
        <v>52.0</v>
      </c>
      <c r="J57" s="20" t="str">
        <f>[1]!Tableau2[[#This Row],[Annee d''inscription au programme]]&amp;"-"&amp;[1]!Tableau2[[#This Row],[Code d''ecole]]&amp;"-"&amp;[1]!Tableau2[[#This Row],[Numero HM de la fille]]</f>
        <v>#ERROR!</v>
      </c>
      <c r="K57" s="26">
        <v>3.5</v>
      </c>
      <c r="L57" s="26">
        <v>0.0</v>
      </c>
      <c r="M57" s="21">
        <f t="shared" si="1"/>
        <v>1.75</v>
      </c>
      <c r="N57" s="26">
        <v>13.5</v>
      </c>
      <c r="O57" s="26">
        <v>16.0</v>
      </c>
      <c r="P57" s="22">
        <f t="shared" si="2"/>
        <v>14.75</v>
      </c>
      <c r="Q57" s="27"/>
      <c r="R57" s="27"/>
      <c r="S57" s="27"/>
      <c r="T57" s="27"/>
      <c r="U57" s="28"/>
      <c r="V57" s="35"/>
    </row>
    <row r="58" ht="15.75" customHeight="1">
      <c r="A58" s="25" t="s">
        <v>120</v>
      </c>
      <c r="B58" s="26" t="s">
        <v>156</v>
      </c>
      <c r="C58" s="31" t="s">
        <v>138</v>
      </c>
      <c r="D58" s="26" t="s">
        <v>157</v>
      </c>
      <c r="E58" s="26" t="s">
        <v>31</v>
      </c>
      <c r="F58" s="27">
        <v>51.0</v>
      </c>
      <c r="G58" s="27">
        <v>2022.0</v>
      </c>
      <c r="H58" s="27">
        <v>3.0</v>
      </c>
      <c r="I58" s="27">
        <v>53.0</v>
      </c>
      <c r="J58" s="20" t="str">
        <f>[1]!Tableau2[[#This Row],[Annee d''inscription au programme]]&amp;"-"&amp;[1]!Tableau2[[#This Row],[Code d''ecole]]&amp;"-"&amp;[1]!Tableau2[[#This Row],[Numero HM de la fille]]</f>
        <v>#ERROR!</v>
      </c>
      <c r="K58" s="26"/>
      <c r="L58" s="26"/>
      <c r="M58" s="21">
        <f t="shared" si="1"/>
        <v>0</v>
      </c>
      <c r="N58" s="26">
        <v>11.0</v>
      </c>
      <c r="O58" s="26">
        <v>10.75</v>
      </c>
      <c r="P58" s="22">
        <f t="shared" si="2"/>
        <v>10.875</v>
      </c>
      <c r="Q58" s="27"/>
      <c r="R58" s="27"/>
      <c r="S58" s="27"/>
      <c r="T58" s="27"/>
      <c r="U58" s="28"/>
      <c r="V58" s="35"/>
    </row>
    <row r="59" ht="15.75" customHeight="1">
      <c r="A59" s="25" t="s">
        <v>120</v>
      </c>
      <c r="B59" s="26" t="s">
        <v>158</v>
      </c>
      <c r="C59" s="31" t="s">
        <v>138</v>
      </c>
      <c r="D59" s="26" t="s">
        <v>157</v>
      </c>
      <c r="E59" s="26" t="s">
        <v>31</v>
      </c>
      <c r="F59" s="27">
        <v>52.0</v>
      </c>
      <c r="G59" s="27">
        <v>2022.0</v>
      </c>
      <c r="H59" s="27">
        <v>3.0</v>
      </c>
      <c r="I59" s="27">
        <v>54.0</v>
      </c>
      <c r="J59" s="20" t="str">
        <f>[1]!Tableau2[[#This Row],[Annee d''inscription au programme]]&amp;"-"&amp;[1]!Tableau2[[#This Row],[Code d''ecole]]&amp;"-"&amp;[1]!Tableau2[[#This Row],[Numero HM de la fille]]</f>
        <v>#ERROR!</v>
      </c>
      <c r="K59" s="26">
        <v>6.0</v>
      </c>
      <c r="L59" s="26">
        <v>5.0</v>
      </c>
      <c r="M59" s="21">
        <f t="shared" si="1"/>
        <v>5.5</v>
      </c>
      <c r="N59" s="26">
        <v>12.0</v>
      </c>
      <c r="O59" s="26">
        <v>10.5</v>
      </c>
      <c r="P59" s="22">
        <f t="shared" si="2"/>
        <v>11.25</v>
      </c>
      <c r="Q59" s="27"/>
      <c r="R59" s="27"/>
      <c r="S59" s="27"/>
      <c r="T59" s="27"/>
      <c r="U59" s="28"/>
      <c r="V59" s="35"/>
    </row>
    <row r="60" ht="15.75" customHeight="1">
      <c r="A60" s="25" t="s">
        <v>120</v>
      </c>
      <c r="B60" s="26" t="s">
        <v>159</v>
      </c>
      <c r="C60" s="31" t="s">
        <v>138</v>
      </c>
      <c r="D60" s="26" t="s">
        <v>160</v>
      </c>
      <c r="E60" s="26" t="s">
        <v>31</v>
      </c>
      <c r="F60" s="27">
        <v>53.0</v>
      </c>
      <c r="G60" s="27">
        <v>2022.0</v>
      </c>
      <c r="H60" s="27">
        <v>3.0</v>
      </c>
      <c r="I60" s="27">
        <v>55.0</v>
      </c>
      <c r="J60" s="20" t="str">
        <f>[1]!Tableau2[[#This Row],[Annee d''inscription au programme]]&amp;"-"&amp;[1]!Tableau2[[#This Row],[Code d''ecole]]&amp;"-"&amp;[1]!Tableau2[[#This Row],[Numero HM de la fille]]</f>
        <v>#ERROR!</v>
      </c>
      <c r="K60" s="26">
        <v>12.0</v>
      </c>
      <c r="L60" s="26">
        <v>3.5</v>
      </c>
      <c r="M60" s="21">
        <f t="shared" si="1"/>
        <v>7.75</v>
      </c>
      <c r="N60" s="26">
        <v>14.0</v>
      </c>
      <c r="O60" s="26">
        <v>13.5</v>
      </c>
      <c r="P60" s="22">
        <f t="shared" si="2"/>
        <v>13.75</v>
      </c>
      <c r="Q60" s="27"/>
      <c r="R60" s="27"/>
      <c r="S60" s="27"/>
      <c r="T60" s="27"/>
      <c r="U60" s="28"/>
      <c r="V60" s="35"/>
    </row>
    <row r="61" ht="15.75" customHeight="1">
      <c r="A61" s="25" t="s">
        <v>120</v>
      </c>
      <c r="B61" s="26" t="s">
        <v>161</v>
      </c>
      <c r="C61" s="31" t="s">
        <v>138</v>
      </c>
      <c r="D61" s="26" t="s">
        <v>162</v>
      </c>
      <c r="E61" s="26" t="s">
        <v>31</v>
      </c>
      <c r="F61" s="27">
        <v>54.0</v>
      </c>
      <c r="G61" s="27">
        <v>2022.0</v>
      </c>
      <c r="H61" s="27">
        <v>3.0</v>
      </c>
      <c r="I61" s="27">
        <v>56.0</v>
      </c>
      <c r="J61" s="20" t="str">
        <f>[1]!Tableau2[[#This Row],[Annee d''inscription au programme]]&amp;"-"&amp;[1]!Tableau2[[#This Row],[Code d''ecole]]&amp;"-"&amp;[1]!Tableau2[[#This Row],[Numero HM de la fille]]</f>
        <v>#ERROR!</v>
      </c>
      <c r="K61" s="26">
        <v>2.0</v>
      </c>
      <c r="L61" s="26">
        <v>1.0</v>
      </c>
      <c r="M61" s="21">
        <f t="shared" si="1"/>
        <v>1.5</v>
      </c>
      <c r="N61" s="26">
        <v>14.0</v>
      </c>
      <c r="O61" s="26">
        <v>18.0</v>
      </c>
      <c r="P61" s="22">
        <f t="shared" si="2"/>
        <v>16</v>
      </c>
      <c r="Q61" s="27"/>
      <c r="R61" s="27"/>
      <c r="S61" s="27"/>
      <c r="T61" s="27"/>
      <c r="U61" s="28"/>
      <c r="V61" s="35"/>
    </row>
    <row r="62" ht="15.75" customHeight="1">
      <c r="A62" s="25" t="s">
        <v>120</v>
      </c>
      <c r="B62" s="26" t="s">
        <v>163</v>
      </c>
      <c r="C62" s="31" t="s">
        <v>138</v>
      </c>
      <c r="D62" s="26" t="s">
        <v>164</v>
      </c>
      <c r="E62" s="26" t="s">
        <v>31</v>
      </c>
      <c r="F62" s="27">
        <v>55.0</v>
      </c>
      <c r="G62" s="27">
        <v>2023.0</v>
      </c>
      <c r="H62" s="27">
        <v>3.0</v>
      </c>
      <c r="I62" s="27">
        <v>57.0</v>
      </c>
      <c r="J62" s="20" t="str">
        <f>[1]!Tableau2[[#This Row],[Annee d''inscription au programme]]&amp;"-"&amp;[1]!Tableau2[[#This Row],[Code d''ecole]]&amp;"-"&amp;[1]!Tableau2[[#This Row],[Numero HM de la fille]]</f>
        <v>#ERROR!</v>
      </c>
      <c r="K62" s="26">
        <v>4.0</v>
      </c>
      <c r="L62" s="26">
        <v>2.0</v>
      </c>
      <c r="M62" s="21">
        <f t="shared" si="1"/>
        <v>3</v>
      </c>
      <c r="N62" s="26">
        <v>13.0</v>
      </c>
      <c r="O62" s="26">
        <v>12.25</v>
      </c>
      <c r="P62" s="22">
        <f t="shared" si="2"/>
        <v>12.625</v>
      </c>
      <c r="Q62" s="27"/>
      <c r="R62" s="27"/>
      <c r="S62" s="27"/>
      <c r="T62" s="27"/>
      <c r="U62" s="28"/>
      <c r="V62" s="35"/>
    </row>
    <row r="63" ht="15.75" customHeight="1">
      <c r="A63" s="25" t="s">
        <v>120</v>
      </c>
      <c r="B63" s="26" t="s">
        <v>165</v>
      </c>
      <c r="C63" s="31" t="s">
        <v>128</v>
      </c>
      <c r="D63" s="26" t="s">
        <v>166</v>
      </c>
      <c r="E63" s="26" t="s">
        <v>31</v>
      </c>
      <c r="F63" s="27">
        <v>56.0</v>
      </c>
      <c r="G63" s="27">
        <v>2022.0</v>
      </c>
      <c r="H63" s="27">
        <v>3.0</v>
      </c>
      <c r="I63" s="27">
        <v>58.0</v>
      </c>
      <c r="J63" s="20" t="str">
        <f>[1]!Tableau2[[#This Row],[Annee d''inscription au programme]]&amp;"-"&amp;[1]!Tableau2[[#This Row],[Code d''ecole]]&amp;"-"&amp;[1]!Tableau2[[#This Row],[Numero HM de la fille]]</f>
        <v>#ERROR!</v>
      </c>
      <c r="K63" s="26">
        <v>7.5</v>
      </c>
      <c r="L63" s="26">
        <v>4.5</v>
      </c>
      <c r="M63" s="21">
        <f t="shared" si="1"/>
        <v>6</v>
      </c>
      <c r="N63" s="26">
        <v>18.0</v>
      </c>
      <c r="O63" s="26">
        <v>11.5</v>
      </c>
      <c r="P63" s="22">
        <f t="shared" si="2"/>
        <v>14.75</v>
      </c>
      <c r="Q63" s="27"/>
      <c r="R63" s="27"/>
      <c r="S63" s="27"/>
      <c r="T63" s="27"/>
      <c r="U63" s="28"/>
      <c r="V63" s="35"/>
    </row>
    <row r="64" ht="15.75" customHeight="1">
      <c r="A64" s="25" t="s">
        <v>120</v>
      </c>
      <c r="B64" s="26" t="s">
        <v>167</v>
      </c>
      <c r="C64" s="31" t="s">
        <v>128</v>
      </c>
      <c r="D64" s="26" t="s">
        <v>168</v>
      </c>
      <c r="E64" s="26" t="s">
        <v>31</v>
      </c>
      <c r="F64" s="27">
        <v>57.0</v>
      </c>
      <c r="G64" s="27">
        <v>2022.0</v>
      </c>
      <c r="H64" s="27">
        <v>3.0</v>
      </c>
      <c r="I64" s="27">
        <v>59.0</v>
      </c>
      <c r="J64" s="20" t="str">
        <f>[1]!Tableau2[[#This Row],[Annee d''inscription au programme]]&amp;"-"&amp;[1]!Tableau2[[#This Row],[Code d''ecole]]&amp;"-"&amp;[1]!Tableau2[[#This Row],[Numero HM de la fille]]</f>
        <v>#ERROR!</v>
      </c>
      <c r="K64" s="26">
        <v>7.0</v>
      </c>
      <c r="L64" s="26">
        <v>4.0</v>
      </c>
      <c r="M64" s="21">
        <f t="shared" si="1"/>
        <v>5.5</v>
      </c>
      <c r="N64" s="26">
        <v>17.5</v>
      </c>
      <c r="O64" s="26">
        <v>13.0</v>
      </c>
      <c r="P64" s="22">
        <f t="shared" si="2"/>
        <v>15.25</v>
      </c>
      <c r="Q64" s="27"/>
      <c r="R64" s="27"/>
      <c r="S64" s="27"/>
      <c r="T64" s="27"/>
      <c r="U64" s="28"/>
      <c r="V64" s="35"/>
    </row>
    <row r="65" ht="15.75" customHeight="1">
      <c r="A65" s="25" t="s">
        <v>120</v>
      </c>
      <c r="B65" s="26" t="s">
        <v>169</v>
      </c>
      <c r="C65" s="31" t="s">
        <v>138</v>
      </c>
      <c r="D65" s="26" t="s">
        <v>151</v>
      </c>
      <c r="E65" s="26" t="s">
        <v>31</v>
      </c>
      <c r="F65" s="27">
        <v>58.0</v>
      </c>
      <c r="G65" s="27">
        <v>2022.0</v>
      </c>
      <c r="H65" s="27">
        <v>3.0</v>
      </c>
      <c r="I65" s="27">
        <v>60.0</v>
      </c>
      <c r="J65" s="20" t="str">
        <f>[1]!Tableau2[[#This Row],[Annee d''inscription au programme]]&amp;"-"&amp;[1]!Tableau2[[#This Row],[Code d''ecole]]&amp;"-"&amp;[1]!Tableau2[[#This Row],[Numero HM de la fille]]</f>
        <v>#ERROR!</v>
      </c>
      <c r="K65" s="26">
        <v>6.0</v>
      </c>
      <c r="L65" s="26">
        <v>0.5</v>
      </c>
      <c r="M65" s="21">
        <f t="shared" si="1"/>
        <v>3.25</v>
      </c>
      <c r="N65" s="26">
        <v>14.5</v>
      </c>
      <c r="O65" s="26">
        <v>16.0</v>
      </c>
      <c r="P65" s="22">
        <f t="shared" si="2"/>
        <v>15.25</v>
      </c>
      <c r="Q65" s="27"/>
      <c r="R65" s="27"/>
      <c r="S65" s="27"/>
      <c r="T65" s="27"/>
      <c r="U65" s="28"/>
      <c r="V65" s="35"/>
    </row>
    <row r="66" ht="15.75" customHeight="1">
      <c r="A66" s="25" t="s">
        <v>120</v>
      </c>
      <c r="B66" s="26" t="s">
        <v>170</v>
      </c>
      <c r="C66" s="31" t="s">
        <v>138</v>
      </c>
      <c r="D66" s="26" t="s">
        <v>171</v>
      </c>
      <c r="E66" s="26" t="s">
        <v>31</v>
      </c>
      <c r="F66" s="27">
        <v>59.0</v>
      </c>
      <c r="G66" s="27">
        <v>2022.0</v>
      </c>
      <c r="H66" s="27">
        <v>3.0</v>
      </c>
      <c r="I66" s="27">
        <v>61.0</v>
      </c>
      <c r="J66" s="20" t="str">
        <f>[1]!Tableau2[[#This Row],[Annee d''inscription au programme]]&amp;"-"&amp;[1]!Tableau2[[#This Row],[Code d''ecole]]&amp;"-"&amp;[1]!Tableau2[[#This Row],[Numero HM de la fille]]</f>
        <v>#ERROR!</v>
      </c>
      <c r="K66" s="26">
        <v>6.5</v>
      </c>
      <c r="L66" s="26">
        <v>2.0</v>
      </c>
      <c r="M66" s="21">
        <f t="shared" si="1"/>
        <v>4.25</v>
      </c>
      <c r="N66" s="26">
        <v>16.5</v>
      </c>
      <c r="O66" s="26">
        <v>13.5</v>
      </c>
      <c r="P66" s="22">
        <f t="shared" si="2"/>
        <v>15</v>
      </c>
      <c r="Q66" s="27"/>
      <c r="R66" s="27"/>
      <c r="S66" s="27"/>
      <c r="T66" s="27"/>
      <c r="U66" s="28"/>
      <c r="V66" s="35"/>
    </row>
    <row r="67" ht="15.75" customHeight="1">
      <c r="A67" s="25" t="s">
        <v>120</v>
      </c>
      <c r="B67" s="26" t="s">
        <v>172</v>
      </c>
      <c r="C67" s="31" t="s">
        <v>138</v>
      </c>
      <c r="D67" s="26" t="s">
        <v>173</v>
      </c>
      <c r="E67" s="26" t="s">
        <v>31</v>
      </c>
      <c r="F67" s="27">
        <v>60.0</v>
      </c>
      <c r="G67" s="27">
        <v>2022.0</v>
      </c>
      <c r="H67" s="27">
        <v>3.0</v>
      </c>
      <c r="I67" s="27">
        <v>62.0</v>
      </c>
      <c r="J67" s="20" t="str">
        <f>[1]!Tableau2[[#This Row],[Annee d''inscription au programme]]&amp;"-"&amp;[1]!Tableau2[[#This Row],[Code d''ecole]]&amp;"-"&amp;[1]!Tableau2[[#This Row],[Numero HM de la fille]]</f>
        <v>#ERROR!</v>
      </c>
      <c r="K67" s="26">
        <v>4.0</v>
      </c>
      <c r="L67" s="26">
        <v>5.0</v>
      </c>
      <c r="M67" s="21">
        <f t="shared" si="1"/>
        <v>4.5</v>
      </c>
      <c r="N67" s="26">
        <v>13.5</v>
      </c>
      <c r="O67" s="26">
        <v>10.0</v>
      </c>
      <c r="P67" s="22">
        <f t="shared" si="2"/>
        <v>11.75</v>
      </c>
      <c r="Q67" s="27"/>
      <c r="R67" s="27"/>
      <c r="S67" s="27"/>
      <c r="T67" s="27"/>
      <c r="U67" s="28"/>
      <c r="V67" s="35"/>
    </row>
    <row r="68" ht="15.75" customHeight="1">
      <c r="A68" s="25" t="s">
        <v>120</v>
      </c>
      <c r="B68" s="26" t="s">
        <v>174</v>
      </c>
      <c r="C68" s="31" t="s">
        <v>138</v>
      </c>
      <c r="D68" s="26" t="s">
        <v>175</v>
      </c>
      <c r="E68" s="26" t="s">
        <v>31</v>
      </c>
      <c r="F68" s="27">
        <v>61.0</v>
      </c>
      <c r="G68" s="27">
        <v>2022.0</v>
      </c>
      <c r="H68" s="27">
        <v>3.0</v>
      </c>
      <c r="I68" s="27">
        <v>63.0</v>
      </c>
      <c r="J68" s="20" t="str">
        <f>[1]!Tableau2[[#This Row],[Annee d''inscription au programme]]&amp;"-"&amp;[1]!Tableau2[[#This Row],[Code d''ecole]]&amp;"-"&amp;[1]!Tableau2[[#This Row],[Numero HM de la fille]]</f>
        <v>#ERROR!</v>
      </c>
      <c r="K68" s="26">
        <v>7.5</v>
      </c>
      <c r="L68" s="26">
        <v>3.0</v>
      </c>
      <c r="M68" s="21">
        <f t="shared" si="1"/>
        <v>5.25</v>
      </c>
      <c r="N68" s="26">
        <v>13.0</v>
      </c>
      <c r="O68" s="26">
        <v>11.75</v>
      </c>
      <c r="P68" s="22">
        <f t="shared" si="2"/>
        <v>12.375</v>
      </c>
      <c r="Q68" s="27"/>
      <c r="R68" s="27"/>
      <c r="S68" s="27"/>
      <c r="T68" s="27"/>
      <c r="U68" s="28"/>
      <c r="V68" s="35"/>
    </row>
    <row r="69" ht="15.75" customHeight="1">
      <c r="A69" s="25" t="s">
        <v>120</v>
      </c>
      <c r="B69" s="26" t="s">
        <v>176</v>
      </c>
      <c r="C69" s="31" t="s">
        <v>138</v>
      </c>
      <c r="D69" s="26" t="s">
        <v>177</v>
      </c>
      <c r="E69" s="26" t="s">
        <v>31</v>
      </c>
      <c r="F69" s="27">
        <v>62.0</v>
      </c>
      <c r="G69" s="27">
        <v>2022.0</v>
      </c>
      <c r="H69" s="27">
        <v>3.0</v>
      </c>
      <c r="I69" s="27">
        <v>64.0</v>
      </c>
      <c r="J69" s="20" t="str">
        <f>[1]!Tableau2[[#This Row],[Annee d''inscription au programme]]&amp;"-"&amp;[1]!Tableau2[[#This Row],[Code d''ecole]]&amp;"-"&amp;[1]!Tableau2[[#This Row],[Numero HM de la fille]]</f>
        <v>#ERROR!</v>
      </c>
      <c r="K69" s="26">
        <v>10.5</v>
      </c>
      <c r="L69" s="26">
        <v>7.0</v>
      </c>
      <c r="M69" s="21">
        <f t="shared" si="1"/>
        <v>8.75</v>
      </c>
      <c r="N69" s="26">
        <v>16.5</v>
      </c>
      <c r="O69" s="26">
        <v>15.5</v>
      </c>
      <c r="P69" s="22">
        <f t="shared" si="2"/>
        <v>16</v>
      </c>
      <c r="Q69" s="27"/>
      <c r="R69" s="27"/>
      <c r="S69" s="27"/>
      <c r="T69" s="27"/>
      <c r="U69" s="28"/>
      <c r="V69" s="35"/>
    </row>
    <row r="70" ht="15.75" customHeight="1">
      <c r="A70" s="32" t="s">
        <v>120</v>
      </c>
      <c r="B70" s="20" t="s">
        <v>178</v>
      </c>
      <c r="C70" s="37" t="s">
        <v>138</v>
      </c>
      <c r="D70" s="20" t="s">
        <v>179</v>
      </c>
      <c r="E70" s="20" t="s">
        <v>31</v>
      </c>
      <c r="F70" s="38">
        <v>63.0</v>
      </c>
      <c r="G70" s="38">
        <v>2023.0</v>
      </c>
      <c r="H70" s="38">
        <v>3.0</v>
      </c>
      <c r="I70" s="38">
        <v>65.0</v>
      </c>
      <c r="J70" s="20" t="str">
        <f>[1]!Tableau2[[#This Row],[Annee d''inscription au programme]]&amp;"-"&amp;[1]!Tableau2[[#This Row],[Code d''ecole]]&amp;"-"&amp;[1]!Tableau2[[#This Row],[Numero HM de la fille]]</f>
        <v>#ERROR!</v>
      </c>
      <c r="K70" s="20">
        <v>14.0</v>
      </c>
      <c r="L70" s="20">
        <v>9.0</v>
      </c>
      <c r="M70" s="21">
        <f t="shared" si="1"/>
        <v>11.5</v>
      </c>
      <c r="N70" s="20">
        <v>18.0</v>
      </c>
      <c r="O70" s="20">
        <v>16.5</v>
      </c>
      <c r="P70" s="22">
        <f t="shared" si="2"/>
        <v>17.25</v>
      </c>
      <c r="Q70" s="38"/>
      <c r="R70" s="38"/>
      <c r="S70" s="38"/>
      <c r="T70" s="38"/>
      <c r="U70" s="39"/>
      <c r="V70" s="40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</row>
    <row r="71" ht="15.75" customHeight="1">
      <c r="A71" s="25" t="s">
        <v>120</v>
      </c>
      <c r="B71" s="26" t="s">
        <v>180</v>
      </c>
      <c r="C71" s="31" t="s">
        <v>138</v>
      </c>
      <c r="D71" s="26" t="s">
        <v>181</v>
      </c>
      <c r="E71" s="26" t="s">
        <v>31</v>
      </c>
      <c r="F71" s="27">
        <v>64.0</v>
      </c>
      <c r="G71" s="27">
        <v>2023.0</v>
      </c>
      <c r="H71" s="27">
        <v>3.0</v>
      </c>
      <c r="I71" s="27">
        <v>66.0</v>
      </c>
      <c r="J71" s="20"/>
      <c r="K71" s="26">
        <v>3.0</v>
      </c>
      <c r="L71" s="26">
        <v>1.0</v>
      </c>
      <c r="M71" s="21">
        <f t="shared" si="1"/>
        <v>2</v>
      </c>
      <c r="N71" s="26">
        <v>12.0</v>
      </c>
      <c r="O71" s="26">
        <v>15.75</v>
      </c>
      <c r="P71" s="22">
        <f t="shared" si="2"/>
        <v>13.875</v>
      </c>
      <c r="Q71" s="27"/>
      <c r="R71" s="27"/>
      <c r="S71" s="27"/>
      <c r="T71" s="27"/>
      <c r="U71" s="28"/>
      <c r="V71" s="35"/>
    </row>
    <row r="72" ht="15.75" customHeight="1">
      <c r="A72" s="25" t="s">
        <v>120</v>
      </c>
      <c r="B72" s="26" t="s">
        <v>182</v>
      </c>
      <c r="C72" s="31" t="s">
        <v>138</v>
      </c>
      <c r="D72" s="26" t="s">
        <v>183</v>
      </c>
      <c r="E72" s="26" t="s">
        <v>31</v>
      </c>
      <c r="F72" s="27">
        <v>65.0</v>
      </c>
      <c r="G72" s="27">
        <v>2023.0</v>
      </c>
      <c r="H72" s="27">
        <v>3.0</v>
      </c>
      <c r="I72" s="27">
        <v>67.0</v>
      </c>
      <c r="K72" s="26">
        <v>4.0</v>
      </c>
      <c r="L72" s="26">
        <v>4.5</v>
      </c>
      <c r="M72" s="21">
        <f t="shared" si="1"/>
        <v>4.25</v>
      </c>
      <c r="N72" s="26">
        <v>12.5</v>
      </c>
      <c r="O72" s="26">
        <v>12.5</v>
      </c>
      <c r="P72" s="22">
        <f t="shared" si="2"/>
        <v>12.5</v>
      </c>
      <c r="Q72" s="27"/>
      <c r="R72" s="27"/>
      <c r="S72" s="27"/>
      <c r="T72" s="27"/>
      <c r="U72" s="28"/>
      <c r="V72" s="35"/>
    </row>
    <row r="73" ht="15.75" customHeight="1">
      <c r="A73" s="25" t="s">
        <v>120</v>
      </c>
      <c r="B73" s="26" t="s">
        <v>184</v>
      </c>
      <c r="C73" s="31" t="s">
        <v>138</v>
      </c>
      <c r="D73" s="26" t="s">
        <v>185</v>
      </c>
      <c r="E73" s="26" t="s">
        <v>31</v>
      </c>
      <c r="F73" s="27">
        <v>66.0</v>
      </c>
      <c r="G73" s="27">
        <v>2023.0</v>
      </c>
      <c r="H73" s="27">
        <v>3.0</v>
      </c>
      <c r="I73" s="27">
        <v>68.0</v>
      </c>
      <c r="J73" s="20"/>
      <c r="K73" s="26">
        <v>3.0</v>
      </c>
      <c r="L73" s="26">
        <v>1.0</v>
      </c>
      <c r="M73" s="21">
        <f t="shared" si="1"/>
        <v>2</v>
      </c>
      <c r="N73" s="26">
        <v>11.0</v>
      </c>
      <c r="O73" s="26">
        <v>15.5</v>
      </c>
      <c r="P73" s="22">
        <f t="shared" si="2"/>
        <v>13.25</v>
      </c>
      <c r="Q73" s="27"/>
      <c r="R73" s="27"/>
      <c r="S73" s="27"/>
      <c r="T73" s="27"/>
      <c r="U73" s="28"/>
      <c r="V73" s="35"/>
    </row>
    <row r="74" ht="15.75" customHeight="1">
      <c r="A74" s="25" t="s">
        <v>120</v>
      </c>
      <c r="B74" s="26" t="s">
        <v>186</v>
      </c>
      <c r="C74" s="31" t="s">
        <v>138</v>
      </c>
      <c r="D74" s="26" t="s">
        <v>179</v>
      </c>
      <c r="E74" s="26" t="s">
        <v>31</v>
      </c>
      <c r="F74" s="27">
        <v>67.0</v>
      </c>
      <c r="G74" s="27">
        <v>2023.0</v>
      </c>
      <c r="H74" s="27">
        <v>3.0</v>
      </c>
      <c r="I74" s="27">
        <v>69.0</v>
      </c>
      <c r="J74" s="20"/>
      <c r="K74" s="26">
        <v>7.0</v>
      </c>
      <c r="L74" s="26">
        <v>4.0</v>
      </c>
      <c r="M74" s="21">
        <f t="shared" si="1"/>
        <v>5.5</v>
      </c>
      <c r="N74" s="26">
        <v>17.0</v>
      </c>
      <c r="O74" s="26">
        <v>10.5</v>
      </c>
      <c r="P74" s="22">
        <f t="shared" si="2"/>
        <v>13.75</v>
      </c>
      <c r="Q74" s="27"/>
      <c r="R74" s="27"/>
      <c r="S74" s="27"/>
      <c r="T74" s="27"/>
      <c r="U74" s="28"/>
      <c r="V74" s="35"/>
    </row>
    <row r="75" ht="15.75" customHeight="1">
      <c r="A75" s="25" t="s">
        <v>120</v>
      </c>
      <c r="B75" s="26" t="s">
        <v>187</v>
      </c>
      <c r="C75" s="31" t="s">
        <v>138</v>
      </c>
      <c r="D75" s="26" t="s">
        <v>82</v>
      </c>
      <c r="E75" s="26" t="s">
        <v>31</v>
      </c>
      <c r="F75" s="27">
        <v>68.0</v>
      </c>
      <c r="G75" s="27">
        <v>2023.0</v>
      </c>
      <c r="H75" s="27">
        <v>3.0</v>
      </c>
      <c r="I75" s="27">
        <v>70.0</v>
      </c>
      <c r="J75" s="20"/>
      <c r="K75" s="26">
        <v>3.0</v>
      </c>
      <c r="L75" s="26">
        <v>3.0</v>
      </c>
      <c r="M75" s="21">
        <f t="shared" si="1"/>
        <v>3</v>
      </c>
      <c r="N75" s="26">
        <v>18.0</v>
      </c>
      <c r="O75" s="26">
        <v>10.5</v>
      </c>
      <c r="P75" s="22">
        <f t="shared" si="2"/>
        <v>14.25</v>
      </c>
      <c r="Q75" s="27"/>
      <c r="R75" s="27"/>
      <c r="S75" s="27"/>
      <c r="T75" s="27"/>
      <c r="U75" s="28"/>
      <c r="V75" s="35"/>
    </row>
    <row r="76" ht="15.75" customHeight="1">
      <c r="A76" s="25" t="s">
        <v>120</v>
      </c>
      <c r="B76" s="26" t="s">
        <v>188</v>
      </c>
      <c r="C76" s="31" t="s">
        <v>138</v>
      </c>
      <c r="D76" s="26" t="s">
        <v>189</v>
      </c>
      <c r="E76" s="26" t="s">
        <v>31</v>
      </c>
      <c r="F76" s="27">
        <v>69.0</v>
      </c>
      <c r="G76" s="27">
        <v>2023.0</v>
      </c>
      <c r="H76" s="27">
        <v>3.0</v>
      </c>
      <c r="I76" s="27">
        <v>71.0</v>
      </c>
      <c r="J76" s="20"/>
      <c r="K76" s="26">
        <v>8.5</v>
      </c>
      <c r="L76" s="26">
        <v>6.5</v>
      </c>
      <c r="M76" s="21">
        <f t="shared" si="1"/>
        <v>7.5</v>
      </c>
      <c r="N76" s="26">
        <v>17.0</v>
      </c>
      <c r="O76" s="26">
        <v>15.5</v>
      </c>
      <c r="P76" s="22">
        <f t="shared" si="2"/>
        <v>16.25</v>
      </c>
      <c r="Q76" s="27"/>
      <c r="R76" s="27"/>
      <c r="S76" s="27"/>
      <c r="T76" s="27"/>
      <c r="U76" s="28"/>
      <c r="V76" s="35"/>
    </row>
    <row r="77" ht="15.75" customHeight="1">
      <c r="A77" s="25" t="s">
        <v>120</v>
      </c>
      <c r="B77" s="26" t="s">
        <v>190</v>
      </c>
      <c r="C77" s="31" t="s">
        <v>138</v>
      </c>
      <c r="D77" s="26" t="s">
        <v>191</v>
      </c>
      <c r="E77" s="26" t="s">
        <v>31</v>
      </c>
      <c r="F77" s="27">
        <v>70.0</v>
      </c>
      <c r="G77" s="27">
        <v>2023.0</v>
      </c>
      <c r="H77" s="27">
        <v>3.0</v>
      </c>
      <c r="I77" s="27">
        <v>72.0</v>
      </c>
      <c r="J77" s="20"/>
      <c r="K77" s="26">
        <v>4.0</v>
      </c>
      <c r="L77" s="26">
        <v>1.5</v>
      </c>
      <c r="M77" s="21">
        <f t="shared" si="1"/>
        <v>2.75</v>
      </c>
      <c r="N77" s="26">
        <v>12.5</v>
      </c>
      <c r="O77" s="26">
        <v>15.5</v>
      </c>
      <c r="P77" s="22">
        <f t="shared" si="2"/>
        <v>14</v>
      </c>
      <c r="Q77" s="27"/>
      <c r="R77" s="27"/>
      <c r="S77" s="27"/>
      <c r="T77" s="27"/>
      <c r="U77" s="28"/>
      <c r="V77" s="35"/>
    </row>
    <row r="78" ht="15.75" customHeight="1">
      <c r="A78" s="32" t="s">
        <v>192</v>
      </c>
      <c r="B78" s="20" t="s">
        <v>193</v>
      </c>
      <c r="C78" s="37"/>
      <c r="D78" s="20" t="s">
        <v>194</v>
      </c>
      <c r="E78" s="20" t="s">
        <v>31</v>
      </c>
      <c r="F78" s="38">
        <v>71.0</v>
      </c>
      <c r="G78" s="38">
        <v>2023.0</v>
      </c>
      <c r="H78" s="38">
        <v>2.0</v>
      </c>
      <c r="I78" s="38">
        <v>73.0</v>
      </c>
      <c r="J78" s="20"/>
      <c r="K78" s="20">
        <v>3.75</v>
      </c>
      <c r="L78" s="20">
        <v>7.0</v>
      </c>
      <c r="M78" s="21">
        <f t="shared" si="1"/>
        <v>5.375</v>
      </c>
      <c r="N78" s="20">
        <v>15.75</v>
      </c>
      <c r="O78" s="20">
        <v>14.5</v>
      </c>
      <c r="P78" s="22">
        <f t="shared" si="2"/>
        <v>15.125</v>
      </c>
      <c r="Q78" s="38"/>
      <c r="R78" s="38"/>
      <c r="S78" s="38"/>
      <c r="T78" s="38"/>
      <c r="U78" s="39"/>
      <c r="V78" s="40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</row>
    <row r="79" ht="15.75" customHeight="1">
      <c r="A79" s="25" t="s">
        <v>192</v>
      </c>
      <c r="B79" s="26" t="s">
        <v>195</v>
      </c>
      <c r="C79" s="31"/>
      <c r="D79" s="26" t="s">
        <v>196</v>
      </c>
      <c r="E79" s="26" t="s">
        <v>31</v>
      </c>
      <c r="F79" s="27">
        <v>72.0</v>
      </c>
      <c r="G79" s="27">
        <v>2023.0</v>
      </c>
      <c r="H79" s="27">
        <v>2.0</v>
      </c>
      <c r="I79" s="27">
        <v>74.0</v>
      </c>
      <c r="J79" s="20"/>
      <c r="K79" s="26">
        <v>2.25</v>
      </c>
      <c r="L79" s="26">
        <v>8.25</v>
      </c>
      <c r="M79" s="21">
        <f t="shared" si="1"/>
        <v>5.25</v>
      </c>
      <c r="N79" s="26">
        <v>16.75</v>
      </c>
      <c r="O79" s="26">
        <v>13.5</v>
      </c>
      <c r="P79" s="22">
        <f t="shared" si="2"/>
        <v>15.125</v>
      </c>
      <c r="Q79" s="27"/>
      <c r="R79" s="27"/>
      <c r="S79" s="27"/>
      <c r="T79" s="27"/>
      <c r="U79" s="28"/>
      <c r="V79" s="35"/>
    </row>
    <row r="80" ht="15.75" customHeight="1">
      <c r="A80" s="25" t="s">
        <v>192</v>
      </c>
      <c r="B80" s="26" t="s">
        <v>197</v>
      </c>
      <c r="C80" s="31"/>
      <c r="D80" s="26" t="s">
        <v>198</v>
      </c>
      <c r="E80" s="26" t="s">
        <v>31</v>
      </c>
      <c r="F80" s="27">
        <v>73.0</v>
      </c>
      <c r="G80" s="27">
        <v>2023.0</v>
      </c>
      <c r="H80" s="27">
        <v>2.0</v>
      </c>
      <c r="I80" s="27">
        <v>75.0</v>
      </c>
      <c r="J80" s="20"/>
      <c r="K80" s="26">
        <v>6.75</v>
      </c>
      <c r="L80" s="26">
        <v>7.5</v>
      </c>
      <c r="M80" s="21">
        <f t="shared" si="1"/>
        <v>7.125</v>
      </c>
      <c r="N80" s="26">
        <v>19.5</v>
      </c>
      <c r="O80" s="26">
        <v>15.0</v>
      </c>
      <c r="P80" s="22">
        <f t="shared" si="2"/>
        <v>17.25</v>
      </c>
      <c r="Q80" s="27"/>
      <c r="R80" s="27"/>
      <c r="S80" s="27"/>
      <c r="T80" s="27"/>
      <c r="U80" s="28"/>
      <c r="V80" s="35"/>
    </row>
    <row r="81" ht="15.75" customHeight="1">
      <c r="A81" s="32" t="s">
        <v>199</v>
      </c>
      <c r="B81" s="20" t="s">
        <v>200</v>
      </c>
      <c r="C81" s="37"/>
      <c r="D81" s="20" t="s">
        <v>201</v>
      </c>
      <c r="E81" s="20" t="s">
        <v>31</v>
      </c>
      <c r="F81" s="38">
        <v>74.0</v>
      </c>
      <c r="G81" s="38">
        <v>2023.0</v>
      </c>
      <c r="H81" s="38">
        <v>1.0</v>
      </c>
      <c r="I81" s="38">
        <v>76.0</v>
      </c>
      <c r="J81" s="20"/>
      <c r="K81" s="20">
        <v>8.0</v>
      </c>
      <c r="L81" s="20">
        <v>3.5</v>
      </c>
      <c r="M81" s="21">
        <f t="shared" si="1"/>
        <v>5.75</v>
      </c>
      <c r="N81" s="20">
        <v>14.75</v>
      </c>
      <c r="O81" s="20">
        <v>12.5</v>
      </c>
      <c r="P81" s="22">
        <f t="shared" si="2"/>
        <v>13.625</v>
      </c>
      <c r="Q81" s="38"/>
      <c r="R81" s="38"/>
      <c r="S81" s="38"/>
      <c r="T81" s="38"/>
      <c r="U81" s="39"/>
      <c r="V81" s="40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</row>
    <row r="82" ht="15.75" customHeight="1">
      <c r="A82" s="25" t="s">
        <v>199</v>
      </c>
      <c r="B82" s="26" t="s">
        <v>202</v>
      </c>
      <c r="C82" s="31"/>
      <c r="D82" s="26" t="s">
        <v>82</v>
      </c>
      <c r="E82" s="26" t="s">
        <v>31</v>
      </c>
      <c r="F82" s="27">
        <v>75.0</v>
      </c>
      <c r="G82" s="27">
        <v>2023.0</v>
      </c>
      <c r="H82" s="38">
        <v>1.0</v>
      </c>
      <c r="I82" s="27">
        <v>77.0</v>
      </c>
      <c r="J82" s="20"/>
      <c r="K82" s="26">
        <v>8.0</v>
      </c>
      <c r="L82" s="26">
        <v>4.0</v>
      </c>
      <c r="M82" s="21">
        <f t="shared" si="1"/>
        <v>6</v>
      </c>
      <c r="N82" s="26">
        <v>17.5</v>
      </c>
      <c r="O82" s="26">
        <v>13.5</v>
      </c>
      <c r="P82" s="22">
        <f t="shared" si="2"/>
        <v>15.5</v>
      </c>
      <c r="Q82" s="27"/>
      <c r="R82" s="27"/>
      <c r="S82" s="27"/>
      <c r="T82" s="27"/>
      <c r="U82" s="28"/>
      <c r="V82" s="35"/>
    </row>
    <row r="83" ht="15.75" customHeight="1">
      <c r="A83" s="25" t="s">
        <v>199</v>
      </c>
      <c r="B83" s="26" t="s">
        <v>203</v>
      </c>
      <c r="C83" s="31"/>
      <c r="D83" s="26" t="s">
        <v>204</v>
      </c>
      <c r="E83" s="26" t="s">
        <v>31</v>
      </c>
      <c r="F83" s="27">
        <v>76.0</v>
      </c>
      <c r="G83" s="27">
        <v>2023.0</v>
      </c>
      <c r="H83" s="38">
        <v>1.0</v>
      </c>
      <c r="I83" s="27">
        <v>78.0</v>
      </c>
      <c r="J83" s="20"/>
      <c r="K83" s="26">
        <v>8.5</v>
      </c>
      <c r="L83" s="26">
        <v>4.5</v>
      </c>
      <c r="M83" s="21">
        <f t="shared" si="1"/>
        <v>6.5</v>
      </c>
      <c r="N83" s="26">
        <v>14.0</v>
      </c>
      <c r="O83" s="26">
        <v>15.5</v>
      </c>
      <c r="P83" s="22">
        <f t="shared" si="2"/>
        <v>14.75</v>
      </c>
      <c r="Q83" s="27"/>
      <c r="R83" s="27"/>
      <c r="S83" s="27"/>
      <c r="T83" s="27"/>
      <c r="U83" s="28"/>
      <c r="V83" s="35"/>
    </row>
    <row r="84" ht="15.75" customHeight="1">
      <c r="A84" s="25" t="s">
        <v>199</v>
      </c>
      <c r="B84" s="26" t="s">
        <v>205</v>
      </c>
      <c r="C84" s="31"/>
      <c r="D84" s="26" t="s">
        <v>206</v>
      </c>
      <c r="E84" s="26" t="s">
        <v>31</v>
      </c>
      <c r="F84" s="27">
        <v>77.0</v>
      </c>
      <c r="G84" s="27">
        <v>2023.0</v>
      </c>
      <c r="H84" s="38">
        <v>1.0</v>
      </c>
      <c r="I84" s="27">
        <v>79.0</v>
      </c>
      <c r="J84" s="20"/>
      <c r="K84" s="26">
        <v>10.0</v>
      </c>
      <c r="L84" s="26">
        <v>6.0</v>
      </c>
      <c r="M84" s="21">
        <f t="shared" si="1"/>
        <v>8</v>
      </c>
      <c r="N84" s="26">
        <v>13.75</v>
      </c>
      <c r="O84" s="26">
        <v>17.0</v>
      </c>
      <c r="P84" s="22">
        <f t="shared" si="2"/>
        <v>15.375</v>
      </c>
      <c r="Q84" s="27"/>
      <c r="R84" s="27"/>
      <c r="S84" s="27"/>
      <c r="T84" s="27"/>
      <c r="U84" s="28"/>
      <c r="V84" s="35"/>
    </row>
    <row r="85" ht="15.75" customHeight="1">
      <c r="A85" s="42"/>
      <c r="B85" s="28" t="s">
        <v>207</v>
      </c>
      <c r="C85" s="9"/>
      <c r="D85" s="10"/>
      <c r="E85" s="42"/>
      <c r="F85" s="42"/>
      <c r="G85" s="42"/>
      <c r="H85" s="42"/>
      <c r="I85" s="42"/>
      <c r="J85" s="42"/>
      <c r="K85" s="43">
        <f t="shared" ref="K85:L85" si="3">AVERAGE(K6:K84)</f>
        <v>6.207746479</v>
      </c>
      <c r="L85" s="44">
        <f t="shared" si="3"/>
        <v>4.746478873</v>
      </c>
      <c r="M85" s="45">
        <f>AVERAGE(K85+L85)/2</f>
        <v>5.477112676</v>
      </c>
      <c r="N85" s="43">
        <f t="shared" ref="N85:O85" si="4">AVERAGE(N6:N84)</f>
        <v>14.9222973</v>
      </c>
      <c r="O85" s="44">
        <f t="shared" si="4"/>
        <v>14.48175676</v>
      </c>
      <c r="P85" s="46">
        <f>AVERAGE(N85+O85)/2</f>
        <v>14.70202703</v>
      </c>
      <c r="Q85" s="47"/>
      <c r="R85" s="47"/>
      <c r="S85" s="47"/>
      <c r="T85" s="47"/>
      <c r="U85" s="48"/>
      <c r="V85" s="35"/>
    </row>
    <row r="86" ht="15.75" customHeight="1">
      <c r="A86" s="49" t="s">
        <v>208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10"/>
    </row>
    <row r="87" ht="15.75" customHeight="1">
      <c r="M87" s="50">
        <f>AVERAGE(M6:M85)</f>
        <v>4.929401408</v>
      </c>
      <c r="P87" s="51">
        <f>AVERAGE(P6)</f>
        <v>13.75</v>
      </c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P$1000"/>
  <mergeCells count="4">
    <mergeCell ref="K4:M4"/>
    <mergeCell ref="N4:P4"/>
    <mergeCell ref="B85:D85"/>
    <mergeCell ref="A86:AP86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25.14"/>
    <col customWidth="1" min="3" max="3" width="18.0"/>
    <col customWidth="1" min="4" max="4" width="10.71"/>
    <col customWidth="1" min="5" max="5" width="13.43"/>
    <col customWidth="1" min="6" max="6" width="10.71"/>
    <col customWidth="1" min="7" max="7" width="14.43"/>
    <col customWidth="1" min="8" max="8" width="6.86"/>
    <col customWidth="1" min="9" max="9" width="10.14"/>
    <col customWidth="1" min="10" max="10" width="12.86"/>
    <col customWidth="1" min="11" max="16" width="10.71"/>
    <col customWidth="1" min="17" max="17" width="9.71"/>
    <col customWidth="1" min="18" max="21" width="10.71"/>
    <col customWidth="1" min="22" max="22" width="15.71"/>
    <col customWidth="1" min="23" max="26" width="10.71"/>
  </cols>
  <sheetData>
    <row r="1">
      <c r="K1" s="52"/>
      <c r="L1" s="52"/>
    </row>
    <row r="2">
      <c r="A2" s="53" t="s">
        <v>209</v>
      </c>
      <c r="B2" s="54"/>
      <c r="C2" s="55" t="s">
        <v>3</v>
      </c>
      <c r="D2" s="55"/>
      <c r="E2" s="55"/>
      <c r="F2" s="55"/>
      <c r="G2" s="55"/>
      <c r="H2" s="55"/>
      <c r="I2" s="55"/>
      <c r="J2" s="55"/>
      <c r="K2" s="56"/>
      <c r="L2" s="56"/>
      <c r="M2" s="55"/>
      <c r="N2" s="55"/>
      <c r="O2" s="55"/>
      <c r="P2" s="55"/>
      <c r="Q2" s="56"/>
      <c r="R2" s="56"/>
      <c r="S2" s="56"/>
      <c r="T2" s="56"/>
      <c r="U2" s="55"/>
      <c r="V2" s="55"/>
      <c r="W2" s="55"/>
      <c r="X2" s="55"/>
      <c r="Y2" s="55"/>
      <c r="Z2" s="55"/>
    </row>
    <row r="3">
      <c r="A3" s="57" t="s">
        <v>210</v>
      </c>
      <c r="B3" s="58"/>
      <c r="C3" s="4"/>
      <c r="D3" s="4"/>
      <c r="E3" s="4"/>
      <c r="F3" s="4"/>
      <c r="G3" s="4"/>
      <c r="H3" s="4"/>
      <c r="I3" s="4"/>
      <c r="J3" s="4"/>
      <c r="K3" s="59"/>
      <c r="L3" s="59"/>
      <c r="M3" s="4"/>
      <c r="N3" s="4"/>
      <c r="O3" s="4"/>
      <c r="P3" s="4"/>
      <c r="Q3" s="59"/>
      <c r="R3" s="59"/>
      <c r="S3" s="59"/>
      <c r="T3" s="59"/>
      <c r="U3" s="4"/>
      <c r="V3" s="4"/>
      <c r="W3" s="4"/>
      <c r="X3" s="4"/>
      <c r="Y3" s="4"/>
      <c r="Z3" s="4"/>
    </row>
    <row r="4">
      <c r="G4" s="60" t="s">
        <v>211</v>
      </c>
      <c r="H4" s="61"/>
      <c r="I4" s="61"/>
      <c r="J4" s="62"/>
      <c r="K4" s="63" t="s">
        <v>212</v>
      </c>
      <c r="L4" s="9"/>
      <c r="M4" s="10"/>
      <c r="N4" s="63" t="s">
        <v>213</v>
      </c>
      <c r="O4" s="9"/>
      <c r="P4" s="10"/>
      <c r="Q4" s="64" t="s">
        <v>214</v>
      </c>
      <c r="R4" s="65"/>
      <c r="S4" s="65"/>
      <c r="T4" s="66"/>
    </row>
    <row r="5" ht="72.75" customHeight="1">
      <c r="A5" s="67" t="s">
        <v>6</v>
      </c>
      <c r="B5" s="67" t="s">
        <v>7</v>
      </c>
      <c r="C5" s="67" t="s">
        <v>8</v>
      </c>
      <c r="D5" s="67" t="s">
        <v>9</v>
      </c>
      <c r="E5" s="67" t="s">
        <v>10</v>
      </c>
      <c r="F5" s="67" t="s">
        <v>11</v>
      </c>
      <c r="G5" s="67" t="s">
        <v>12</v>
      </c>
      <c r="H5" s="67" t="s">
        <v>215</v>
      </c>
      <c r="I5" s="67" t="s">
        <v>14</v>
      </c>
      <c r="J5" s="67" t="s">
        <v>15</v>
      </c>
      <c r="K5" s="68" t="s">
        <v>16</v>
      </c>
      <c r="L5" s="68" t="s">
        <v>216</v>
      </c>
      <c r="M5" s="67" t="s">
        <v>217</v>
      </c>
      <c r="N5" s="67" t="s">
        <v>218</v>
      </c>
      <c r="O5" s="67" t="s">
        <v>17</v>
      </c>
      <c r="P5" s="67" t="s">
        <v>219</v>
      </c>
      <c r="Q5" s="68" t="s">
        <v>21</v>
      </c>
      <c r="R5" s="68" t="s">
        <v>22</v>
      </c>
      <c r="S5" s="68" t="s">
        <v>220</v>
      </c>
      <c r="T5" s="68" t="s">
        <v>24</v>
      </c>
      <c r="U5" s="67" t="s">
        <v>25</v>
      </c>
      <c r="V5" s="69" t="s">
        <v>26</v>
      </c>
      <c r="W5" s="41"/>
      <c r="X5" s="41"/>
      <c r="Y5" s="41"/>
      <c r="Z5" s="41"/>
    </row>
    <row r="6">
      <c r="A6" s="70" t="s">
        <v>221</v>
      </c>
      <c r="B6" s="71" t="s">
        <v>222</v>
      </c>
      <c r="C6" s="71" t="s">
        <v>223</v>
      </c>
      <c r="D6" s="71" t="s">
        <v>179</v>
      </c>
      <c r="E6" s="71" t="s">
        <v>31</v>
      </c>
      <c r="F6" s="71">
        <v>1.0</v>
      </c>
      <c r="G6" s="70">
        <v>2022.0</v>
      </c>
      <c r="H6" s="72">
        <v>1.0</v>
      </c>
      <c r="I6" s="71">
        <v>1.0</v>
      </c>
      <c r="J6" s="71" t="str">
        <f>'Groupe Temoin '!$G6&amp;"-"&amp;'Groupe Temoin '!$H6&amp;"-"&amp;'Groupe Temoin '!$I6</f>
        <v>2022-1-1</v>
      </c>
      <c r="K6" s="71">
        <v>4.5</v>
      </c>
      <c r="L6" s="71">
        <v>10.0</v>
      </c>
      <c r="M6" s="73">
        <f>AVERAGE('Groupe Temoin '!$K6+'Groupe Temoin '!$L6)/2</f>
        <v>7.25</v>
      </c>
      <c r="N6" s="71">
        <v>10.0</v>
      </c>
      <c r="O6" s="71">
        <v>10.0</v>
      </c>
      <c r="P6" s="73">
        <f>AVERAGE('Groupe Temoin '!$N6+'Groupe Temoin '!$O6)/2</f>
        <v>10</v>
      </c>
      <c r="Q6" s="74"/>
      <c r="R6" s="74"/>
      <c r="S6" s="74"/>
      <c r="T6" s="74"/>
      <c r="U6" s="74"/>
      <c r="V6" s="75"/>
      <c r="W6" s="76"/>
      <c r="X6" s="76"/>
      <c r="Y6" s="76"/>
      <c r="Z6" s="76"/>
    </row>
    <row r="7">
      <c r="A7" s="77" t="s">
        <v>221</v>
      </c>
      <c r="B7" s="78" t="s">
        <v>224</v>
      </c>
      <c r="C7" s="78" t="s">
        <v>225</v>
      </c>
      <c r="D7" s="78" t="s">
        <v>226</v>
      </c>
      <c r="E7" s="78" t="s">
        <v>31</v>
      </c>
      <c r="F7" s="78">
        <v>2.0</v>
      </c>
      <c r="G7" s="79">
        <v>2022.0</v>
      </c>
      <c r="H7" s="80">
        <v>1.0</v>
      </c>
      <c r="I7" s="78">
        <v>2.0</v>
      </c>
      <c r="J7" s="78" t="str">
        <f>'Groupe Temoin '!$G7&amp;"-"&amp;'Groupe Temoin '!$H7&amp;"-"&amp;'Groupe Temoin '!$I7</f>
        <v>2022-1-2</v>
      </c>
      <c r="K7" s="78">
        <v>6.0</v>
      </c>
      <c r="L7" s="78">
        <v>9.0</v>
      </c>
      <c r="M7" s="78">
        <f>AVERAGE('Groupe Temoin '!$K7+'Groupe Temoin '!$L7)/2</f>
        <v>7.5</v>
      </c>
      <c r="N7" s="78">
        <v>4.0</v>
      </c>
      <c r="O7" s="78">
        <v>2.0</v>
      </c>
      <c r="P7" s="78">
        <f>AVERAGE('Groupe Temoin '!$N7+'Groupe Temoin '!$O7)/2</f>
        <v>3</v>
      </c>
      <c r="Q7" s="81"/>
      <c r="R7" s="81"/>
      <c r="S7" s="81"/>
      <c r="T7" s="81"/>
      <c r="U7" s="81"/>
      <c r="V7" s="79"/>
      <c r="W7" s="76"/>
      <c r="X7" s="76"/>
      <c r="Y7" s="76"/>
      <c r="Z7" s="76"/>
    </row>
    <row r="8">
      <c r="A8" s="70" t="s">
        <v>221</v>
      </c>
      <c r="B8" s="75" t="s">
        <v>227</v>
      </c>
      <c r="C8" s="82" t="s">
        <v>225</v>
      </c>
      <c r="D8" s="75" t="s">
        <v>228</v>
      </c>
      <c r="E8" s="82" t="s">
        <v>31</v>
      </c>
      <c r="F8" s="82">
        <v>3.0</v>
      </c>
      <c r="G8" s="75">
        <v>2022.0</v>
      </c>
      <c r="H8" s="83">
        <v>1.0</v>
      </c>
      <c r="I8" s="82">
        <v>3.0</v>
      </c>
      <c r="J8" s="75" t="str">
        <f>'Groupe Temoin '!$G8&amp;"-"&amp;'Groupe Temoin '!$H8&amp;"-"&amp;'Groupe Temoin '!$I8</f>
        <v>2022-1-3</v>
      </c>
      <c r="K8" s="82">
        <v>6.5</v>
      </c>
      <c r="L8" s="82">
        <v>14.0</v>
      </c>
      <c r="M8" s="82">
        <f>AVERAGE('Groupe Temoin '!$K8+'Groupe Temoin '!$L8)/2</f>
        <v>10.25</v>
      </c>
      <c r="N8" s="82">
        <v>4.0</v>
      </c>
      <c r="O8" s="82">
        <v>7.5</v>
      </c>
      <c r="P8" s="82">
        <f>AVERAGE('Groupe Temoin '!$N8+'Groupe Temoin '!$O8)/2</f>
        <v>5.75</v>
      </c>
      <c r="Q8" s="84"/>
      <c r="R8" s="84"/>
      <c r="S8" s="84"/>
      <c r="T8" s="84"/>
      <c r="U8" s="75"/>
      <c r="V8" s="75"/>
      <c r="W8" s="76"/>
      <c r="X8" s="76"/>
      <c r="Y8" s="76"/>
      <c r="Z8" s="76"/>
    </row>
    <row r="9">
      <c r="A9" s="77" t="s">
        <v>221</v>
      </c>
      <c r="B9" s="78" t="s">
        <v>229</v>
      </c>
      <c r="C9" s="85" t="s">
        <v>223</v>
      </c>
      <c r="D9" s="78" t="s">
        <v>230</v>
      </c>
      <c r="E9" s="78" t="s">
        <v>31</v>
      </c>
      <c r="F9" s="78">
        <v>4.0</v>
      </c>
      <c r="G9" s="79">
        <v>2022.0</v>
      </c>
      <c r="H9" s="80">
        <v>1.0</v>
      </c>
      <c r="I9" s="78">
        <v>4.0</v>
      </c>
      <c r="J9" s="78" t="str">
        <f>'Groupe Temoin '!$G9&amp;"-"&amp;'Groupe Temoin '!$H9&amp;"-"&amp;'Groupe Temoin '!$I9</f>
        <v>2022-1-4</v>
      </c>
      <c r="K9" s="78">
        <v>8.5</v>
      </c>
      <c r="L9" s="78">
        <v>14.5</v>
      </c>
      <c r="M9" s="78">
        <f>AVERAGE('Groupe Temoin '!$K9+'Groupe Temoin '!$L9)/2</f>
        <v>11.5</v>
      </c>
      <c r="N9" s="78">
        <v>3.5</v>
      </c>
      <c r="O9" s="78">
        <v>6.0</v>
      </c>
      <c r="P9" s="78">
        <f>AVERAGE('Groupe Temoin '!$N9+'Groupe Temoin '!$O9)/2</f>
        <v>4.75</v>
      </c>
      <c r="Q9" s="81"/>
      <c r="R9" s="81"/>
      <c r="S9" s="81"/>
      <c r="T9" s="81"/>
      <c r="U9" s="81"/>
      <c r="V9" s="79"/>
      <c r="W9" s="76"/>
      <c r="X9" s="76"/>
      <c r="Y9" s="76"/>
      <c r="Z9" s="76"/>
    </row>
    <row r="10">
      <c r="A10" s="70" t="s">
        <v>221</v>
      </c>
      <c r="B10" s="82" t="s">
        <v>231</v>
      </c>
      <c r="C10" s="86" t="s">
        <v>223</v>
      </c>
      <c r="D10" s="82" t="s">
        <v>232</v>
      </c>
      <c r="E10" s="82" t="s">
        <v>31</v>
      </c>
      <c r="F10" s="82">
        <v>5.0</v>
      </c>
      <c r="G10" s="75">
        <v>2022.0</v>
      </c>
      <c r="H10" s="83">
        <v>1.0</v>
      </c>
      <c r="I10" s="82">
        <v>5.0</v>
      </c>
      <c r="J10" s="82" t="str">
        <f>'Groupe Temoin '!$G10&amp;"-"&amp;'Groupe Temoin '!$H10&amp;"-"&amp;'Groupe Temoin '!$I10</f>
        <v>2022-1-5</v>
      </c>
      <c r="K10" s="82">
        <v>3.0</v>
      </c>
      <c r="L10" s="82">
        <v>3.0</v>
      </c>
      <c r="M10" s="82">
        <f>AVERAGE('Groupe Temoin '!$K10+'Groupe Temoin '!$L10)/2</f>
        <v>3</v>
      </c>
      <c r="N10" s="82">
        <v>2.0</v>
      </c>
      <c r="O10" s="82">
        <v>2.0</v>
      </c>
      <c r="P10" s="82">
        <f>AVERAGE('Groupe Temoin '!$N10+'Groupe Temoin '!$O10)/2</f>
        <v>2</v>
      </c>
      <c r="Q10" s="87"/>
      <c r="R10" s="87"/>
      <c r="S10" s="87"/>
      <c r="T10" s="87"/>
      <c r="U10" s="87"/>
      <c r="V10" s="75"/>
      <c r="W10" s="76"/>
      <c r="X10" s="76"/>
      <c r="Y10" s="76"/>
      <c r="Z10" s="76"/>
    </row>
    <row r="11">
      <c r="A11" s="77" t="s">
        <v>221</v>
      </c>
      <c r="B11" s="79" t="s">
        <v>233</v>
      </c>
      <c r="C11" s="85" t="s">
        <v>223</v>
      </c>
      <c r="D11" s="79" t="s">
        <v>234</v>
      </c>
      <c r="E11" s="78" t="s">
        <v>31</v>
      </c>
      <c r="F11" s="78">
        <v>6.0</v>
      </c>
      <c r="G11" s="79">
        <v>2022.0</v>
      </c>
      <c r="H11" s="80">
        <v>1.0</v>
      </c>
      <c r="I11" s="78">
        <v>6.0</v>
      </c>
      <c r="J11" s="79" t="str">
        <f>'Groupe Temoin '!$G11&amp;"-"&amp;'Groupe Temoin '!$H11&amp;"-"&amp;'Groupe Temoin '!$I11</f>
        <v>2022-1-6</v>
      </c>
      <c r="K11" s="78">
        <v>5.5</v>
      </c>
      <c r="L11" s="78">
        <v>10.0</v>
      </c>
      <c r="M11" s="78">
        <f>AVERAGE('Groupe Temoin '!$K11+'Groupe Temoin '!$L11)/2</f>
        <v>7.75</v>
      </c>
      <c r="N11" s="78">
        <v>4.25</v>
      </c>
      <c r="O11" s="78">
        <v>10.0</v>
      </c>
      <c r="P11" s="78">
        <f>AVERAGE('Groupe Temoin '!$N11+'Groupe Temoin '!$O11)/2</f>
        <v>7.125</v>
      </c>
      <c r="Q11" s="88"/>
      <c r="R11" s="88"/>
      <c r="S11" s="88"/>
      <c r="T11" s="88"/>
      <c r="U11" s="79"/>
      <c r="V11" s="79"/>
      <c r="W11" s="76"/>
      <c r="X11" s="76"/>
      <c r="Y11" s="76"/>
      <c r="Z11" s="76"/>
    </row>
    <row r="12">
      <c r="A12" s="70" t="s">
        <v>221</v>
      </c>
      <c r="B12" s="75" t="s">
        <v>235</v>
      </c>
      <c r="C12" s="86" t="s">
        <v>223</v>
      </c>
      <c r="D12" s="75" t="s">
        <v>236</v>
      </c>
      <c r="E12" s="82" t="s">
        <v>31</v>
      </c>
      <c r="F12" s="82">
        <v>7.0</v>
      </c>
      <c r="G12" s="75">
        <v>2022.0</v>
      </c>
      <c r="H12" s="83">
        <v>1.0</v>
      </c>
      <c r="I12" s="82">
        <v>7.0</v>
      </c>
      <c r="J12" s="75" t="str">
        <f>'Groupe Temoin '!$G12&amp;"-"&amp;'Groupe Temoin '!$H12&amp;"-"&amp;'Groupe Temoin '!$I12</f>
        <v>2022-1-7</v>
      </c>
      <c r="K12" s="82">
        <v>6.0</v>
      </c>
      <c r="L12" s="82">
        <v>10.0</v>
      </c>
      <c r="M12" s="82">
        <f>AVERAGE('Groupe Temoin '!$K12+'Groupe Temoin '!$L12)/2</f>
        <v>8</v>
      </c>
      <c r="N12" s="82">
        <v>6.0</v>
      </c>
      <c r="O12" s="82">
        <v>6.0</v>
      </c>
      <c r="P12" s="82">
        <f>AVERAGE('Groupe Temoin '!$N12+'Groupe Temoin '!$O12)/2</f>
        <v>6</v>
      </c>
      <c r="Q12" s="84"/>
      <c r="R12" s="84"/>
      <c r="S12" s="84"/>
      <c r="T12" s="84"/>
      <c r="U12" s="75"/>
      <c r="V12" s="75"/>
      <c r="W12" s="76"/>
      <c r="X12" s="76"/>
      <c r="Y12" s="76"/>
      <c r="Z12" s="76"/>
    </row>
    <row r="13">
      <c r="A13" s="77" t="s">
        <v>221</v>
      </c>
      <c r="B13" s="79" t="s">
        <v>237</v>
      </c>
      <c r="C13" s="85" t="s">
        <v>223</v>
      </c>
      <c r="D13" s="79" t="s">
        <v>238</v>
      </c>
      <c r="E13" s="78" t="s">
        <v>31</v>
      </c>
      <c r="F13" s="78">
        <v>8.0</v>
      </c>
      <c r="G13" s="79">
        <v>2022.0</v>
      </c>
      <c r="H13" s="80">
        <v>1.0</v>
      </c>
      <c r="I13" s="78">
        <v>8.0</v>
      </c>
      <c r="J13" s="79" t="str">
        <f>'Groupe Temoin '!$G13&amp;"-"&amp;'Groupe Temoin '!$H13&amp;"-"&amp;'Groupe Temoin '!$I13</f>
        <v>2022-1-8</v>
      </c>
      <c r="K13" s="78">
        <v>2.5</v>
      </c>
      <c r="L13" s="78">
        <v>5.0</v>
      </c>
      <c r="M13" s="78">
        <f>AVERAGE('Groupe Temoin '!$K13+'Groupe Temoin '!$L13)/2</f>
        <v>3.75</v>
      </c>
      <c r="N13" s="78">
        <v>6.0</v>
      </c>
      <c r="O13" s="78">
        <v>7.0</v>
      </c>
      <c r="P13" s="78">
        <f>AVERAGE('Groupe Temoin '!$N13+'Groupe Temoin '!$O13)/2</f>
        <v>6.5</v>
      </c>
      <c r="Q13" s="88"/>
      <c r="R13" s="88"/>
      <c r="S13" s="88"/>
      <c r="T13" s="88"/>
      <c r="U13" s="79"/>
      <c r="V13" s="79"/>
      <c r="W13" s="76"/>
      <c r="X13" s="76"/>
      <c r="Y13" s="76"/>
      <c r="Z13" s="76"/>
    </row>
    <row r="14">
      <c r="A14" s="70" t="s">
        <v>221</v>
      </c>
      <c r="B14" s="75" t="s">
        <v>184</v>
      </c>
      <c r="C14" s="86" t="s">
        <v>239</v>
      </c>
      <c r="D14" s="75" t="s">
        <v>185</v>
      </c>
      <c r="E14" s="82" t="s">
        <v>31</v>
      </c>
      <c r="F14" s="82">
        <v>9.0</v>
      </c>
      <c r="G14" s="75">
        <v>2022.0</v>
      </c>
      <c r="H14" s="83">
        <v>1.0</v>
      </c>
      <c r="I14" s="82">
        <v>9.0</v>
      </c>
      <c r="J14" s="75" t="str">
        <f>'Groupe Temoin '!$G14&amp;"-"&amp;'Groupe Temoin '!$H14&amp;"-"&amp;'Groupe Temoin '!$I14</f>
        <v>2022-1-9</v>
      </c>
      <c r="K14" s="82">
        <v>4.0</v>
      </c>
      <c r="L14" s="82">
        <v>13.0</v>
      </c>
      <c r="M14" s="82">
        <f>AVERAGE('Groupe Temoin '!$K14+'Groupe Temoin '!$L14)/2</f>
        <v>8.5</v>
      </c>
      <c r="N14" s="82">
        <v>6.5</v>
      </c>
      <c r="O14" s="82">
        <v>5.0</v>
      </c>
      <c r="P14" s="82">
        <f>AVERAGE('Groupe Temoin '!$N14+'Groupe Temoin '!$O14)/2</f>
        <v>5.75</v>
      </c>
      <c r="Q14" s="84"/>
      <c r="R14" s="84"/>
      <c r="S14" s="84"/>
      <c r="T14" s="84"/>
      <c r="U14" s="75"/>
      <c r="V14" s="75"/>
      <c r="W14" s="76"/>
      <c r="X14" s="76"/>
      <c r="Y14" s="76"/>
      <c r="Z14" s="76"/>
    </row>
    <row r="15">
      <c r="A15" s="77" t="s">
        <v>221</v>
      </c>
      <c r="B15" s="79" t="s">
        <v>240</v>
      </c>
      <c r="C15" s="85" t="s">
        <v>223</v>
      </c>
      <c r="D15" s="79" t="s">
        <v>241</v>
      </c>
      <c r="E15" s="78" t="s">
        <v>31</v>
      </c>
      <c r="F15" s="78">
        <v>10.0</v>
      </c>
      <c r="G15" s="79">
        <v>2022.0</v>
      </c>
      <c r="H15" s="80">
        <v>1.0</v>
      </c>
      <c r="I15" s="78">
        <v>10.0</v>
      </c>
      <c r="J15" s="79" t="str">
        <f>'Groupe Temoin '!$G15&amp;"-"&amp;'Groupe Temoin '!$H15&amp;"-"&amp;'Groupe Temoin '!$I15</f>
        <v>2022-1-10</v>
      </c>
      <c r="K15" s="78">
        <v>5.5</v>
      </c>
      <c r="L15" s="78">
        <v>13.0</v>
      </c>
      <c r="M15" s="78">
        <f>AVERAGE('Groupe Temoin '!$K15+'Groupe Temoin '!$L15)/2</f>
        <v>9.25</v>
      </c>
      <c r="N15" s="78">
        <v>7.0</v>
      </c>
      <c r="O15" s="78">
        <v>5.5</v>
      </c>
      <c r="P15" s="78">
        <f>AVERAGE('Groupe Temoin '!$N15+'Groupe Temoin '!$O15)/2</f>
        <v>6.25</v>
      </c>
      <c r="Q15" s="88"/>
      <c r="R15" s="88"/>
      <c r="S15" s="88"/>
      <c r="T15" s="88"/>
      <c r="U15" s="79"/>
      <c r="V15" s="79"/>
      <c r="W15" s="76"/>
      <c r="X15" s="76"/>
      <c r="Y15" s="76"/>
      <c r="Z15" s="76"/>
    </row>
    <row r="16">
      <c r="A16" s="70" t="s">
        <v>221</v>
      </c>
      <c r="B16" s="75" t="s">
        <v>242</v>
      </c>
      <c r="C16" s="86" t="s">
        <v>223</v>
      </c>
      <c r="D16" s="75" t="s">
        <v>243</v>
      </c>
      <c r="E16" s="82" t="s">
        <v>31</v>
      </c>
      <c r="F16" s="82">
        <v>11.0</v>
      </c>
      <c r="G16" s="75">
        <v>2022.0</v>
      </c>
      <c r="H16" s="83">
        <v>1.0</v>
      </c>
      <c r="I16" s="82">
        <v>11.0</v>
      </c>
      <c r="J16" s="75" t="str">
        <f>'Groupe Temoin '!$G16&amp;"-"&amp;'Groupe Temoin '!$H16&amp;"-"&amp;'Groupe Temoin '!$I16</f>
        <v>2022-1-11</v>
      </c>
      <c r="K16" s="82">
        <v>6.5</v>
      </c>
      <c r="L16" s="82">
        <v>10.0</v>
      </c>
      <c r="M16" s="82">
        <f>AVERAGE('Groupe Temoin '!$K16+'Groupe Temoin '!$L16)/2</f>
        <v>8.25</v>
      </c>
      <c r="N16" s="82">
        <v>1.5</v>
      </c>
      <c r="O16" s="82">
        <v>9.0</v>
      </c>
      <c r="P16" s="82">
        <f>AVERAGE('Groupe Temoin '!$N16+'Groupe Temoin '!$O16)/2</f>
        <v>5.25</v>
      </c>
      <c r="Q16" s="84"/>
      <c r="R16" s="84"/>
      <c r="S16" s="84"/>
      <c r="T16" s="84"/>
      <c r="U16" s="75"/>
      <c r="V16" s="75"/>
      <c r="W16" s="76"/>
      <c r="X16" s="76"/>
      <c r="Y16" s="76"/>
      <c r="Z16" s="76"/>
    </row>
    <row r="17">
      <c r="A17" s="77" t="s">
        <v>221</v>
      </c>
      <c r="B17" s="79" t="s">
        <v>244</v>
      </c>
      <c r="C17" s="85" t="s">
        <v>223</v>
      </c>
      <c r="D17" s="79" t="s">
        <v>245</v>
      </c>
      <c r="E17" s="78" t="s">
        <v>31</v>
      </c>
      <c r="F17" s="78">
        <v>12.0</v>
      </c>
      <c r="G17" s="79">
        <v>2022.0</v>
      </c>
      <c r="H17" s="80">
        <v>1.0</v>
      </c>
      <c r="I17" s="78">
        <v>12.0</v>
      </c>
      <c r="J17" s="79" t="str">
        <f>'Groupe Temoin '!$G17&amp;"-"&amp;'Groupe Temoin '!$H17&amp;"-"&amp;'Groupe Temoin '!$I17</f>
        <v>2022-1-12</v>
      </c>
      <c r="K17" s="78">
        <v>5.0</v>
      </c>
      <c r="L17" s="78">
        <v>10.0</v>
      </c>
      <c r="M17" s="78">
        <f>AVERAGE('Groupe Temoin '!$K17+'Groupe Temoin '!$L17)/2</f>
        <v>7.5</v>
      </c>
      <c r="N17" s="78">
        <v>2.75</v>
      </c>
      <c r="O17" s="78">
        <v>2.0</v>
      </c>
      <c r="P17" s="78">
        <f>AVERAGE('Groupe Temoin '!$N17+'Groupe Temoin '!$O17)/2</f>
        <v>2.375</v>
      </c>
      <c r="Q17" s="88"/>
      <c r="R17" s="88"/>
      <c r="S17" s="88"/>
      <c r="T17" s="88"/>
      <c r="U17" s="79"/>
      <c r="V17" s="79"/>
      <c r="W17" s="76"/>
      <c r="X17" s="76"/>
      <c r="Y17" s="76"/>
      <c r="Z17" s="76"/>
    </row>
    <row r="18">
      <c r="A18" s="70" t="s">
        <v>221</v>
      </c>
      <c r="B18" s="75" t="s">
        <v>246</v>
      </c>
      <c r="C18" s="86" t="s">
        <v>223</v>
      </c>
      <c r="D18" s="75" t="s">
        <v>247</v>
      </c>
      <c r="E18" s="82" t="s">
        <v>31</v>
      </c>
      <c r="F18" s="82">
        <v>13.0</v>
      </c>
      <c r="G18" s="75">
        <v>2022.0</v>
      </c>
      <c r="H18" s="83">
        <v>1.0</v>
      </c>
      <c r="I18" s="82">
        <v>13.0</v>
      </c>
      <c r="J18" s="75" t="str">
        <f>'Groupe Temoin '!$G18&amp;"-"&amp;'Groupe Temoin '!$H18&amp;"-"&amp;'Groupe Temoin '!$I18</f>
        <v>2022-1-13</v>
      </c>
      <c r="K18" s="82">
        <v>2.5</v>
      </c>
      <c r="L18" s="82">
        <v>10.0</v>
      </c>
      <c r="M18" s="82">
        <f>AVERAGE('Groupe Temoin '!$K18+'Groupe Temoin '!$L18)/2</f>
        <v>6.25</v>
      </c>
      <c r="N18" s="82">
        <v>3.0</v>
      </c>
      <c r="O18" s="82">
        <v>9.0</v>
      </c>
      <c r="P18" s="82">
        <f>AVERAGE('Groupe Temoin '!$N18+'Groupe Temoin '!$O18)/2</f>
        <v>6</v>
      </c>
      <c r="Q18" s="84"/>
      <c r="R18" s="84"/>
      <c r="S18" s="87"/>
      <c r="T18" s="84"/>
      <c r="U18" s="75"/>
      <c r="V18" s="75"/>
      <c r="W18" s="76"/>
      <c r="X18" s="76"/>
      <c r="Y18" s="76"/>
      <c r="Z18" s="76"/>
    </row>
    <row r="19">
      <c r="A19" s="77" t="s">
        <v>221</v>
      </c>
      <c r="B19" s="78" t="s">
        <v>248</v>
      </c>
      <c r="C19" s="85" t="s">
        <v>223</v>
      </c>
      <c r="D19" s="78" t="s">
        <v>249</v>
      </c>
      <c r="E19" s="78" t="s">
        <v>31</v>
      </c>
      <c r="F19" s="78">
        <v>14.0</v>
      </c>
      <c r="G19" s="79">
        <v>2022.0</v>
      </c>
      <c r="H19" s="80">
        <v>1.0</v>
      </c>
      <c r="I19" s="78">
        <v>14.0</v>
      </c>
      <c r="J19" s="78" t="str">
        <f>'Groupe Temoin '!$G19&amp;"-"&amp;'Groupe Temoin '!$H19&amp;"-"&amp;'Groupe Temoin '!$I19</f>
        <v>2022-1-14</v>
      </c>
      <c r="K19" s="78">
        <v>5.75</v>
      </c>
      <c r="L19" s="78">
        <v>10.0</v>
      </c>
      <c r="M19" s="78">
        <f>AVERAGE('Groupe Temoin '!$K19+'Groupe Temoin '!$L19)/2</f>
        <v>7.875</v>
      </c>
      <c r="N19" s="78">
        <v>4.0</v>
      </c>
      <c r="O19" s="78">
        <v>7.0</v>
      </c>
      <c r="P19" s="78">
        <f>AVERAGE('Groupe Temoin '!$N19+'Groupe Temoin '!$O19)/2</f>
        <v>5.5</v>
      </c>
      <c r="Q19" s="81"/>
      <c r="R19" s="81"/>
      <c r="S19" s="81"/>
      <c r="T19" s="81"/>
      <c r="U19" s="81"/>
      <c r="V19" s="79"/>
      <c r="W19" s="76"/>
      <c r="X19" s="76"/>
      <c r="Y19" s="76"/>
      <c r="Z19" s="76"/>
    </row>
    <row r="20">
      <c r="A20" s="70" t="s">
        <v>221</v>
      </c>
      <c r="B20" s="82" t="s">
        <v>250</v>
      </c>
      <c r="C20" s="86" t="s">
        <v>223</v>
      </c>
      <c r="D20" s="82" t="s">
        <v>251</v>
      </c>
      <c r="E20" s="82" t="s">
        <v>31</v>
      </c>
      <c r="F20" s="82">
        <v>15.0</v>
      </c>
      <c r="G20" s="75">
        <v>2022.0</v>
      </c>
      <c r="H20" s="83">
        <v>1.0</v>
      </c>
      <c r="I20" s="82">
        <v>15.0</v>
      </c>
      <c r="J20" s="82" t="str">
        <f>'Groupe Temoin '!$G20&amp;"-"&amp;'Groupe Temoin '!$H20&amp;"-"&amp;'Groupe Temoin '!$I20</f>
        <v>2022-1-15</v>
      </c>
      <c r="K20" s="82">
        <v>3.25</v>
      </c>
      <c r="L20" s="82">
        <v>4.0</v>
      </c>
      <c r="M20" s="82">
        <f>AVERAGE('Groupe Temoin '!$K20+'Groupe Temoin '!$L20)/2</f>
        <v>3.625</v>
      </c>
      <c r="N20" s="82">
        <v>1.5</v>
      </c>
      <c r="O20" s="82">
        <v>6.0</v>
      </c>
      <c r="P20" s="82">
        <f>AVERAGE('Groupe Temoin '!$N20+'Groupe Temoin '!$O20)/2</f>
        <v>3.75</v>
      </c>
      <c r="Q20" s="87"/>
      <c r="R20" s="87"/>
      <c r="S20" s="87"/>
      <c r="T20" s="87"/>
      <c r="U20" s="87"/>
      <c r="V20" s="75"/>
      <c r="W20" s="76"/>
      <c r="X20" s="76"/>
      <c r="Y20" s="76"/>
      <c r="Z20" s="76"/>
    </row>
    <row r="21" ht="15.75" customHeight="1">
      <c r="A21" s="77" t="s">
        <v>221</v>
      </c>
      <c r="B21" s="78" t="s">
        <v>252</v>
      </c>
      <c r="C21" s="85" t="s">
        <v>223</v>
      </c>
      <c r="D21" s="78" t="s">
        <v>243</v>
      </c>
      <c r="E21" s="78" t="s">
        <v>31</v>
      </c>
      <c r="F21" s="78">
        <v>16.0</v>
      </c>
      <c r="G21" s="79">
        <v>2022.0</v>
      </c>
      <c r="H21" s="80">
        <v>1.0</v>
      </c>
      <c r="I21" s="78">
        <v>16.0</v>
      </c>
      <c r="J21" s="78" t="str">
        <f>'Groupe Temoin '!$G21&amp;"-"&amp;'Groupe Temoin '!$H21&amp;"-"&amp;'Groupe Temoin '!$I21</f>
        <v>2022-1-16</v>
      </c>
      <c r="K21" s="78">
        <v>7.75</v>
      </c>
      <c r="L21" s="78">
        <v>10.0</v>
      </c>
      <c r="M21" s="78">
        <f>AVERAGE('Groupe Temoin '!$K21+'Groupe Temoin '!$L21)/2</f>
        <v>8.875</v>
      </c>
      <c r="N21" s="78">
        <v>3.5</v>
      </c>
      <c r="O21" s="78">
        <v>4.0</v>
      </c>
      <c r="P21" s="78">
        <f>AVERAGE('Groupe Temoin '!$N21+'Groupe Temoin '!$O21)/2</f>
        <v>3.75</v>
      </c>
      <c r="Q21" s="81"/>
      <c r="R21" s="81"/>
      <c r="S21" s="81"/>
      <c r="T21" s="81"/>
      <c r="U21" s="81"/>
      <c r="V21" s="79"/>
      <c r="W21" s="76"/>
      <c r="X21" s="76"/>
      <c r="Y21" s="76"/>
      <c r="Z21" s="76"/>
    </row>
    <row r="22" ht="15.75" customHeight="1">
      <c r="A22" s="70" t="s">
        <v>221</v>
      </c>
      <c r="B22" s="82" t="s">
        <v>253</v>
      </c>
      <c r="C22" s="86" t="s">
        <v>223</v>
      </c>
      <c r="D22" s="82" t="s">
        <v>254</v>
      </c>
      <c r="E22" s="82" t="s">
        <v>31</v>
      </c>
      <c r="F22" s="82">
        <v>17.0</v>
      </c>
      <c r="G22" s="75">
        <v>2022.0</v>
      </c>
      <c r="H22" s="83">
        <v>1.0</v>
      </c>
      <c r="I22" s="82">
        <v>17.0</v>
      </c>
      <c r="J22" s="82" t="str">
        <f>'Groupe Temoin '!$G22&amp;"-"&amp;'Groupe Temoin '!$H22&amp;"-"&amp;'Groupe Temoin '!$I22</f>
        <v>2022-1-17</v>
      </c>
      <c r="K22" s="82">
        <v>4.0</v>
      </c>
      <c r="L22" s="82">
        <v>8.0</v>
      </c>
      <c r="M22" s="82">
        <f>AVERAGE('Groupe Temoin '!$K22+'Groupe Temoin '!$L22)/2</f>
        <v>6</v>
      </c>
      <c r="N22" s="82">
        <v>5.0</v>
      </c>
      <c r="O22" s="82">
        <v>4.0</v>
      </c>
      <c r="P22" s="82">
        <f>AVERAGE('Groupe Temoin '!$N22+'Groupe Temoin '!$O22)/2</f>
        <v>4.5</v>
      </c>
      <c r="Q22" s="87"/>
      <c r="R22" s="87"/>
      <c r="S22" s="87"/>
      <c r="T22" s="87"/>
      <c r="U22" s="87"/>
      <c r="V22" s="75"/>
      <c r="W22" s="76"/>
      <c r="X22" s="76"/>
      <c r="Y22" s="76"/>
      <c r="Z22" s="76"/>
    </row>
    <row r="23" ht="15.75" customHeight="1">
      <c r="A23" s="77" t="s">
        <v>221</v>
      </c>
      <c r="B23" s="78" t="s">
        <v>255</v>
      </c>
      <c r="C23" s="85" t="s">
        <v>239</v>
      </c>
      <c r="D23" s="78" t="s">
        <v>256</v>
      </c>
      <c r="E23" s="78" t="s">
        <v>31</v>
      </c>
      <c r="F23" s="78">
        <v>18.0</v>
      </c>
      <c r="G23" s="79">
        <v>2022.0</v>
      </c>
      <c r="H23" s="80">
        <v>1.0</v>
      </c>
      <c r="I23" s="78">
        <v>18.0</v>
      </c>
      <c r="J23" s="78" t="str">
        <f>'Groupe Temoin '!$G23&amp;"-"&amp;'Groupe Temoin '!$H23&amp;"-"&amp;'Groupe Temoin '!$I23</f>
        <v>2022-1-18</v>
      </c>
      <c r="K23" s="78">
        <v>4.0</v>
      </c>
      <c r="L23" s="78">
        <v>10.5</v>
      </c>
      <c r="M23" s="78">
        <f>AVERAGE('Groupe Temoin '!$K23+'Groupe Temoin '!$L23)/2</f>
        <v>7.25</v>
      </c>
      <c r="N23" s="78">
        <v>5.0</v>
      </c>
      <c r="O23" s="78">
        <v>7.0</v>
      </c>
      <c r="P23" s="78">
        <f>AVERAGE('Groupe Temoin '!$N23+'Groupe Temoin '!$O23)/2</f>
        <v>6</v>
      </c>
      <c r="Q23" s="81"/>
      <c r="R23" s="81"/>
      <c r="S23" s="81"/>
      <c r="T23" s="81"/>
      <c r="U23" s="81"/>
      <c r="V23" s="79"/>
      <c r="W23" s="76"/>
      <c r="X23" s="76"/>
      <c r="Y23" s="76"/>
      <c r="Z23" s="76"/>
    </row>
    <row r="24" ht="15.75" customHeight="1">
      <c r="A24" s="70" t="s">
        <v>221</v>
      </c>
      <c r="B24" s="82" t="s">
        <v>257</v>
      </c>
      <c r="C24" s="86" t="s">
        <v>239</v>
      </c>
      <c r="D24" s="82" t="s">
        <v>234</v>
      </c>
      <c r="E24" s="82" t="s">
        <v>31</v>
      </c>
      <c r="F24" s="82">
        <v>19.0</v>
      </c>
      <c r="G24" s="75">
        <v>2022.0</v>
      </c>
      <c r="H24" s="83">
        <v>1.0</v>
      </c>
      <c r="I24" s="82">
        <v>19.0</v>
      </c>
      <c r="J24" s="82" t="str">
        <f>'Groupe Temoin '!$G24&amp;"-"&amp;'Groupe Temoin '!$H24&amp;"-"&amp;'Groupe Temoin '!$I24</f>
        <v>2022-1-19</v>
      </c>
      <c r="K24" s="82">
        <v>7.5</v>
      </c>
      <c r="L24" s="82">
        <v>9.0</v>
      </c>
      <c r="M24" s="82">
        <f>AVERAGE('Groupe Temoin '!$K24+'Groupe Temoin '!$L24)/2</f>
        <v>8.25</v>
      </c>
      <c r="N24" s="82">
        <v>4.0</v>
      </c>
      <c r="O24" s="82">
        <v>3.0</v>
      </c>
      <c r="P24" s="82">
        <f>AVERAGE('Groupe Temoin '!$N24+'Groupe Temoin '!$O24)/2</f>
        <v>3.5</v>
      </c>
      <c r="Q24" s="87"/>
      <c r="R24" s="87"/>
      <c r="S24" s="87"/>
      <c r="T24" s="87"/>
      <c r="U24" s="87"/>
      <c r="V24" s="75"/>
      <c r="W24" s="76"/>
      <c r="X24" s="76"/>
      <c r="Y24" s="76"/>
      <c r="Z24" s="76"/>
    </row>
    <row r="25" ht="15.75" customHeight="1">
      <c r="A25" s="77" t="s">
        <v>221</v>
      </c>
      <c r="B25" s="78" t="s">
        <v>258</v>
      </c>
      <c r="C25" s="85" t="s">
        <v>239</v>
      </c>
      <c r="D25" s="78" t="s">
        <v>226</v>
      </c>
      <c r="E25" s="78" t="s">
        <v>31</v>
      </c>
      <c r="F25" s="78">
        <v>20.0</v>
      </c>
      <c r="G25" s="79">
        <v>2022.0</v>
      </c>
      <c r="H25" s="80">
        <v>1.0</v>
      </c>
      <c r="I25" s="78">
        <v>20.0</v>
      </c>
      <c r="J25" s="78" t="str">
        <f>'Groupe Temoin '!$G25&amp;"-"&amp;'Groupe Temoin '!$H25&amp;"-"&amp;'Groupe Temoin '!$I25</f>
        <v>2022-1-20</v>
      </c>
      <c r="K25" s="78">
        <v>5.0</v>
      </c>
      <c r="L25" s="78">
        <v>11.0</v>
      </c>
      <c r="M25" s="78">
        <f>AVERAGE('Groupe Temoin '!$K25+'Groupe Temoin '!$L25)/2</f>
        <v>8</v>
      </c>
      <c r="N25" s="78">
        <v>7.0</v>
      </c>
      <c r="O25" s="78">
        <v>7.0</v>
      </c>
      <c r="P25" s="78">
        <f>AVERAGE('Groupe Temoin '!$N25+'Groupe Temoin '!$O25)/2</f>
        <v>7</v>
      </c>
      <c r="Q25" s="81"/>
      <c r="R25" s="81"/>
      <c r="S25" s="81"/>
      <c r="T25" s="81"/>
      <c r="U25" s="81"/>
      <c r="V25" s="79"/>
      <c r="W25" s="76"/>
      <c r="X25" s="76"/>
      <c r="Y25" s="76"/>
      <c r="Z25" s="76"/>
    </row>
    <row r="26" ht="15.75" customHeight="1">
      <c r="A26" s="70" t="s">
        <v>221</v>
      </c>
      <c r="B26" s="82" t="s">
        <v>259</v>
      </c>
      <c r="C26" s="86" t="s">
        <v>223</v>
      </c>
      <c r="D26" s="82" t="s">
        <v>249</v>
      </c>
      <c r="E26" s="82" t="s">
        <v>31</v>
      </c>
      <c r="F26" s="82">
        <v>21.0</v>
      </c>
      <c r="G26" s="75">
        <v>2022.0</v>
      </c>
      <c r="H26" s="83">
        <v>1.0</v>
      </c>
      <c r="I26" s="82">
        <v>21.0</v>
      </c>
      <c r="J26" s="82" t="str">
        <f>'Groupe Temoin '!$G26&amp;"-"&amp;'Groupe Temoin '!$H26&amp;"-"&amp;'Groupe Temoin '!$I26</f>
        <v>2022-1-21</v>
      </c>
      <c r="K26" s="82">
        <v>2.0</v>
      </c>
      <c r="L26" s="82">
        <v>6.5</v>
      </c>
      <c r="M26" s="82">
        <f>AVERAGE('Groupe Temoin '!$K26+'Groupe Temoin '!$L26)/2</f>
        <v>4.25</v>
      </c>
      <c r="N26" s="82">
        <v>6.0</v>
      </c>
      <c r="O26" s="82">
        <v>7.0</v>
      </c>
      <c r="P26" s="82">
        <f>AVERAGE('Groupe Temoin '!$N26+'Groupe Temoin '!$O26)/2</f>
        <v>6.5</v>
      </c>
      <c r="Q26" s="87"/>
      <c r="R26" s="87"/>
      <c r="S26" s="87"/>
      <c r="T26" s="87"/>
      <c r="U26" s="87"/>
      <c r="V26" s="75"/>
      <c r="W26" s="76"/>
      <c r="X26" s="76"/>
      <c r="Y26" s="76"/>
      <c r="Z26" s="76"/>
    </row>
    <row r="27" ht="15.75" customHeight="1">
      <c r="A27" s="79" t="s">
        <v>260</v>
      </c>
      <c r="B27" s="78" t="s">
        <v>261</v>
      </c>
      <c r="C27" s="85"/>
      <c r="D27" s="78" t="s">
        <v>243</v>
      </c>
      <c r="E27" s="78" t="s">
        <v>31</v>
      </c>
      <c r="F27" s="78">
        <v>22.0</v>
      </c>
      <c r="G27" s="79">
        <v>2022.0</v>
      </c>
      <c r="H27" s="80">
        <v>2.0</v>
      </c>
      <c r="I27" s="78">
        <v>22.0</v>
      </c>
      <c r="J27" s="78" t="str">
        <f>'Groupe Temoin '!$G27&amp;"-"&amp;'Groupe Temoin '!$H27&amp;"-"&amp;'Groupe Temoin '!$I27</f>
        <v>2022-2-22</v>
      </c>
      <c r="K27" s="78">
        <v>5.0</v>
      </c>
      <c r="L27" s="78">
        <v>11.5</v>
      </c>
      <c r="M27" s="78">
        <f>AVERAGE('Groupe Temoin '!$K27+'Groupe Temoin '!$L27)/2</f>
        <v>8.25</v>
      </c>
      <c r="N27" s="78">
        <v>10.0</v>
      </c>
      <c r="O27" s="78">
        <v>7.5</v>
      </c>
      <c r="P27" s="78">
        <f>AVERAGE('Groupe Temoin '!$N27+'Groupe Temoin '!$O27)/2</f>
        <v>8.75</v>
      </c>
      <c r="Q27" s="81"/>
      <c r="R27" s="81"/>
      <c r="S27" s="81"/>
      <c r="T27" s="81"/>
      <c r="U27" s="81"/>
      <c r="V27" s="79"/>
      <c r="W27" s="76"/>
      <c r="X27" s="76"/>
      <c r="Y27" s="76"/>
      <c r="Z27" s="76"/>
    </row>
    <row r="28" ht="15.75" customHeight="1">
      <c r="A28" s="75" t="s">
        <v>260</v>
      </c>
      <c r="B28" s="82" t="s">
        <v>262</v>
      </c>
      <c r="C28" s="86"/>
      <c r="D28" s="82" t="s">
        <v>263</v>
      </c>
      <c r="E28" s="82" t="s">
        <v>31</v>
      </c>
      <c r="F28" s="82">
        <v>23.0</v>
      </c>
      <c r="G28" s="75">
        <v>2022.0</v>
      </c>
      <c r="H28" s="83">
        <v>2.0</v>
      </c>
      <c r="I28" s="82">
        <v>23.0</v>
      </c>
      <c r="J28" s="82" t="str">
        <f>'Groupe Temoin '!$G28&amp;"-"&amp;'Groupe Temoin '!$H28&amp;"-"&amp;'Groupe Temoin '!$I28</f>
        <v>2022-2-23</v>
      </c>
      <c r="K28" s="82">
        <v>2.5</v>
      </c>
      <c r="L28" s="82">
        <v>4.0</v>
      </c>
      <c r="M28" s="82">
        <f>AVERAGE('Groupe Temoin '!$K28+'Groupe Temoin '!$L28)/2</f>
        <v>3.25</v>
      </c>
      <c r="N28" s="82">
        <v>2.5</v>
      </c>
      <c r="O28" s="82">
        <v>7.0</v>
      </c>
      <c r="P28" s="82">
        <f>AVERAGE('Groupe Temoin '!$N28+'Groupe Temoin '!$O28)/2</f>
        <v>4.75</v>
      </c>
      <c r="Q28" s="87"/>
      <c r="R28" s="87"/>
      <c r="S28" s="87"/>
      <c r="T28" s="87"/>
      <c r="U28" s="87"/>
      <c r="V28" s="75"/>
      <c r="W28" s="76"/>
      <c r="X28" s="76"/>
      <c r="Y28" s="76"/>
      <c r="Z28" s="76"/>
    </row>
    <row r="29" ht="15.75" customHeight="1">
      <c r="A29" s="79" t="s">
        <v>260</v>
      </c>
      <c r="B29" s="78" t="s">
        <v>264</v>
      </c>
      <c r="C29" s="85"/>
      <c r="D29" s="78" t="s">
        <v>265</v>
      </c>
      <c r="E29" s="78" t="s">
        <v>31</v>
      </c>
      <c r="F29" s="78">
        <v>24.0</v>
      </c>
      <c r="G29" s="79">
        <v>2022.0</v>
      </c>
      <c r="H29" s="80">
        <v>2.0</v>
      </c>
      <c r="I29" s="78">
        <v>24.0</v>
      </c>
      <c r="J29" s="78" t="str">
        <f>'Groupe Temoin '!$G29&amp;"-"&amp;'Groupe Temoin '!$H29&amp;"-"&amp;'Groupe Temoin '!$I29</f>
        <v>2022-2-24</v>
      </c>
      <c r="K29" s="78">
        <v>3.5</v>
      </c>
      <c r="L29" s="78">
        <v>8.0</v>
      </c>
      <c r="M29" s="78">
        <f>AVERAGE('Groupe Temoin '!$K29+'Groupe Temoin '!$L29)/2</f>
        <v>5.75</v>
      </c>
      <c r="N29" s="78">
        <v>4.0</v>
      </c>
      <c r="O29" s="78">
        <v>6.0</v>
      </c>
      <c r="P29" s="78">
        <f>AVERAGE('Groupe Temoin '!$N29+'Groupe Temoin '!$O29)/2</f>
        <v>5</v>
      </c>
      <c r="Q29" s="81"/>
      <c r="R29" s="81"/>
      <c r="S29" s="81"/>
      <c r="T29" s="81"/>
      <c r="U29" s="81"/>
      <c r="V29" s="79"/>
      <c r="W29" s="76"/>
      <c r="X29" s="76"/>
      <c r="Y29" s="76"/>
      <c r="Z29" s="76"/>
    </row>
    <row r="30" ht="15.75" customHeight="1">
      <c r="A30" s="75" t="s">
        <v>260</v>
      </c>
      <c r="B30" s="82" t="s">
        <v>266</v>
      </c>
      <c r="C30" s="86"/>
      <c r="D30" s="82" t="s">
        <v>267</v>
      </c>
      <c r="E30" s="82" t="s">
        <v>31</v>
      </c>
      <c r="F30" s="82">
        <v>26.0</v>
      </c>
      <c r="G30" s="75">
        <v>2022.0</v>
      </c>
      <c r="H30" s="83">
        <v>2.0</v>
      </c>
      <c r="I30" s="82">
        <v>26.0</v>
      </c>
      <c r="J30" s="82" t="str">
        <f>'Groupe Temoin '!$G30&amp;"-"&amp;'Groupe Temoin '!$H30&amp;"-"&amp;'Groupe Temoin '!$I30</f>
        <v>2022-2-26</v>
      </c>
      <c r="K30" s="82">
        <v>3.0</v>
      </c>
      <c r="L30" s="82">
        <v>3.0</v>
      </c>
      <c r="M30" s="82">
        <f>AVERAGE('Groupe Temoin '!$K30+'Groupe Temoin '!$L30)/2</f>
        <v>3</v>
      </c>
      <c r="N30" s="82">
        <v>2.0</v>
      </c>
      <c r="O30" s="82">
        <v>4.0</v>
      </c>
      <c r="P30" s="82">
        <f>AVERAGE('Groupe Temoin '!$N30+'Groupe Temoin '!$O30)/2</f>
        <v>3</v>
      </c>
      <c r="Q30" s="87"/>
      <c r="R30" s="87"/>
      <c r="S30" s="87"/>
      <c r="T30" s="87"/>
      <c r="U30" s="87"/>
      <c r="V30" s="75"/>
      <c r="W30" s="76"/>
      <c r="X30" s="76"/>
      <c r="Y30" s="76"/>
      <c r="Z30" s="76"/>
    </row>
    <row r="31" ht="15.75" customHeight="1">
      <c r="A31" s="79" t="s">
        <v>260</v>
      </c>
      <c r="B31" s="78" t="s">
        <v>268</v>
      </c>
      <c r="C31" s="85"/>
      <c r="D31" s="78" t="s">
        <v>269</v>
      </c>
      <c r="E31" s="78" t="s">
        <v>31</v>
      </c>
      <c r="F31" s="78">
        <v>27.0</v>
      </c>
      <c r="G31" s="79">
        <v>2022.0</v>
      </c>
      <c r="H31" s="80">
        <v>2.0</v>
      </c>
      <c r="I31" s="78">
        <v>27.0</v>
      </c>
      <c r="J31" s="78" t="str">
        <f>'Groupe Temoin '!$G31&amp;"-"&amp;'Groupe Temoin '!$H31&amp;"-"&amp;'Groupe Temoin '!$I31</f>
        <v>2022-2-27</v>
      </c>
      <c r="K31" s="78">
        <v>7.0</v>
      </c>
      <c r="L31" s="78">
        <v>8.0</v>
      </c>
      <c r="M31" s="78">
        <f>AVERAGE('Groupe Temoin '!$K31+'Groupe Temoin '!$L31)/2</f>
        <v>7.5</v>
      </c>
      <c r="N31" s="78">
        <v>8.0</v>
      </c>
      <c r="O31" s="78">
        <v>6.0</v>
      </c>
      <c r="P31" s="78">
        <f>AVERAGE('Groupe Temoin '!$N31+'Groupe Temoin '!$O31)/2</f>
        <v>7</v>
      </c>
      <c r="Q31" s="81"/>
      <c r="R31" s="81"/>
      <c r="S31" s="81"/>
      <c r="T31" s="81"/>
      <c r="U31" s="81"/>
      <c r="V31" s="79"/>
      <c r="W31" s="76"/>
      <c r="X31" s="76"/>
      <c r="Y31" s="76"/>
      <c r="Z31" s="76"/>
    </row>
    <row r="32" ht="15.75" customHeight="1">
      <c r="A32" s="75" t="s">
        <v>260</v>
      </c>
      <c r="B32" s="82" t="s">
        <v>270</v>
      </c>
      <c r="C32" s="86"/>
      <c r="D32" s="82" t="s">
        <v>271</v>
      </c>
      <c r="E32" s="82" t="s">
        <v>31</v>
      </c>
      <c r="F32" s="82">
        <v>28.0</v>
      </c>
      <c r="G32" s="75">
        <v>2022.0</v>
      </c>
      <c r="H32" s="83">
        <v>2.0</v>
      </c>
      <c r="I32" s="82">
        <v>28.0</v>
      </c>
      <c r="J32" s="82" t="str">
        <f>'Groupe Temoin '!$G32&amp;"-"&amp;'Groupe Temoin '!$H32&amp;"-"&amp;'Groupe Temoin '!$I32</f>
        <v>2022-2-28</v>
      </c>
      <c r="K32" s="82">
        <v>7.5</v>
      </c>
      <c r="L32" s="82">
        <v>9.0</v>
      </c>
      <c r="M32" s="82">
        <f>AVERAGE('Groupe Temoin '!$K32+'Groupe Temoin '!$L32)/2</f>
        <v>8.25</v>
      </c>
      <c r="N32" s="82">
        <v>6.0</v>
      </c>
      <c r="O32" s="82">
        <v>8.0</v>
      </c>
      <c r="P32" s="82">
        <f>AVERAGE('Groupe Temoin '!$N32+'Groupe Temoin '!$O32)/2</f>
        <v>7</v>
      </c>
      <c r="Q32" s="87"/>
      <c r="R32" s="87"/>
      <c r="S32" s="87"/>
      <c r="T32" s="87"/>
      <c r="U32" s="87"/>
      <c r="V32" s="75"/>
      <c r="W32" s="76"/>
      <c r="X32" s="76"/>
      <c r="Y32" s="76"/>
      <c r="Z32" s="76"/>
    </row>
    <row r="33" ht="15.75" customHeight="1">
      <c r="A33" s="79" t="s">
        <v>260</v>
      </c>
      <c r="B33" s="78" t="s">
        <v>272</v>
      </c>
      <c r="C33" s="85"/>
      <c r="D33" s="78" t="s">
        <v>269</v>
      </c>
      <c r="E33" s="78" t="s">
        <v>31</v>
      </c>
      <c r="F33" s="78">
        <v>29.0</v>
      </c>
      <c r="G33" s="79">
        <v>2022.0</v>
      </c>
      <c r="H33" s="80">
        <v>2.0</v>
      </c>
      <c r="I33" s="78">
        <v>29.0</v>
      </c>
      <c r="J33" s="78" t="str">
        <f>'Groupe Temoin '!$G33&amp;"-"&amp;'Groupe Temoin '!$H33&amp;"-"&amp;'Groupe Temoin '!$I33</f>
        <v>2022-2-29</v>
      </c>
      <c r="K33" s="78">
        <v>5.0</v>
      </c>
      <c r="L33" s="78">
        <v>9.5</v>
      </c>
      <c r="M33" s="78">
        <f>AVERAGE('Groupe Temoin '!$K33+'Groupe Temoin '!$L33)/2</f>
        <v>7.25</v>
      </c>
      <c r="N33" s="78">
        <v>6.0</v>
      </c>
      <c r="O33" s="78">
        <v>2.5</v>
      </c>
      <c r="P33" s="78">
        <f>AVERAGE('Groupe Temoin '!$N33+'Groupe Temoin '!$O33)/2</f>
        <v>4.25</v>
      </c>
      <c r="Q33" s="81"/>
      <c r="R33" s="81"/>
      <c r="S33" s="81"/>
      <c r="T33" s="81"/>
      <c r="U33" s="81"/>
      <c r="V33" s="79"/>
      <c r="W33" s="76"/>
      <c r="X33" s="76"/>
      <c r="Y33" s="76"/>
      <c r="Z33" s="76"/>
    </row>
    <row r="34" ht="15.75" customHeight="1">
      <c r="A34" s="75" t="s">
        <v>260</v>
      </c>
      <c r="B34" s="82" t="s">
        <v>273</v>
      </c>
      <c r="C34" s="82"/>
      <c r="D34" s="86" t="s">
        <v>274</v>
      </c>
      <c r="E34" s="82" t="s">
        <v>31</v>
      </c>
      <c r="F34" s="82">
        <v>30.0</v>
      </c>
      <c r="G34" s="75">
        <v>2022.0</v>
      </c>
      <c r="H34" s="83">
        <v>2.0</v>
      </c>
      <c r="I34" s="82">
        <v>30.0</v>
      </c>
      <c r="J34" s="82" t="str">
        <f>'Groupe Temoin '!$G34&amp;"-"&amp;'Groupe Temoin '!$H34&amp;"-"&amp;'Groupe Temoin '!$I34</f>
        <v>2022-2-30</v>
      </c>
      <c r="K34" s="82">
        <v>5.5</v>
      </c>
      <c r="L34" s="82">
        <v>4.5</v>
      </c>
      <c r="M34" s="82">
        <f>AVERAGE('Groupe Temoin '!$K34+'Groupe Temoin '!$L34)/2</f>
        <v>5</v>
      </c>
      <c r="N34" s="82">
        <v>4.5</v>
      </c>
      <c r="O34" s="82">
        <v>6.25</v>
      </c>
      <c r="P34" s="82">
        <f>AVERAGE('Groupe Temoin '!$N34+'Groupe Temoin '!$O34)/2</f>
        <v>5.375</v>
      </c>
      <c r="Q34" s="87"/>
      <c r="R34" s="87"/>
      <c r="S34" s="87"/>
      <c r="T34" s="87"/>
      <c r="U34" s="87"/>
      <c r="V34" s="75"/>
      <c r="W34" s="76"/>
      <c r="X34" s="76"/>
      <c r="Y34" s="76"/>
      <c r="Z34" s="76"/>
    </row>
    <row r="35" ht="15.75" customHeight="1">
      <c r="A35" s="79" t="s">
        <v>260</v>
      </c>
      <c r="B35" s="78" t="s">
        <v>275</v>
      </c>
      <c r="C35" s="78"/>
      <c r="D35" s="85" t="s">
        <v>276</v>
      </c>
      <c r="E35" s="78" t="s">
        <v>31</v>
      </c>
      <c r="F35" s="78">
        <v>31.0</v>
      </c>
      <c r="G35" s="79">
        <v>2022.0</v>
      </c>
      <c r="H35" s="80">
        <v>2.0</v>
      </c>
      <c r="I35" s="78">
        <v>31.0</v>
      </c>
      <c r="J35" s="78" t="str">
        <f>'Groupe Temoin '!$G35&amp;"-"&amp;'Groupe Temoin '!$H35&amp;"-"&amp;'Groupe Temoin '!$I35</f>
        <v>2022-2-31</v>
      </c>
      <c r="K35" s="78">
        <v>10.5</v>
      </c>
      <c r="L35" s="78">
        <v>3.5</v>
      </c>
      <c r="M35" s="78">
        <f>AVERAGE('Groupe Temoin '!$K35+'Groupe Temoin '!$L35)/2</f>
        <v>7</v>
      </c>
      <c r="N35" s="78">
        <v>4.0</v>
      </c>
      <c r="O35" s="78">
        <v>1.0</v>
      </c>
      <c r="P35" s="78">
        <f>AVERAGE('Groupe Temoin '!$N35+'Groupe Temoin '!$O35)/2</f>
        <v>2.5</v>
      </c>
      <c r="Q35" s="81"/>
      <c r="R35" s="81"/>
      <c r="S35" s="81"/>
      <c r="T35" s="81"/>
      <c r="U35" s="81"/>
      <c r="V35" s="79"/>
      <c r="W35" s="76"/>
      <c r="X35" s="76"/>
      <c r="Y35" s="76"/>
      <c r="Z35" s="76"/>
    </row>
    <row r="36" ht="15.75" customHeight="1">
      <c r="A36" s="75" t="s">
        <v>260</v>
      </c>
      <c r="B36" s="82" t="s">
        <v>277</v>
      </c>
      <c r="C36" s="86"/>
      <c r="D36" s="82" t="s">
        <v>269</v>
      </c>
      <c r="E36" s="82" t="s">
        <v>31</v>
      </c>
      <c r="F36" s="82">
        <v>32.0</v>
      </c>
      <c r="G36" s="75">
        <v>2022.0</v>
      </c>
      <c r="H36" s="83">
        <v>2.0</v>
      </c>
      <c r="I36" s="82">
        <v>32.0</v>
      </c>
      <c r="J36" s="82" t="str">
        <f>'Groupe Temoin '!$G36&amp;"-"&amp;'Groupe Temoin '!$H36&amp;"-"&amp;'Groupe Temoin '!$I36</f>
        <v>2022-2-32</v>
      </c>
      <c r="K36" s="82">
        <v>7.0</v>
      </c>
      <c r="L36" s="82">
        <v>11.5</v>
      </c>
      <c r="M36" s="82">
        <f>AVERAGE('Groupe Temoin '!$K36+'Groupe Temoin '!$L36)/2</f>
        <v>9.25</v>
      </c>
      <c r="N36" s="82">
        <v>14.0</v>
      </c>
      <c r="O36" s="82">
        <v>10.5</v>
      </c>
      <c r="P36" s="82">
        <f>AVERAGE('Groupe Temoin '!$N36+'Groupe Temoin '!$O36)/2</f>
        <v>12.25</v>
      </c>
      <c r="Q36" s="87"/>
      <c r="R36" s="87"/>
      <c r="S36" s="87"/>
      <c r="T36" s="87"/>
      <c r="U36" s="87"/>
      <c r="V36" s="75"/>
      <c r="W36" s="76"/>
      <c r="X36" s="76"/>
      <c r="Y36" s="76"/>
      <c r="Z36" s="76"/>
    </row>
    <row r="37" ht="15.75" customHeight="1">
      <c r="A37" s="79" t="s">
        <v>260</v>
      </c>
      <c r="B37" s="78" t="s">
        <v>278</v>
      </c>
      <c r="C37" s="85"/>
      <c r="D37" s="78" t="s">
        <v>243</v>
      </c>
      <c r="E37" s="78" t="s">
        <v>31</v>
      </c>
      <c r="F37" s="78">
        <v>33.0</v>
      </c>
      <c r="G37" s="79">
        <v>2022.0</v>
      </c>
      <c r="H37" s="80">
        <v>2.0</v>
      </c>
      <c r="I37" s="78">
        <v>33.0</v>
      </c>
      <c r="J37" s="78" t="str">
        <f>'Groupe Temoin '!$G37&amp;"-"&amp;'Groupe Temoin '!$H37&amp;"-"&amp;'Groupe Temoin '!$I37</f>
        <v>2022-2-33</v>
      </c>
      <c r="K37" s="78">
        <v>5.0</v>
      </c>
      <c r="L37" s="78">
        <v>6.5</v>
      </c>
      <c r="M37" s="78">
        <f>AVERAGE('Groupe Temoin '!$K37+'Groupe Temoin '!$L37)/2</f>
        <v>5.75</v>
      </c>
      <c r="N37" s="78">
        <v>9.25</v>
      </c>
      <c r="O37" s="78">
        <v>3.5</v>
      </c>
      <c r="P37" s="78">
        <f>AVERAGE('Groupe Temoin '!$N37+'Groupe Temoin '!$O37)/2</f>
        <v>6.375</v>
      </c>
      <c r="Q37" s="81"/>
      <c r="R37" s="81"/>
      <c r="S37" s="81"/>
      <c r="T37" s="81"/>
      <c r="U37" s="81"/>
      <c r="V37" s="79"/>
      <c r="W37" s="76"/>
      <c r="X37" s="76"/>
      <c r="Y37" s="76"/>
      <c r="Z37" s="76"/>
    </row>
    <row r="38" ht="15.75" customHeight="1">
      <c r="A38" s="75" t="s">
        <v>260</v>
      </c>
      <c r="B38" s="82" t="s">
        <v>279</v>
      </c>
      <c r="C38" s="86"/>
      <c r="D38" s="82" t="s">
        <v>280</v>
      </c>
      <c r="E38" s="82" t="s">
        <v>31</v>
      </c>
      <c r="F38" s="82">
        <v>34.0</v>
      </c>
      <c r="G38" s="75">
        <v>2022.0</v>
      </c>
      <c r="H38" s="83">
        <v>2.0</v>
      </c>
      <c r="I38" s="82">
        <v>34.0</v>
      </c>
      <c r="J38" s="82" t="str">
        <f>'Groupe Temoin '!$G38&amp;"-"&amp;'Groupe Temoin '!$H38&amp;"-"&amp;'Groupe Temoin '!$I38</f>
        <v>2022-2-34</v>
      </c>
      <c r="K38" s="82">
        <v>4.0</v>
      </c>
      <c r="L38" s="82">
        <v>6.5</v>
      </c>
      <c r="M38" s="82">
        <f>AVERAGE('Groupe Temoin '!$K38+'Groupe Temoin '!$L38)/2</f>
        <v>5.25</v>
      </c>
      <c r="N38" s="82">
        <v>1.5</v>
      </c>
      <c r="O38" s="82">
        <v>6.0</v>
      </c>
      <c r="P38" s="82">
        <f>AVERAGE('Groupe Temoin '!$N38+'Groupe Temoin '!$O38)/2</f>
        <v>3.75</v>
      </c>
      <c r="Q38" s="87"/>
      <c r="R38" s="87"/>
      <c r="S38" s="87"/>
      <c r="T38" s="87"/>
      <c r="U38" s="87"/>
      <c r="V38" s="75"/>
      <c r="W38" s="76"/>
      <c r="X38" s="76"/>
      <c r="Y38" s="76"/>
      <c r="Z38" s="76"/>
    </row>
    <row r="39" ht="15.75" customHeight="1">
      <c r="A39" s="79" t="s">
        <v>260</v>
      </c>
      <c r="B39" s="78" t="s">
        <v>281</v>
      </c>
      <c r="C39" s="85"/>
      <c r="D39" s="78" t="s">
        <v>282</v>
      </c>
      <c r="E39" s="78" t="s">
        <v>31</v>
      </c>
      <c r="F39" s="78">
        <v>36.0</v>
      </c>
      <c r="G39" s="79">
        <v>2022.0</v>
      </c>
      <c r="H39" s="80">
        <v>2.0</v>
      </c>
      <c r="I39" s="78">
        <v>36.0</v>
      </c>
      <c r="J39" s="78" t="str">
        <f>'Groupe Temoin '!$G39&amp;"-"&amp;'Groupe Temoin '!$H39&amp;"-"&amp;'Groupe Temoin '!$I39</f>
        <v>2022-2-36</v>
      </c>
      <c r="K39" s="78">
        <v>5.0</v>
      </c>
      <c r="L39" s="78">
        <v>7.5</v>
      </c>
      <c r="M39" s="78">
        <f>AVERAGE('Groupe Temoin '!$K39+'Groupe Temoin '!$L39)/2</f>
        <v>6.25</v>
      </c>
      <c r="N39" s="78">
        <v>7.0</v>
      </c>
      <c r="O39" s="78">
        <v>8.0</v>
      </c>
      <c r="P39" s="78">
        <f>AVERAGE('Groupe Temoin '!$N39+'Groupe Temoin '!$O39)/2</f>
        <v>7.5</v>
      </c>
      <c r="Q39" s="81"/>
      <c r="R39" s="81"/>
      <c r="S39" s="81"/>
      <c r="T39" s="81"/>
      <c r="U39" s="81"/>
      <c r="V39" s="79"/>
      <c r="W39" s="76"/>
      <c r="X39" s="76"/>
      <c r="Y39" s="76"/>
      <c r="Z39" s="76"/>
    </row>
    <row r="40" ht="15.75" customHeight="1">
      <c r="A40" s="75" t="s">
        <v>260</v>
      </c>
      <c r="B40" s="82" t="s">
        <v>283</v>
      </c>
      <c r="C40" s="86"/>
      <c r="D40" s="82" t="s">
        <v>284</v>
      </c>
      <c r="E40" s="82" t="s">
        <v>31</v>
      </c>
      <c r="F40" s="82">
        <v>37.0</v>
      </c>
      <c r="G40" s="75">
        <v>2022.0</v>
      </c>
      <c r="H40" s="83">
        <v>2.0</v>
      </c>
      <c r="I40" s="82">
        <v>37.0</v>
      </c>
      <c r="J40" s="82" t="str">
        <f>'Groupe Temoin '!$G40&amp;"-"&amp;'Groupe Temoin '!$H40&amp;"-"&amp;'Groupe Temoin '!$I40</f>
        <v>2022-2-37</v>
      </c>
      <c r="K40" s="82">
        <v>4.5</v>
      </c>
      <c r="L40" s="82">
        <v>12.0</v>
      </c>
      <c r="M40" s="82">
        <f>AVERAGE('Groupe Temoin '!$K40+'Groupe Temoin '!$L40)/2</f>
        <v>8.25</v>
      </c>
      <c r="N40" s="82">
        <v>6.0</v>
      </c>
      <c r="O40" s="82">
        <v>6.0</v>
      </c>
      <c r="P40" s="82">
        <f>AVERAGE('Groupe Temoin '!$N40+'Groupe Temoin '!$O40)/2</f>
        <v>6</v>
      </c>
      <c r="Q40" s="87"/>
      <c r="R40" s="87"/>
      <c r="S40" s="87"/>
      <c r="T40" s="87"/>
      <c r="U40" s="87"/>
      <c r="V40" s="75"/>
      <c r="W40" s="76"/>
      <c r="X40" s="76"/>
      <c r="Y40" s="76"/>
      <c r="Z40" s="76"/>
    </row>
    <row r="41" ht="15.75" customHeight="1">
      <c r="A41" s="79" t="s">
        <v>260</v>
      </c>
      <c r="B41" s="78" t="s">
        <v>285</v>
      </c>
      <c r="C41" s="85"/>
      <c r="D41" s="78" t="s">
        <v>249</v>
      </c>
      <c r="E41" s="78" t="s">
        <v>31</v>
      </c>
      <c r="F41" s="78">
        <v>38.0</v>
      </c>
      <c r="G41" s="79">
        <v>2022.0</v>
      </c>
      <c r="H41" s="80">
        <v>3.0</v>
      </c>
      <c r="I41" s="78">
        <v>38.0</v>
      </c>
      <c r="J41" s="78" t="str">
        <f>'Groupe Temoin '!$G41&amp;"-"&amp;'Groupe Temoin '!$H41&amp;"-"&amp;'Groupe Temoin '!$I41</f>
        <v>2022-3-38</v>
      </c>
      <c r="K41" s="78">
        <v>5.0</v>
      </c>
      <c r="L41" s="78">
        <v>10.0</v>
      </c>
      <c r="M41" s="78">
        <f>AVERAGE('Groupe Temoin '!$K41+'Groupe Temoin '!$L41)/2</f>
        <v>7.5</v>
      </c>
      <c r="N41" s="78">
        <v>4.5</v>
      </c>
      <c r="O41" s="78">
        <v>5.0</v>
      </c>
      <c r="P41" s="78">
        <f>AVERAGE('Groupe Temoin '!$N41+'Groupe Temoin '!$O41)/2</f>
        <v>4.75</v>
      </c>
      <c r="Q41" s="81"/>
      <c r="R41" s="81"/>
      <c r="S41" s="81"/>
      <c r="T41" s="81"/>
      <c r="U41" s="81"/>
      <c r="V41" s="79"/>
      <c r="W41" s="76"/>
      <c r="X41" s="76"/>
      <c r="Y41" s="76"/>
      <c r="Z41" s="76"/>
    </row>
    <row r="42" ht="15.75" customHeight="1">
      <c r="A42" s="75" t="s">
        <v>260</v>
      </c>
      <c r="B42" s="82" t="s">
        <v>286</v>
      </c>
      <c r="C42" s="86"/>
      <c r="D42" s="82" t="s">
        <v>287</v>
      </c>
      <c r="E42" s="82" t="s">
        <v>31</v>
      </c>
      <c r="F42" s="82">
        <v>39.0</v>
      </c>
      <c r="G42" s="75">
        <v>2022.0</v>
      </c>
      <c r="H42" s="83">
        <v>3.0</v>
      </c>
      <c r="I42" s="82">
        <v>39.0</v>
      </c>
      <c r="J42" s="82" t="str">
        <f>'Groupe Temoin '!$G42&amp;"-"&amp;'Groupe Temoin '!$H42&amp;"-"&amp;'Groupe Temoin '!$I42</f>
        <v>2022-3-39</v>
      </c>
      <c r="K42" s="82">
        <v>5.0</v>
      </c>
      <c r="L42" s="82">
        <v>10.5</v>
      </c>
      <c r="M42" s="82">
        <f>AVERAGE('Groupe Temoin '!$K42+'Groupe Temoin '!$L42)/2</f>
        <v>7.75</v>
      </c>
      <c r="N42" s="82">
        <v>9.5</v>
      </c>
      <c r="O42" s="82">
        <v>6.5</v>
      </c>
      <c r="P42" s="82">
        <f>AVERAGE('Groupe Temoin '!$N42+'Groupe Temoin '!$O42)/2</f>
        <v>8</v>
      </c>
      <c r="Q42" s="87"/>
      <c r="R42" s="87"/>
      <c r="S42" s="87"/>
      <c r="T42" s="87"/>
      <c r="U42" s="87"/>
      <c r="V42" s="75"/>
      <c r="W42" s="76"/>
      <c r="X42" s="76"/>
      <c r="Y42" s="76"/>
      <c r="Z42" s="76"/>
    </row>
    <row r="43" ht="15.75" customHeight="1">
      <c r="A43" s="79" t="s">
        <v>260</v>
      </c>
      <c r="B43" s="78" t="s">
        <v>288</v>
      </c>
      <c r="C43" s="85"/>
      <c r="D43" s="78" t="s">
        <v>289</v>
      </c>
      <c r="E43" s="78" t="s">
        <v>31</v>
      </c>
      <c r="F43" s="78">
        <v>40.0</v>
      </c>
      <c r="G43" s="79">
        <v>2022.0</v>
      </c>
      <c r="H43" s="80">
        <v>3.0</v>
      </c>
      <c r="I43" s="78">
        <v>40.0</v>
      </c>
      <c r="J43" s="78" t="str">
        <f>'Groupe Temoin '!$G43&amp;"-"&amp;'Groupe Temoin '!$H43&amp;"-"&amp;'Groupe Temoin '!$I43</f>
        <v>2022-3-40</v>
      </c>
      <c r="K43" s="78">
        <v>5.0</v>
      </c>
      <c r="L43" s="78">
        <v>11.5</v>
      </c>
      <c r="M43" s="78">
        <f>AVERAGE('Groupe Temoin '!$K43+'Groupe Temoin '!$L43)/2</f>
        <v>8.25</v>
      </c>
      <c r="N43" s="78">
        <v>6.5</v>
      </c>
      <c r="O43" s="78">
        <v>7.0</v>
      </c>
      <c r="P43" s="78">
        <f>AVERAGE('Groupe Temoin '!$N43+'Groupe Temoin '!$O43)/2</f>
        <v>6.75</v>
      </c>
      <c r="Q43" s="81"/>
      <c r="R43" s="81"/>
      <c r="S43" s="81"/>
      <c r="T43" s="81"/>
      <c r="U43" s="81"/>
      <c r="V43" s="79"/>
      <c r="W43" s="76"/>
      <c r="X43" s="76"/>
      <c r="Y43" s="76"/>
      <c r="Z43" s="76"/>
    </row>
    <row r="44" ht="15.75" customHeight="1">
      <c r="A44" s="75" t="s">
        <v>290</v>
      </c>
      <c r="B44" s="82" t="s">
        <v>291</v>
      </c>
      <c r="C44" s="86"/>
      <c r="D44" s="82" t="s">
        <v>292</v>
      </c>
      <c r="E44" s="82" t="s">
        <v>31</v>
      </c>
      <c r="F44" s="82">
        <v>41.0</v>
      </c>
      <c r="G44" s="75">
        <v>2022.0</v>
      </c>
      <c r="H44" s="83">
        <v>3.0</v>
      </c>
      <c r="I44" s="82">
        <v>636.0</v>
      </c>
      <c r="J44" s="82" t="str">
        <f>'Groupe Temoin '!$G44&amp;"-"&amp;'Groupe Temoin '!$H44&amp;"-"&amp;'Groupe Temoin '!$I44</f>
        <v>2022-3-636</v>
      </c>
      <c r="K44" s="82">
        <v>1.5</v>
      </c>
      <c r="L44" s="82">
        <v>6.5</v>
      </c>
      <c r="M44" s="82">
        <f>AVERAGE('Groupe Temoin '!$K44+'Groupe Temoin '!$L44)/2</f>
        <v>4</v>
      </c>
      <c r="N44" s="82">
        <v>6.0</v>
      </c>
      <c r="O44" s="82">
        <v>3.0</v>
      </c>
      <c r="P44" s="82">
        <f>AVERAGE('Groupe Temoin '!$N44+'Groupe Temoin '!$O44)/2</f>
        <v>4.5</v>
      </c>
      <c r="Q44" s="87"/>
      <c r="R44" s="87"/>
      <c r="S44" s="87"/>
      <c r="T44" s="87"/>
      <c r="U44" s="87"/>
      <c r="V44" s="75"/>
      <c r="W44" s="76"/>
      <c r="X44" s="76"/>
      <c r="Y44" s="76"/>
      <c r="Z44" s="76"/>
    </row>
    <row r="45" ht="15.75" customHeight="1">
      <c r="A45" s="79" t="s">
        <v>290</v>
      </c>
      <c r="B45" s="78" t="s">
        <v>293</v>
      </c>
      <c r="C45" s="85"/>
      <c r="D45" s="78" t="s">
        <v>294</v>
      </c>
      <c r="E45" s="78" t="s">
        <v>31</v>
      </c>
      <c r="F45" s="78">
        <v>42.0</v>
      </c>
      <c r="G45" s="79">
        <v>2022.0</v>
      </c>
      <c r="H45" s="80">
        <v>3.0</v>
      </c>
      <c r="I45" s="78">
        <v>637.0</v>
      </c>
      <c r="J45" s="78" t="str">
        <f>'Groupe Temoin '!$G45&amp;"-"&amp;'Groupe Temoin '!$H45&amp;"-"&amp;'Groupe Temoin '!$I45</f>
        <v>2022-3-637</v>
      </c>
      <c r="K45" s="78">
        <v>1.0</v>
      </c>
      <c r="L45" s="78">
        <v>2.5</v>
      </c>
      <c r="M45" s="78">
        <f>AVERAGE('Groupe Temoin '!$K45+'Groupe Temoin '!$L45)/2</f>
        <v>1.75</v>
      </c>
      <c r="N45" s="78">
        <v>1.5</v>
      </c>
      <c r="O45" s="78">
        <v>5.0</v>
      </c>
      <c r="P45" s="78">
        <f>AVERAGE('Groupe Temoin '!$N45+'Groupe Temoin '!$O45)/2</f>
        <v>3.25</v>
      </c>
      <c r="Q45" s="81"/>
      <c r="R45" s="81"/>
      <c r="S45" s="81"/>
      <c r="T45" s="81"/>
      <c r="U45" s="81"/>
      <c r="V45" s="79"/>
      <c r="W45" s="76"/>
      <c r="X45" s="76"/>
      <c r="Y45" s="76"/>
      <c r="Z45" s="76"/>
    </row>
    <row r="46" ht="15.75" customHeight="1">
      <c r="A46" s="75" t="s">
        <v>290</v>
      </c>
      <c r="B46" s="82" t="s">
        <v>295</v>
      </c>
      <c r="C46" s="86"/>
      <c r="D46" s="82" t="s">
        <v>247</v>
      </c>
      <c r="E46" s="82" t="s">
        <v>31</v>
      </c>
      <c r="F46" s="82">
        <v>43.0</v>
      </c>
      <c r="G46" s="75">
        <v>2022.0</v>
      </c>
      <c r="H46" s="83">
        <v>3.0</v>
      </c>
      <c r="I46" s="82">
        <v>43.0</v>
      </c>
      <c r="J46" s="82" t="str">
        <f>'Groupe Temoin '!$G46&amp;"-"&amp;'Groupe Temoin '!$H46&amp;"-"&amp;'Groupe Temoin '!$I46</f>
        <v>2022-3-43</v>
      </c>
      <c r="K46" s="82">
        <v>7.5</v>
      </c>
      <c r="L46" s="82">
        <v>10.0</v>
      </c>
      <c r="M46" s="82">
        <f>AVERAGE('Groupe Temoin '!$K46+'Groupe Temoin '!$L46)/2</f>
        <v>8.75</v>
      </c>
      <c r="N46" s="82"/>
      <c r="O46" s="82"/>
      <c r="P46" s="82">
        <f>AVERAGE('Groupe Temoin '!$N46+'Groupe Temoin '!$O46)/2</f>
        <v>0</v>
      </c>
      <c r="Q46" s="87"/>
      <c r="R46" s="87"/>
      <c r="S46" s="87"/>
      <c r="T46" s="87"/>
      <c r="U46" s="87"/>
      <c r="V46" s="75"/>
      <c r="W46" s="76"/>
      <c r="X46" s="76"/>
      <c r="Y46" s="76"/>
      <c r="Z46" s="76"/>
    </row>
    <row r="47" ht="15.75" customHeight="1">
      <c r="A47" s="79" t="s">
        <v>290</v>
      </c>
      <c r="B47" s="78" t="s">
        <v>296</v>
      </c>
      <c r="C47" s="85"/>
      <c r="D47" s="78" t="s">
        <v>297</v>
      </c>
      <c r="E47" s="78" t="s">
        <v>31</v>
      </c>
      <c r="F47" s="78">
        <v>44.0</v>
      </c>
      <c r="G47" s="79">
        <v>2022.0</v>
      </c>
      <c r="H47" s="80">
        <v>3.0</v>
      </c>
      <c r="I47" s="78">
        <v>631.0</v>
      </c>
      <c r="J47" s="78" t="str">
        <f>'Groupe Temoin '!$G47&amp;"-"&amp;'Groupe Temoin '!$H47&amp;"-"&amp;'Groupe Temoin '!$I47</f>
        <v>2022-3-631</v>
      </c>
      <c r="K47" s="78">
        <v>8.0</v>
      </c>
      <c r="L47" s="78">
        <v>11.5</v>
      </c>
      <c r="M47" s="78">
        <f>AVERAGE('Groupe Temoin '!$K47+'Groupe Temoin '!$L47)/2</f>
        <v>9.75</v>
      </c>
      <c r="N47" s="78">
        <v>4.5</v>
      </c>
      <c r="O47" s="78">
        <v>5.0</v>
      </c>
      <c r="P47" s="78">
        <f>AVERAGE('Groupe Temoin '!$N47+'Groupe Temoin '!$O47)/2</f>
        <v>4.75</v>
      </c>
      <c r="Q47" s="81"/>
      <c r="R47" s="81"/>
      <c r="S47" s="81"/>
      <c r="T47" s="81"/>
      <c r="U47" s="81"/>
      <c r="V47" s="79"/>
      <c r="W47" s="76"/>
      <c r="X47" s="76"/>
      <c r="Y47" s="76"/>
      <c r="Z47" s="76"/>
    </row>
    <row r="48" ht="15.75" customHeight="1">
      <c r="A48" s="75" t="s">
        <v>290</v>
      </c>
      <c r="B48" s="82" t="s">
        <v>298</v>
      </c>
      <c r="C48" s="86"/>
      <c r="D48" s="82" t="s">
        <v>299</v>
      </c>
      <c r="E48" s="82" t="s">
        <v>31</v>
      </c>
      <c r="F48" s="82">
        <v>45.0</v>
      </c>
      <c r="G48" s="75">
        <v>2022.0</v>
      </c>
      <c r="H48" s="83">
        <v>3.0</v>
      </c>
      <c r="I48" s="82">
        <v>646.0</v>
      </c>
      <c r="J48" s="82" t="str">
        <f>'Groupe Temoin '!$G48&amp;"-"&amp;'Groupe Temoin '!$H48&amp;"-"&amp;'Groupe Temoin '!$I48</f>
        <v>2022-3-646</v>
      </c>
      <c r="K48" s="82">
        <v>4.0</v>
      </c>
      <c r="L48" s="82">
        <v>9.5</v>
      </c>
      <c r="M48" s="82">
        <f>AVERAGE('Groupe Temoin '!$K48+'Groupe Temoin '!$L48)/2</f>
        <v>6.75</v>
      </c>
      <c r="N48" s="82">
        <v>10.0</v>
      </c>
      <c r="O48" s="82">
        <v>7.0</v>
      </c>
      <c r="P48" s="82">
        <f>AVERAGE('Groupe Temoin '!$N48+'Groupe Temoin '!$O48)/2</f>
        <v>8.5</v>
      </c>
      <c r="Q48" s="87"/>
      <c r="R48" s="87"/>
      <c r="S48" s="87"/>
      <c r="T48" s="87"/>
      <c r="U48" s="87"/>
      <c r="V48" s="75"/>
      <c r="W48" s="76"/>
      <c r="X48" s="76"/>
      <c r="Y48" s="76"/>
      <c r="Z48" s="76"/>
    </row>
    <row r="49" ht="15.75" customHeight="1">
      <c r="A49" s="79" t="s">
        <v>290</v>
      </c>
      <c r="B49" s="78" t="s">
        <v>300</v>
      </c>
      <c r="C49" s="85"/>
      <c r="D49" s="78" t="s">
        <v>301</v>
      </c>
      <c r="E49" s="78" t="s">
        <v>31</v>
      </c>
      <c r="F49" s="78">
        <v>46.0</v>
      </c>
      <c r="G49" s="79">
        <v>2022.0</v>
      </c>
      <c r="H49" s="80">
        <v>3.0</v>
      </c>
      <c r="I49" s="78">
        <v>633.0</v>
      </c>
      <c r="J49" s="78" t="str">
        <f>'Groupe Temoin '!$G49&amp;"-"&amp;'Groupe Temoin '!$H49&amp;"-"&amp;'Groupe Temoin '!$I49</f>
        <v>2022-3-633</v>
      </c>
      <c r="K49" s="78">
        <v>4.0</v>
      </c>
      <c r="L49" s="78">
        <v>8.0</v>
      </c>
      <c r="M49" s="78">
        <f>AVERAGE('Groupe Temoin '!$K49+'Groupe Temoin '!$L49)/2</f>
        <v>6</v>
      </c>
      <c r="N49" s="78">
        <v>0.0</v>
      </c>
      <c r="O49" s="78">
        <v>0.0</v>
      </c>
      <c r="P49" s="78">
        <f>AVERAGE('Groupe Temoin '!$N49+'Groupe Temoin '!$O49)/2</f>
        <v>0</v>
      </c>
      <c r="Q49" s="81"/>
      <c r="R49" s="81"/>
      <c r="S49" s="81"/>
      <c r="T49" s="81"/>
      <c r="U49" s="81"/>
      <c r="V49" s="79"/>
      <c r="W49" s="76"/>
      <c r="X49" s="76"/>
      <c r="Y49" s="76"/>
      <c r="Z49" s="76"/>
    </row>
    <row r="50" ht="15.75" customHeight="1">
      <c r="A50" s="75" t="s">
        <v>290</v>
      </c>
      <c r="B50" s="82" t="s">
        <v>302</v>
      </c>
      <c r="C50" s="86"/>
      <c r="D50" s="82" t="s">
        <v>303</v>
      </c>
      <c r="E50" s="82" t="s">
        <v>31</v>
      </c>
      <c r="F50" s="82">
        <v>47.0</v>
      </c>
      <c r="G50" s="75">
        <v>2022.0</v>
      </c>
      <c r="H50" s="83">
        <v>3.0</v>
      </c>
      <c r="I50" s="82">
        <v>641.0</v>
      </c>
      <c r="J50" s="82" t="str">
        <f>'Groupe Temoin '!$G50&amp;"-"&amp;'Groupe Temoin '!$H50&amp;"-"&amp;'Groupe Temoin '!$I50</f>
        <v>2022-3-641</v>
      </c>
      <c r="K50" s="82">
        <v>1.0</v>
      </c>
      <c r="L50" s="82">
        <v>3.0</v>
      </c>
      <c r="M50" s="82">
        <f>AVERAGE('Groupe Temoin '!$K50+'Groupe Temoin '!$L50)/2</f>
        <v>2</v>
      </c>
      <c r="N50" s="82">
        <v>0.0</v>
      </c>
      <c r="O50" s="82">
        <v>0.0</v>
      </c>
      <c r="P50" s="82">
        <f>AVERAGE('Groupe Temoin '!$N50+'Groupe Temoin '!$O50)/2</f>
        <v>0</v>
      </c>
      <c r="Q50" s="87"/>
      <c r="R50" s="87"/>
      <c r="S50" s="87"/>
      <c r="T50" s="87"/>
      <c r="U50" s="87"/>
      <c r="V50" s="75"/>
      <c r="W50" s="76"/>
      <c r="X50" s="76"/>
      <c r="Y50" s="76"/>
      <c r="Z50" s="76"/>
    </row>
    <row r="51" ht="15.75" customHeight="1">
      <c r="A51" s="79" t="s">
        <v>290</v>
      </c>
      <c r="B51" s="78" t="s">
        <v>304</v>
      </c>
      <c r="C51" s="85"/>
      <c r="D51" s="78" t="s">
        <v>305</v>
      </c>
      <c r="E51" s="78" t="s">
        <v>31</v>
      </c>
      <c r="F51" s="78">
        <v>48.0</v>
      </c>
      <c r="G51" s="79">
        <v>2022.0</v>
      </c>
      <c r="H51" s="80">
        <v>3.0</v>
      </c>
      <c r="I51" s="78">
        <v>644.0</v>
      </c>
      <c r="J51" s="78" t="str">
        <f>'Groupe Temoin '!$G51&amp;"-"&amp;'Groupe Temoin '!$H51&amp;"-"&amp;'Groupe Temoin '!$I51</f>
        <v>2022-3-644</v>
      </c>
      <c r="K51" s="78">
        <v>5.0</v>
      </c>
      <c r="L51" s="78">
        <v>7.5</v>
      </c>
      <c r="M51" s="78">
        <f>AVERAGE('Groupe Temoin '!$K51+'Groupe Temoin '!$L51)/2</f>
        <v>6.25</v>
      </c>
      <c r="N51" s="78">
        <v>6.0</v>
      </c>
      <c r="O51" s="78">
        <v>4.0</v>
      </c>
      <c r="P51" s="78">
        <f>AVERAGE('Groupe Temoin '!$N51+'Groupe Temoin '!$O51)/2</f>
        <v>5</v>
      </c>
      <c r="Q51" s="81"/>
      <c r="R51" s="81"/>
      <c r="S51" s="81"/>
      <c r="T51" s="81"/>
      <c r="U51" s="81"/>
      <c r="V51" s="79"/>
      <c r="W51" s="76"/>
      <c r="X51" s="76"/>
      <c r="Y51" s="76"/>
      <c r="Z51" s="76"/>
    </row>
    <row r="52" ht="15.75" customHeight="1">
      <c r="A52" s="75" t="s">
        <v>290</v>
      </c>
      <c r="B52" s="82" t="s">
        <v>306</v>
      </c>
      <c r="C52" s="86"/>
      <c r="D52" s="82" t="s">
        <v>307</v>
      </c>
      <c r="E52" s="82" t="s">
        <v>31</v>
      </c>
      <c r="F52" s="82">
        <v>49.0</v>
      </c>
      <c r="G52" s="75">
        <v>2022.0</v>
      </c>
      <c r="H52" s="83">
        <v>3.0</v>
      </c>
      <c r="I52" s="82">
        <v>635.0</v>
      </c>
      <c r="J52" s="82" t="str">
        <f>'Groupe Temoin '!$G52&amp;"-"&amp;'Groupe Temoin '!$H52&amp;"-"&amp;'Groupe Temoin '!$I52</f>
        <v>2022-3-635</v>
      </c>
      <c r="K52" s="82">
        <v>1.0</v>
      </c>
      <c r="L52" s="82">
        <v>9.5</v>
      </c>
      <c r="M52" s="82">
        <f>AVERAGE('Groupe Temoin '!$K52+'Groupe Temoin '!$L52)/2</f>
        <v>5.25</v>
      </c>
      <c r="N52" s="82">
        <v>5.5</v>
      </c>
      <c r="O52" s="82">
        <v>6.0</v>
      </c>
      <c r="P52" s="82">
        <f>AVERAGE('Groupe Temoin '!$N52+'Groupe Temoin '!$O52)/2</f>
        <v>5.75</v>
      </c>
      <c r="Q52" s="87"/>
      <c r="R52" s="87"/>
      <c r="S52" s="87"/>
      <c r="T52" s="87"/>
      <c r="U52" s="87"/>
      <c r="V52" s="75"/>
      <c r="W52" s="76"/>
      <c r="X52" s="76"/>
      <c r="Y52" s="76"/>
      <c r="Z52" s="76"/>
    </row>
    <row r="53" ht="15.75" customHeight="1">
      <c r="A53" s="79" t="s">
        <v>290</v>
      </c>
      <c r="B53" s="78" t="s">
        <v>308</v>
      </c>
      <c r="C53" s="85"/>
      <c r="D53" s="78" t="s">
        <v>309</v>
      </c>
      <c r="E53" s="78" t="s">
        <v>31</v>
      </c>
      <c r="F53" s="78">
        <v>50.0</v>
      </c>
      <c r="G53" s="79">
        <v>2022.0</v>
      </c>
      <c r="H53" s="80">
        <v>3.0</v>
      </c>
      <c r="I53" s="78">
        <v>645.0</v>
      </c>
      <c r="J53" s="78" t="str">
        <f>'Groupe Temoin '!$G53&amp;"-"&amp;'Groupe Temoin '!$H53&amp;"-"&amp;'Groupe Temoin '!$I53</f>
        <v>2022-3-645</v>
      </c>
      <c r="K53" s="78">
        <v>5.5</v>
      </c>
      <c r="L53" s="78">
        <v>7.0</v>
      </c>
      <c r="M53" s="78">
        <f>AVERAGE('Groupe Temoin '!$K53+'Groupe Temoin '!$L53)/2</f>
        <v>6.25</v>
      </c>
      <c r="N53" s="78">
        <v>8.0</v>
      </c>
      <c r="O53" s="78">
        <v>8.0</v>
      </c>
      <c r="P53" s="78">
        <f>AVERAGE('Groupe Temoin '!$N53+'Groupe Temoin '!$O53)/2</f>
        <v>8</v>
      </c>
      <c r="Q53" s="81"/>
      <c r="R53" s="81"/>
      <c r="S53" s="81"/>
      <c r="T53" s="81"/>
      <c r="U53" s="81"/>
      <c r="V53" s="79"/>
      <c r="W53" s="76"/>
      <c r="X53" s="76"/>
      <c r="Y53" s="76"/>
      <c r="Z53" s="76"/>
    </row>
    <row r="54" ht="15.75" customHeight="1">
      <c r="A54" s="75" t="s">
        <v>290</v>
      </c>
      <c r="B54" s="82" t="s">
        <v>310</v>
      </c>
      <c r="C54" s="86"/>
      <c r="D54" s="82" t="s">
        <v>311</v>
      </c>
      <c r="E54" s="82" t="s">
        <v>31</v>
      </c>
      <c r="F54" s="82">
        <v>51.0</v>
      </c>
      <c r="G54" s="75">
        <v>2022.0</v>
      </c>
      <c r="H54" s="83">
        <v>3.0</v>
      </c>
      <c r="I54" s="82">
        <v>634.0</v>
      </c>
      <c r="J54" s="82" t="str">
        <f>'Groupe Temoin '!$G54&amp;"-"&amp;'Groupe Temoin '!$H54&amp;"-"&amp;'Groupe Temoin '!$I54</f>
        <v>2022-3-634</v>
      </c>
      <c r="K54" s="82">
        <v>5.0</v>
      </c>
      <c r="L54" s="82">
        <v>6.5</v>
      </c>
      <c r="M54" s="82">
        <f>AVERAGE('Groupe Temoin '!$K54+'Groupe Temoin '!$L54)/2</f>
        <v>5.75</v>
      </c>
      <c r="N54" s="82">
        <v>2.5</v>
      </c>
      <c r="O54" s="82">
        <v>6.0</v>
      </c>
      <c r="P54" s="82">
        <f>AVERAGE('Groupe Temoin '!$N54+'Groupe Temoin '!$O54)/2</f>
        <v>4.25</v>
      </c>
      <c r="Q54" s="87"/>
      <c r="R54" s="87"/>
      <c r="S54" s="87"/>
      <c r="T54" s="87"/>
      <c r="U54" s="87"/>
      <c r="V54" s="75"/>
      <c r="W54" s="76"/>
      <c r="X54" s="76"/>
      <c r="Y54" s="76"/>
      <c r="Z54" s="76"/>
    </row>
    <row r="55" ht="15.75" customHeight="1">
      <c r="A55" s="79" t="s">
        <v>290</v>
      </c>
      <c r="B55" s="78" t="s">
        <v>312</v>
      </c>
      <c r="C55" s="85"/>
      <c r="D55" s="78" t="s">
        <v>183</v>
      </c>
      <c r="E55" s="78" t="s">
        <v>31</v>
      </c>
      <c r="F55" s="78">
        <v>52.0</v>
      </c>
      <c r="G55" s="79">
        <v>2022.0</v>
      </c>
      <c r="H55" s="80">
        <v>3.0</v>
      </c>
      <c r="I55" s="78">
        <v>638.0</v>
      </c>
      <c r="J55" s="78" t="str">
        <f>'Groupe Temoin '!$G55&amp;"-"&amp;'Groupe Temoin '!$H55&amp;"-"&amp;'Groupe Temoin '!$I55</f>
        <v>2022-3-638</v>
      </c>
      <c r="K55" s="78">
        <v>2.0</v>
      </c>
      <c r="L55" s="78">
        <v>10.0</v>
      </c>
      <c r="M55" s="78">
        <f>AVERAGE('Groupe Temoin '!$K55+'Groupe Temoin '!$L55)/2</f>
        <v>6</v>
      </c>
      <c r="N55" s="78">
        <v>5.0</v>
      </c>
      <c r="O55" s="78">
        <v>14.0</v>
      </c>
      <c r="P55" s="78">
        <f>AVERAGE('Groupe Temoin '!$N55+'Groupe Temoin '!$O55)/2</f>
        <v>9.5</v>
      </c>
      <c r="Q55" s="81"/>
      <c r="R55" s="81"/>
      <c r="S55" s="81"/>
      <c r="T55" s="81"/>
      <c r="U55" s="81"/>
      <c r="V55" s="79"/>
      <c r="W55" s="76"/>
      <c r="X55" s="76"/>
      <c r="Y55" s="76"/>
      <c r="Z55" s="76"/>
    </row>
    <row r="56" ht="15.75" customHeight="1">
      <c r="A56" s="75" t="s">
        <v>290</v>
      </c>
      <c r="B56" s="82" t="s">
        <v>313</v>
      </c>
      <c r="C56" s="86"/>
      <c r="D56" s="82" t="s">
        <v>247</v>
      </c>
      <c r="E56" s="82" t="s">
        <v>31</v>
      </c>
      <c r="F56" s="82">
        <v>53.0</v>
      </c>
      <c r="G56" s="75">
        <v>2022.0</v>
      </c>
      <c r="H56" s="83">
        <v>3.0</v>
      </c>
      <c r="I56" s="82">
        <v>643.0</v>
      </c>
      <c r="J56" s="82" t="str">
        <f>'Groupe Temoin '!$G56&amp;"-"&amp;'Groupe Temoin '!$H56&amp;"-"&amp;'Groupe Temoin '!$I56</f>
        <v>2022-3-643</v>
      </c>
      <c r="K56" s="82">
        <v>7.5</v>
      </c>
      <c r="L56" s="82">
        <v>10.0</v>
      </c>
      <c r="M56" s="82">
        <f>AVERAGE('Groupe Temoin '!$K56+'Groupe Temoin '!$L56)/2</f>
        <v>8.75</v>
      </c>
      <c r="N56" s="82"/>
      <c r="O56" s="82"/>
      <c r="P56" s="82">
        <f>AVERAGE('Groupe Temoin '!$N56+'Groupe Temoin '!$O56)/2</f>
        <v>0</v>
      </c>
      <c r="Q56" s="87"/>
      <c r="R56" s="87"/>
      <c r="S56" s="87"/>
      <c r="T56" s="87"/>
      <c r="U56" s="87"/>
      <c r="V56" s="75"/>
      <c r="W56" s="76"/>
      <c r="X56" s="76"/>
      <c r="Y56" s="76"/>
      <c r="Z56" s="76"/>
    </row>
    <row r="57" ht="15.75" customHeight="1">
      <c r="A57" s="79" t="s">
        <v>290</v>
      </c>
      <c r="B57" s="78" t="s">
        <v>314</v>
      </c>
      <c r="C57" s="85"/>
      <c r="D57" s="78" t="s">
        <v>88</v>
      </c>
      <c r="E57" s="78" t="s">
        <v>31</v>
      </c>
      <c r="F57" s="78">
        <v>54.0</v>
      </c>
      <c r="G57" s="79">
        <v>2022.0</v>
      </c>
      <c r="H57" s="80">
        <v>3.0</v>
      </c>
      <c r="I57" s="78">
        <v>630.0</v>
      </c>
      <c r="J57" s="78" t="str">
        <f>'Groupe Temoin '!$G57&amp;"-"&amp;'Groupe Temoin '!$H57&amp;"-"&amp;'Groupe Temoin '!$I57</f>
        <v>2022-3-630</v>
      </c>
      <c r="K57" s="78">
        <v>2.0</v>
      </c>
      <c r="L57" s="78">
        <v>5.5</v>
      </c>
      <c r="M57" s="78">
        <f>AVERAGE('Groupe Temoin '!$K57+'Groupe Temoin '!$L57)/2</f>
        <v>3.75</v>
      </c>
      <c r="N57" s="78">
        <v>3.0</v>
      </c>
      <c r="O57" s="78">
        <v>7.0</v>
      </c>
      <c r="P57" s="78">
        <f>AVERAGE('Groupe Temoin '!$N57+'Groupe Temoin '!$O57)/2</f>
        <v>5</v>
      </c>
      <c r="Q57" s="81"/>
      <c r="R57" s="81"/>
      <c r="S57" s="81"/>
      <c r="T57" s="81"/>
      <c r="U57" s="81"/>
      <c r="V57" s="79"/>
      <c r="W57" s="76"/>
      <c r="X57" s="76"/>
      <c r="Y57" s="76"/>
      <c r="Z57" s="76"/>
    </row>
    <row r="58" ht="15.75" customHeight="1">
      <c r="A58" s="75" t="s">
        <v>290</v>
      </c>
      <c r="B58" s="82" t="s">
        <v>315</v>
      </c>
      <c r="C58" s="86"/>
      <c r="D58" s="82" t="s">
        <v>316</v>
      </c>
      <c r="E58" s="82" t="s">
        <v>31</v>
      </c>
      <c r="F58" s="82">
        <v>55.0</v>
      </c>
      <c r="G58" s="75">
        <v>2022.0</v>
      </c>
      <c r="H58" s="83">
        <v>3.0</v>
      </c>
      <c r="I58" s="82">
        <v>642.0</v>
      </c>
      <c r="J58" s="82" t="str">
        <f>'Groupe Temoin '!$G58&amp;"-"&amp;'Groupe Temoin '!$H58&amp;"-"&amp;'Groupe Temoin '!$I58</f>
        <v>2022-3-642</v>
      </c>
      <c r="K58" s="82">
        <v>4.0</v>
      </c>
      <c r="L58" s="82">
        <v>6.0</v>
      </c>
      <c r="M58" s="82">
        <f>AVERAGE('Groupe Temoin '!$K58+'Groupe Temoin '!$L58)/2</f>
        <v>5</v>
      </c>
      <c r="N58" s="82">
        <v>6.0</v>
      </c>
      <c r="O58" s="82">
        <v>6.5</v>
      </c>
      <c r="P58" s="82">
        <f>AVERAGE('Groupe Temoin '!$N58+'Groupe Temoin '!$O58)/2</f>
        <v>6.25</v>
      </c>
      <c r="Q58" s="87"/>
      <c r="R58" s="87"/>
      <c r="S58" s="87"/>
      <c r="T58" s="87"/>
      <c r="U58" s="87"/>
      <c r="V58" s="75"/>
      <c r="W58" s="76"/>
      <c r="X58" s="76"/>
      <c r="Y58" s="76"/>
      <c r="Z58" s="76"/>
    </row>
    <row r="59" ht="15.75" customHeight="1">
      <c r="A59" s="79" t="s">
        <v>290</v>
      </c>
      <c r="B59" s="78" t="s">
        <v>317</v>
      </c>
      <c r="C59" s="85"/>
      <c r="D59" s="78" t="s">
        <v>318</v>
      </c>
      <c r="E59" s="78" t="s">
        <v>31</v>
      </c>
      <c r="F59" s="78">
        <v>56.0</v>
      </c>
      <c r="G59" s="79">
        <v>2022.0</v>
      </c>
      <c r="H59" s="80">
        <v>3.0</v>
      </c>
      <c r="I59" s="78">
        <v>632.0</v>
      </c>
      <c r="J59" s="78" t="str">
        <f>'Groupe Temoin '!$G59&amp;"-"&amp;'Groupe Temoin '!$H59&amp;"-"&amp;'Groupe Temoin '!$I59</f>
        <v>2022-3-632</v>
      </c>
      <c r="K59" s="78">
        <v>5.5</v>
      </c>
      <c r="L59" s="78">
        <v>12.0</v>
      </c>
      <c r="M59" s="78">
        <f>AVERAGE('Groupe Temoin '!$K59+'Groupe Temoin '!$L59)/2</f>
        <v>8.75</v>
      </c>
      <c r="N59" s="78">
        <v>6.5</v>
      </c>
      <c r="O59" s="78">
        <v>13.0</v>
      </c>
      <c r="P59" s="78">
        <f>AVERAGE('Groupe Temoin '!$N59+'Groupe Temoin '!$O59)/2</f>
        <v>9.75</v>
      </c>
      <c r="Q59" s="81"/>
      <c r="R59" s="81"/>
      <c r="S59" s="81"/>
      <c r="T59" s="81"/>
      <c r="U59" s="81"/>
      <c r="V59" s="79"/>
      <c r="W59" s="76"/>
      <c r="X59" s="76"/>
      <c r="Y59" s="76"/>
      <c r="Z59" s="76"/>
    </row>
    <row r="60" ht="15.75" customHeight="1">
      <c r="A60" s="75" t="s">
        <v>290</v>
      </c>
      <c r="B60" s="82" t="s">
        <v>319</v>
      </c>
      <c r="C60" s="86"/>
      <c r="D60" s="82" t="s">
        <v>292</v>
      </c>
      <c r="E60" s="82" t="s">
        <v>31</v>
      </c>
      <c r="F60" s="82">
        <v>57.0</v>
      </c>
      <c r="G60" s="75">
        <v>2022.0</v>
      </c>
      <c r="H60" s="83">
        <v>3.0</v>
      </c>
      <c r="I60" s="82">
        <v>639.0</v>
      </c>
      <c r="J60" s="82" t="str">
        <f>'Groupe Temoin '!$G60&amp;"-"&amp;'Groupe Temoin '!$H60&amp;"-"&amp;'Groupe Temoin '!$I60</f>
        <v>2022-3-639</v>
      </c>
      <c r="K60" s="82">
        <v>2.5</v>
      </c>
      <c r="L60" s="82">
        <v>9.0</v>
      </c>
      <c r="M60" s="82">
        <f>AVERAGE('Groupe Temoin '!$K60+'Groupe Temoin '!$L60)/2</f>
        <v>5.75</v>
      </c>
      <c r="N60" s="82">
        <v>3.0</v>
      </c>
      <c r="O60" s="82">
        <v>8.5</v>
      </c>
      <c r="P60" s="82">
        <f>AVERAGE('Groupe Temoin '!$N60+'Groupe Temoin '!$O60)/2</f>
        <v>5.75</v>
      </c>
      <c r="Q60" s="87"/>
      <c r="R60" s="87"/>
      <c r="S60" s="87"/>
      <c r="T60" s="87"/>
      <c r="U60" s="87"/>
      <c r="V60" s="75"/>
      <c r="W60" s="76"/>
      <c r="X60" s="76"/>
      <c r="Y60" s="76"/>
      <c r="Z60" s="76"/>
    </row>
    <row r="61" ht="15.75" customHeight="1">
      <c r="A61" s="89" t="s">
        <v>290</v>
      </c>
      <c r="B61" s="90" t="s">
        <v>320</v>
      </c>
      <c r="C61" s="91"/>
      <c r="D61" s="90" t="s">
        <v>247</v>
      </c>
      <c r="E61" s="90" t="s">
        <v>31</v>
      </c>
      <c r="F61" s="90">
        <v>58.0</v>
      </c>
      <c r="G61" s="89">
        <v>2022.0</v>
      </c>
      <c r="H61" s="92">
        <v>3.0</v>
      </c>
      <c r="I61" s="90">
        <v>640.0</v>
      </c>
      <c r="J61" s="90" t="str">
        <f>'Groupe Temoin '!$G61&amp;"-"&amp;'Groupe Temoin '!$H61&amp;"-"&amp;'Groupe Temoin '!$I61</f>
        <v>2022-3-640</v>
      </c>
      <c r="K61" s="90">
        <v>3.0</v>
      </c>
      <c r="L61" s="90">
        <v>2.5</v>
      </c>
      <c r="M61" s="93">
        <f>AVERAGE('Groupe Temoin '!$K61+'Groupe Temoin '!$L61)/2</f>
        <v>2.75</v>
      </c>
      <c r="N61" s="90">
        <v>5.0</v>
      </c>
      <c r="O61" s="90">
        <v>8.0</v>
      </c>
      <c r="P61" s="93">
        <f>AVERAGE('Groupe Temoin '!$N61+'Groupe Temoin '!$O61)/2</f>
        <v>6.5</v>
      </c>
      <c r="Q61" s="94"/>
      <c r="R61" s="94"/>
      <c r="S61" s="94"/>
      <c r="T61" s="94"/>
      <c r="U61" s="94"/>
      <c r="V61" s="79"/>
      <c r="W61" s="76"/>
      <c r="X61" s="76"/>
      <c r="Y61" s="76"/>
      <c r="Z61" s="76"/>
    </row>
    <row r="62" ht="15.75" customHeight="1">
      <c r="A62" s="95"/>
      <c r="B62" s="96"/>
      <c r="C62" s="96"/>
      <c r="D62" s="96"/>
      <c r="E62" s="96"/>
      <c r="F62" s="96"/>
      <c r="G62" s="95" t="s">
        <v>207</v>
      </c>
      <c r="H62" s="96"/>
      <c r="I62" s="96"/>
      <c r="J62" s="96"/>
      <c r="K62" s="97">
        <f t="shared" ref="K62:L62" si="1">AVERAGE(K6:K61)</f>
        <v>4.736607143</v>
      </c>
      <c r="L62" s="97">
        <f t="shared" si="1"/>
        <v>8.464285714</v>
      </c>
      <c r="M62" s="97">
        <f>AVERAGE('Groupe Temoin '!$K62+'Groupe Temoin '!$L62)/2</f>
        <v>6.600446429</v>
      </c>
      <c r="N62" s="97">
        <f t="shared" ref="N62:O62" si="2">AVERAGE(N6:N61)</f>
        <v>5.078703704</v>
      </c>
      <c r="O62" s="97">
        <f t="shared" si="2"/>
        <v>6.069444444</v>
      </c>
      <c r="P62" s="97">
        <f>AVERAGE('Groupe Temoin '!$N62+'Groupe Temoin '!$O62)/2</f>
        <v>5.574074074</v>
      </c>
      <c r="Q62" s="98"/>
      <c r="R62" s="99"/>
      <c r="S62" s="99"/>
      <c r="T62" s="99"/>
      <c r="U62" s="100"/>
      <c r="V62" s="95"/>
    </row>
    <row r="63" ht="15.75" customHeight="1">
      <c r="C63" s="101" t="s">
        <v>3</v>
      </c>
      <c r="K63" s="52"/>
      <c r="L63" s="52"/>
      <c r="Q63" s="52"/>
      <c r="R63" s="52"/>
      <c r="S63" s="52"/>
      <c r="T63" s="52"/>
    </row>
    <row r="64" ht="15.75" customHeight="1">
      <c r="K64" s="52"/>
      <c r="L64" s="52"/>
      <c r="M64" s="102">
        <f>AVERAGE(M6:M61)</f>
        <v>6.600446429</v>
      </c>
      <c r="P64" s="103">
        <f>AVERAGE(P6:P61)</f>
        <v>5.375</v>
      </c>
      <c r="Q64" s="52"/>
      <c r="R64" s="52"/>
      <c r="S64" s="52"/>
      <c r="T64" s="52"/>
    </row>
    <row r="65" ht="15.75" customHeight="1">
      <c r="K65" s="52"/>
      <c r="L65" s="52"/>
    </row>
    <row r="66" ht="15.75" customHeight="1">
      <c r="K66" s="52"/>
      <c r="L66" s="52"/>
    </row>
    <row r="67" ht="15.75" customHeight="1">
      <c r="K67" s="52"/>
      <c r="L67" s="52"/>
    </row>
    <row r="68" ht="15.75" customHeight="1">
      <c r="K68" s="52"/>
      <c r="L68" s="52"/>
    </row>
    <row r="69" ht="15.75" customHeight="1">
      <c r="K69" s="52"/>
      <c r="L69" s="52"/>
    </row>
    <row r="70" ht="15.75" customHeight="1">
      <c r="K70" s="52"/>
      <c r="L70" s="52"/>
    </row>
    <row r="71" ht="15.75" customHeight="1">
      <c r="K71" s="52"/>
      <c r="L71" s="52"/>
    </row>
    <row r="72" ht="15.75" customHeight="1">
      <c r="K72" s="52"/>
      <c r="L72" s="52"/>
    </row>
    <row r="73" ht="15.75" customHeight="1">
      <c r="K73" s="52"/>
      <c r="L73" s="52"/>
    </row>
    <row r="74" ht="15.75" customHeight="1">
      <c r="K74" s="52"/>
      <c r="L74" s="52"/>
    </row>
    <row r="75" ht="15.75" customHeight="1">
      <c r="K75" s="52"/>
      <c r="L75" s="52"/>
    </row>
    <row r="76" ht="15.75" customHeight="1">
      <c r="K76" s="52"/>
      <c r="L76" s="52"/>
    </row>
    <row r="77" ht="15.75" customHeight="1">
      <c r="K77" s="52"/>
      <c r="L77" s="52"/>
    </row>
    <row r="78" ht="15.75" customHeight="1">
      <c r="K78" s="52"/>
      <c r="L78" s="52"/>
    </row>
    <row r="79" ht="15.75" customHeight="1">
      <c r="K79" s="52"/>
      <c r="L79" s="52"/>
    </row>
    <row r="80" ht="15.75" customHeight="1">
      <c r="K80" s="52"/>
      <c r="L80" s="52"/>
    </row>
    <row r="81" ht="15.75" customHeight="1">
      <c r="K81" s="52"/>
      <c r="L81" s="52"/>
    </row>
    <row r="82" ht="15.75" customHeight="1">
      <c r="K82" s="52"/>
      <c r="L82" s="52"/>
    </row>
    <row r="83" ht="15.75" customHeight="1">
      <c r="K83" s="52"/>
      <c r="L83" s="52"/>
    </row>
    <row r="84" ht="15.75" customHeight="1">
      <c r="K84" s="52"/>
      <c r="L84" s="52"/>
    </row>
    <row r="85" ht="15.75" customHeight="1">
      <c r="K85" s="52"/>
      <c r="L85" s="52"/>
    </row>
    <row r="86" ht="15.75" customHeight="1">
      <c r="K86" s="52"/>
      <c r="L86" s="52"/>
    </row>
    <row r="87" ht="15.75" customHeight="1">
      <c r="K87" s="52"/>
      <c r="L87" s="52"/>
    </row>
    <row r="88" ht="15.75" customHeight="1">
      <c r="K88" s="52"/>
      <c r="L88" s="52"/>
    </row>
    <row r="89" ht="15.75" customHeight="1">
      <c r="K89" s="52"/>
      <c r="L89" s="52"/>
    </row>
    <row r="90" ht="15.75" customHeight="1">
      <c r="K90" s="52"/>
      <c r="L90" s="52"/>
    </row>
    <row r="91" ht="15.75" customHeight="1">
      <c r="K91" s="52"/>
      <c r="L91" s="52"/>
    </row>
    <row r="92" ht="15.75" customHeight="1">
      <c r="K92" s="52"/>
      <c r="L92" s="52"/>
    </row>
    <row r="93" ht="15.75" customHeight="1">
      <c r="K93" s="52"/>
      <c r="L93" s="52"/>
    </row>
    <row r="94" ht="15.75" customHeight="1">
      <c r="K94" s="52"/>
      <c r="L94" s="52"/>
    </row>
    <row r="95" ht="15.75" customHeight="1">
      <c r="K95" s="52"/>
      <c r="L95" s="52"/>
    </row>
    <row r="96" ht="15.75" customHeight="1">
      <c r="K96" s="52"/>
      <c r="L96" s="52"/>
    </row>
    <row r="97" ht="15.75" customHeight="1">
      <c r="K97" s="52"/>
      <c r="L97" s="52"/>
    </row>
    <row r="98" ht="15.75" customHeight="1">
      <c r="K98" s="52"/>
      <c r="L98" s="52"/>
    </row>
    <row r="99" ht="15.75" customHeight="1">
      <c r="K99" s="52"/>
      <c r="L99" s="52"/>
    </row>
    <row r="100" ht="15.75" customHeight="1">
      <c r="K100" s="52"/>
      <c r="L100" s="52"/>
    </row>
    <row r="101" ht="15.75" customHeight="1">
      <c r="K101" s="52"/>
      <c r="L101" s="52"/>
    </row>
    <row r="102" ht="15.75" customHeight="1">
      <c r="K102" s="52"/>
      <c r="L102" s="52"/>
    </row>
    <row r="103" ht="15.75" customHeight="1">
      <c r="K103" s="52"/>
      <c r="L103" s="52"/>
    </row>
    <row r="104" ht="15.75" customHeight="1">
      <c r="K104" s="52"/>
      <c r="L104" s="52"/>
    </row>
    <row r="105" ht="15.75" customHeight="1">
      <c r="K105" s="52"/>
      <c r="L105" s="52"/>
    </row>
    <row r="106" ht="15.75" customHeight="1">
      <c r="K106" s="52"/>
      <c r="L106" s="52"/>
    </row>
    <row r="107" ht="15.75" customHeight="1">
      <c r="K107" s="52"/>
      <c r="L107" s="52"/>
    </row>
    <row r="108" ht="15.75" customHeight="1">
      <c r="K108" s="52"/>
      <c r="L108" s="52"/>
    </row>
    <row r="109" ht="15.75" customHeight="1">
      <c r="K109" s="52"/>
      <c r="L109" s="52"/>
    </row>
    <row r="110" ht="15.75" customHeight="1">
      <c r="K110" s="52"/>
      <c r="L110" s="52"/>
    </row>
    <row r="111" ht="15.75" customHeight="1">
      <c r="K111" s="52"/>
      <c r="L111" s="52"/>
    </row>
    <row r="112" ht="15.75" customHeight="1">
      <c r="K112" s="52"/>
      <c r="L112" s="52"/>
    </row>
    <row r="113" ht="15.75" customHeight="1">
      <c r="K113" s="52"/>
      <c r="L113" s="52"/>
    </row>
    <row r="114" ht="15.75" customHeight="1">
      <c r="K114" s="52"/>
      <c r="L114" s="52"/>
    </row>
    <row r="115" ht="15.75" customHeight="1">
      <c r="K115" s="52"/>
      <c r="L115" s="52"/>
    </row>
    <row r="116" ht="15.75" customHeight="1">
      <c r="K116" s="52"/>
      <c r="L116" s="52"/>
    </row>
    <row r="117" ht="15.75" customHeight="1">
      <c r="K117" s="52"/>
      <c r="L117" s="52"/>
    </row>
    <row r="118" ht="15.75" customHeight="1">
      <c r="K118" s="52"/>
      <c r="L118" s="52"/>
    </row>
    <row r="119" ht="15.75" customHeight="1">
      <c r="K119" s="52"/>
      <c r="L119" s="52"/>
    </row>
    <row r="120" ht="15.75" customHeight="1">
      <c r="K120" s="52"/>
      <c r="L120" s="52"/>
    </row>
    <row r="121" ht="15.75" customHeight="1">
      <c r="K121" s="52"/>
      <c r="L121" s="52"/>
    </row>
    <row r="122" ht="15.75" customHeight="1">
      <c r="K122" s="52"/>
      <c r="L122" s="52"/>
    </row>
    <row r="123" ht="15.75" customHeight="1">
      <c r="K123" s="52"/>
      <c r="L123" s="52"/>
    </row>
    <row r="124" ht="15.75" customHeight="1">
      <c r="K124" s="52"/>
      <c r="L124" s="52"/>
    </row>
    <row r="125" ht="15.75" customHeight="1">
      <c r="K125" s="52"/>
      <c r="L125" s="52"/>
    </row>
    <row r="126" ht="15.75" customHeight="1">
      <c r="K126" s="52"/>
      <c r="L126" s="52"/>
    </row>
    <row r="127" ht="15.75" customHeight="1">
      <c r="K127" s="52"/>
      <c r="L127" s="52"/>
    </row>
    <row r="128" ht="15.75" customHeight="1">
      <c r="K128" s="52"/>
      <c r="L128" s="52"/>
    </row>
    <row r="129" ht="15.75" customHeight="1">
      <c r="K129" s="52"/>
      <c r="L129" s="52"/>
    </row>
    <row r="130" ht="15.75" customHeight="1">
      <c r="K130" s="52"/>
      <c r="L130" s="52"/>
    </row>
    <row r="131" ht="15.75" customHeight="1">
      <c r="K131" s="52"/>
      <c r="L131" s="52"/>
    </row>
    <row r="132" ht="15.75" customHeight="1">
      <c r="K132" s="52"/>
      <c r="L132" s="52"/>
    </row>
    <row r="133" ht="15.75" customHeight="1">
      <c r="K133" s="52"/>
      <c r="L133" s="52"/>
    </row>
    <row r="134" ht="15.75" customHeight="1">
      <c r="K134" s="52"/>
      <c r="L134" s="52"/>
    </row>
    <row r="135" ht="15.75" customHeight="1">
      <c r="K135" s="52"/>
      <c r="L135" s="52"/>
    </row>
    <row r="136" ht="15.75" customHeight="1">
      <c r="K136" s="52"/>
      <c r="L136" s="52"/>
    </row>
    <row r="137" ht="15.75" customHeight="1">
      <c r="K137" s="52"/>
      <c r="L137" s="52"/>
    </row>
    <row r="138" ht="15.75" customHeight="1">
      <c r="K138" s="52"/>
      <c r="L138" s="52"/>
    </row>
    <row r="139" ht="15.75" customHeight="1">
      <c r="K139" s="52"/>
      <c r="L139" s="52"/>
    </row>
    <row r="140" ht="15.75" customHeight="1">
      <c r="K140" s="52"/>
      <c r="L140" s="52"/>
    </row>
    <row r="141" ht="15.75" customHeight="1">
      <c r="K141" s="52"/>
      <c r="L141" s="52"/>
    </row>
    <row r="142" ht="15.75" customHeight="1">
      <c r="K142" s="52"/>
      <c r="L142" s="52"/>
    </row>
    <row r="143" ht="15.75" customHeight="1">
      <c r="K143" s="52"/>
      <c r="L143" s="52"/>
    </row>
    <row r="144" ht="15.75" customHeight="1">
      <c r="K144" s="52"/>
      <c r="L144" s="52"/>
    </row>
    <row r="145" ht="15.75" customHeight="1">
      <c r="K145" s="52"/>
      <c r="L145" s="52"/>
    </row>
    <row r="146" ht="15.75" customHeight="1">
      <c r="K146" s="52"/>
      <c r="L146" s="52"/>
    </row>
    <row r="147" ht="15.75" customHeight="1">
      <c r="K147" s="52"/>
      <c r="L147" s="52"/>
    </row>
    <row r="148" ht="15.75" customHeight="1">
      <c r="K148" s="52"/>
      <c r="L148" s="52"/>
    </row>
    <row r="149" ht="15.75" customHeight="1">
      <c r="K149" s="52"/>
      <c r="L149" s="52"/>
    </row>
    <row r="150" ht="15.75" customHeight="1">
      <c r="K150" s="52"/>
      <c r="L150" s="52"/>
    </row>
    <row r="151" ht="15.75" customHeight="1">
      <c r="K151" s="52"/>
      <c r="L151" s="52"/>
    </row>
    <row r="152" ht="15.75" customHeight="1">
      <c r="K152" s="52"/>
      <c r="L152" s="52"/>
    </row>
    <row r="153" ht="15.75" customHeight="1">
      <c r="K153" s="52"/>
      <c r="L153" s="52"/>
    </row>
    <row r="154" ht="15.75" customHeight="1">
      <c r="K154" s="52"/>
      <c r="L154" s="52"/>
    </row>
    <row r="155" ht="15.75" customHeight="1">
      <c r="K155" s="52"/>
      <c r="L155" s="52"/>
    </row>
    <row r="156" ht="15.75" customHeight="1">
      <c r="K156" s="52"/>
      <c r="L156" s="52"/>
    </row>
    <row r="157" ht="15.75" customHeight="1">
      <c r="K157" s="52"/>
      <c r="L157" s="52"/>
    </row>
    <row r="158" ht="15.75" customHeight="1">
      <c r="K158" s="52"/>
      <c r="L158" s="52"/>
    </row>
    <row r="159" ht="15.75" customHeight="1">
      <c r="K159" s="52"/>
      <c r="L159" s="52"/>
    </row>
    <row r="160" ht="15.75" customHeight="1">
      <c r="K160" s="52"/>
      <c r="L160" s="52"/>
    </row>
    <row r="161" ht="15.75" customHeight="1">
      <c r="K161" s="52"/>
      <c r="L161" s="52"/>
    </row>
    <row r="162" ht="15.75" customHeight="1">
      <c r="K162" s="52"/>
      <c r="L162" s="52"/>
    </row>
    <row r="163" ht="15.75" customHeight="1">
      <c r="K163" s="52"/>
      <c r="L163" s="52"/>
    </row>
    <row r="164" ht="15.75" customHeight="1">
      <c r="K164" s="52"/>
      <c r="L164" s="52"/>
    </row>
    <row r="165" ht="15.75" customHeight="1">
      <c r="K165" s="52"/>
      <c r="L165" s="52"/>
    </row>
    <row r="166" ht="15.75" customHeight="1">
      <c r="K166" s="52"/>
      <c r="L166" s="52"/>
    </row>
    <row r="167" ht="15.75" customHeight="1">
      <c r="K167" s="52"/>
      <c r="L167" s="52"/>
    </row>
    <row r="168" ht="15.75" customHeight="1">
      <c r="K168" s="52"/>
      <c r="L168" s="52"/>
    </row>
    <row r="169" ht="15.75" customHeight="1">
      <c r="K169" s="52"/>
      <c r="L169" s="52"/>
    </row>
    <row r="170" ht="15.75" customHeight="1">
      <c r="K170" s="52"/>
      <c r="L170" s="52"/>
    </row>
    <row r="171" ht="15.75" customHeight="1">
      <c r="K171" s="52"/>
      <c r="L171" s="52"/>
    </row>
    <row r="172" ht="15.75" customHeight="1">
      <c r="K172" s="52"/>
      <c r="L172" s="52"/>
    </row>
    <row r="173" ht="15.75" customHeight="1">
      <c r="K173" s="52"/>
      <c r="L173" s="52"/>
    </row>
    <row r="174" ht="15.75" customHeight="1">
      <c r="K174" s="52"/>
      <c r="L174" s="52"/>
    </row>
    <row r="175" ht="15.75" customHeight="1">
      <c r="K175" s="52"/>
      <c r="L175" s="52"/>
    </row>
    <row r="176" ht="15.75" customHeight="1">
      <c r="K176" s="52"/>
      <c r="L176" s="52"/>
    </row>
    <row r="177" ht="15.75" customHeight="1">
      <c r="K177" s="52"/>
      <c r="L177" s="52"/>
    </row>
    <row r="178" ht="15.75" customHeight="1">
      <c r="K178" s="52"/>
      <c r="L178" s="52"/>
    </row>
    <row r="179" ht="15.75" customHeight="1">
      <c r="K179" s="52"/>
      <c r="L179" s="52"/>
    </row>
    <row r="180" ht="15.75" customHeight="1">
      <c r="K180" s="52"/>
      <c r="L180" s="52"/>
    </row>
    <row r="181" ht="15.75" customHeight="1">
      <c r="K181" s="52"/>
      <c r="L181" s="52"/>
    </row>
    <row r="182" ht="15.75" customHeight="1">
      <c r="K182" s="52"/>
      <c r="L182" s="52"/>
    </row>
    <row r="183" ht="15.75" customHeight="1">
      <c r="K183" s="52"/>
      <c r="L183" s="52"/>
    </row>
    <row r="184" ht="15.75" customHeight="1">
      <c r="K184" s="52"/>
      <c r="L184" s="52"/>
    </row>
    <row r="185" ht="15.75" customHeight="1">
      <c r="K185" s="52"/>
      <c r="L185" s="52"/>
    </row>
    <row r="186" ht="15.75" customHeight="1">
      <c r="K186" s="52"/>
      <c r="L186" s="52"/>
    </row>
    <row r="187" ht="15.75" customHeight="1">
      <c r="K187" s="52"/>
      <c r="L187" s="52"/>
    </row>
    <row r="188" ht="15.75" customHeight="1">
      <c r="K188" s="52"/>
      <c r="L188" s="52"/>
    </row>
    <row r="189" ht="15.75" customHeight="1">
      <c r="K189" s="52"/>
      <c r="L189" s="52"/>
    </row>
    <row r="190" ht="15.75" customHeight="1">
      <c r="K190" s="52"/>
      <c r="L190" s="52"/>
    </row>
    <row r="191" ht="15.75" customHeight="1">
      <c r="K191" s="52"/>
      <c r="L191" s="52"/>
    </row>
    <row r="192" ht="15.75" customHeight="1">
      <c r="K192" s="52"/>
      <c r="L192" s="52"/>
    </row>
    <row r="193" ht="15.75" customHeight="1">
      <c r="K193" s="52"/>
      <c r="L193" s="52"/>
    </row>
    <row r="194" ht="15.75" customHeight="1">
      <c r="K194" s="52"/>
      <c r="L194" s="52"/>
    </row>
    <row r="195" ht="15.75" customHeight="1">
      <c r="K195" s="52"/>
      <c r="L195" s="52"/>
    </row>
    <row r="196" ht="15.75" customHeight="1">
      <c r="K196" s="52"/>
      <c r="L196" s="52"/>
    </row>
    <row r="197" ht="15.75" customHeight="1">
      <c r="K197" s="52"/>
      <c r="L197" s="52"/>
    </row>
    <row r="198" ht="15.75" customHeight="1">
      <c r="K198" s="52"/>
      <c r="L198" s="52"/>
    </row>
    <row r="199" ht="15.75" customHeight="1">
      <c r="K199" s="52"/>
      <c r="L199" s="52"/>
    </row>
    <row r="200" ht="15.75" customHeight="1">
      <c r="K200" s="52"/>
      <c r="L200" s="52"/>
    </row>
    <row r="201" ht="15.75" customHeight="1">
      <c r="K201" s="52"/>
      <c r="L201" s="52"/>
    </row>
    <row r="202" ht="15.75" customHeight="1">
      <c r="K202" s="52"/>
      <c r="L202" s="52"/>
    </row>
    <row r="203" ht="15.75" customHeight="1">
      <c r="K203" s="52"/>
      <c r="L203" s="52"/>
    </row>
    <row r="204" ht="15.75" customHeight="1">
      <c r="K204" s="52"/>
      <c r="L204" s="52"/>
    </row>
    <row r="205" ht="15.75" customHeight="1">
      <c r="K205" s="52"/>
      <c r="L205" s="52"/>
    </row>
    <row r="206" ht="15.75" customHeight="1">
      <c r="K206" s="52"/>
      <c r="L206" s="52"/>
    </row>
    <row r="207" ht="15.75" customHeight="1">
      <c r="K207" s="52"/>
      <c r="L207" s="52"/>
    </row>
    <row r="208" ht="15.75" customHeight="1">
      <c r="K208" s="52"/>
      <c r="L208" s="52"/>
    </row>
    <row r="209" ht="15.75" customHeight="1">
      <c r="K209" s="52"/>
      <c r="L209" s="52"/>
    </row>
    <row r="210" ht="15.75" customHeight="1">
      <c r="K210" s="52"/>
      <c r="L210" s="52"/>
    </row>
    <row r="211" ht="15.75" customHeight="1">
      <c r="K211" s="52"/>
      <c r="L211" s="52"/>
    </row>
    <row r="212" ht="15.75" customHeight="1">
      <c r="K212" s="52"/>
      <c r="L212" s="52"/>
    </row>
    <row r="213" ht="15.75" customHeight="1">
      <c r="K213" s="52"/>
      <c r="L213" s="52"/>
    </row>
    <row r="214" ht="15.75" customHeight="1">
      <c r="K214" s="52"/>
      <c r="L214" s="52"/>
    </row>
    <row r="215" ht="15.75" customHeight="1">
      <c r="K215" s="52"/>
      <c r="L215" s="52"/>
    </row>
    <row r="216" ht="15.75" customHeight="1">
      <c r="K216" s="52"/>
      <c r="L216" s="52"/>
    </row>
    <row r="217" ht="15.75" customHeight="1">
      <c r="K217" s="52"/>
      <c r="L217" s="52"/>
    </row>
    <row r="218" ht="15.75" customHeight="1">
      <c r="K218" s="52"/>
      <c r="L218" s="52"/>
    </row>
    <row r="219" ht="15.75" customHeight="1">
      <c r="K219" s="52"/>
      <c r="L219" s="52"/>
    </row>
    <row r="220" ht="15.75" customHeight="1">
      <c r="K220" s="52"/>
      <c r="L220" s="52"/>
    </row>
    <row r="221" ht="15.75" customHeight="1">
      <c r="K221" s="52"/>
      <c r="L221" s="52"/>
    </row>
    <row r="222" ht="15.75" customHeight="1">
      <c r="K222" s="52"/>
      <c r="L222" s="52"/>
    </row>
    <row r="223" ht="15.75" customHeight="1">
      <c r="K223" s="52"/>
      <c r="L223" s="52"/>
    </row>
    <row r="224" ht="15.75" customHeight="1">
      <c r="K224" s="52"/>
      <c r="L224" s="52"/>
    </row>
    <row r="225" ht="15.75" customHeight="1">
      <c r="K225" s="52"/>
      <c r="L225" s="52"/>
    </row>
    <row r="226" ht="15.75" customHeight="1">
      <c r="K226" s="52"/>
      <c r="L226" s="52"/>
    </row>
    <row r="227" ht="15.75" customHeight="1">
      <c r="K227" s="52"/>
      <c r="L227" s="52"/>
    </row>
    <row r="228" ht="15.75" customHeight="1">
      <c r="K228" s="52"/>
      <c r="L228" s="52"/>
    </row>
    <row r="229" ht="15.75" customHeight="1">
      <c r="K229" s="52"/>
      <c r="L229" s="52"/>
    </row>
    <row r="230" ht="15.75" customHeight="1">
      <c r="K230" s="52"/>
      <c r="L230" s="52"/>
    </row>
    <row r="231" ht="15.75" customHeight="1">
      <c r="K231" s="52"/>
      <c r="L231" s="52"/>
    </row>
    <row r="232" ht="15.75" customHeight="1">
      <c r="K232" s="52"/>
      <c r="L232" s="52"/>
    </row>
    <row r="233" ht="15.75" customHeight="1">
      <c r="K233" s="52"/>
      <c r="L233" s="52"/>
    </row>
    <row r="234" ht="15.75" customHeight="1">
      <c r="K234" s="52"/>
      <c r="L234" s="52"/>
    </row>
    <row r="235" ht="15.75" customHeight="1">
      <c r="K235" s="52"/>
      <c r="L235" s="52"/>
    </row>
    <row r="236" ht="15.75" customHeight="1">
      <c r="K236" s="52"/>
      <c r="L236" s="52"/>
    </row>
    <row r="237" ht="15.75" customHeight="1">
      <c r="K237" s="52"/>
      <c r="L237" s="52"/>
    </row>
    <row r="238" ht="15.75" customHeight="1">
      <c r="K238" s="52"/>
      <c r="L238" s="52"/>
    </row>
    <row r="239" ht="15.75" customHeight="1">
      <c r="K239" s="52"/>
      <c r="L239" s="52"/>
    </row>
    <row r="240" ht="15.75" customHeight="1">
      <c r="K240" s="52"/>
      <c r="L240" s="52"/>
    </row>
    <row r="241" ht="15.75" customHeight="1">
      <c r="K241" s="52"/>
      <c r="L241" s="52"/>
    </row>
    <row r="242" ht="15.75" customHeight="1">
      <c r="K242" s="52"/>
      <c r="L242" s="52"/>
    </row>
    <row r="243" ht="15.75" customHeight="1">
      <c r="K243" s="52"/>
      <c r="L243" s="52"/>
    </row>
    <row r="244" ht="15.75" customHeight="1">
      <c r="K244" s="52"/>
      <c r="L244" s="52"/>
    </row>
    <row r="245" ht="15.75" customHeight="1">
      <c r="K245" s="52"/>
      <c r="L245" s="52"/>
    </row>
    <row r="246" ht="15.75" customHeight="1">
      <c r="K246" s="52"/>
      <c r="L246" s="52"/>
    </row>
    <row r="247" ht="15.75" customHeight="1">
      <c r="K247" s="52"/>
      <c r="L247" s="52"/>
    </row>
    <row r="248" ht="15.75" customHeight="1">
      <c r="K248" s="52"/>
      <c r="L248" s="52"/>
    </row>
    <row r="249" ht="15.75" customHeight="1">
      <c r="K249" s="52"/>
      <c r="L249" s="52"/>
    </row>
    <row r="250" ht="15.75" customHeight="1">
      <c r="K250" s="52"/>
      <c r="L250" s="52"/>
    </row>
    <row r="251" ht="15.75" customHeight="1">
      <c r="K251" s="52"/>
      <c r="L251" s="52"/>
    </row>
    <row r="252" ht="15.75" customHeight="1">
      <c r="K252" s="52"/>
      <c r="L252" s="52"/>
    </row>
    <row r="253" ht="15.75" customHeight="1">
      <c r="K253" s="52"/>
      <c r="L253" s="52"/>
    </row>
    <row r="254" ht="15.75" customHeight="1">
      <c r="K254" s="52"/>
      <c r="L254" s="52"/>
    </row>
    <row r="255" ht="15.75" customHeight="1">
      <c r="K255" s="52"/>
      <c r="L255" s="52"/>
    </row>
    <row r="256" ht="15.75" customHeight="1">
      <c r="K256" s="52"/>
      <c r="L256" s="52"/>
    </row>
    <row r="257" ht="15.75" customHeight="1">
      <c r="K257" s="52"/>
      <c r="L257" s="52"/>
    </row>
    <row r="258" ht="15.75" customHeight="1">
      <c r="K258" s="52"/>
      <c r="L258" s="52"/>
    </row>
    <row r="259" ht="15.75" customHeight="1">
      <c r="K259" s="52"/>
      <c r="L259" s="52"/>
    </row>
    <row r="260" ht="15.75" customHeight="1">
      <c r="K260" s="52"/>
      <c r="L260" s="52"/>
    </row>
    <row r="261" ht="15.75" customHeight="1">
      <c r="K261" s="52"/>
      <c r="L261" s="52"/>
    </row>
    <row r="262" ht="15.75" customHeight="1">
      <c r="K262" s="52"/>
      <c r="L262" s="52"/>
    </row>
    <row r="263" ht="15.75" customHeight="1">
      <c r="K263" s="52"/>
      <c r="L263" s="52"/>
    </row>
    <row r="264" ht="15.75" customHeight="1">
      <c r="K264" s="52"/>
      <c r="L264" s="52"/>
    </row>
    <row r="265" ht="15.75" customHeight="1">
      <c r="K265" s="52"/>
      <c r="L265" s="52"/>
    </row>
    <row r="266" ht="15.75" customHeight="1">
      <c r="K266" s="52"/>
      <c r="L266" s="52"/>
    </row>
    <row r="267" ht="15.75" customHeight="1">
      <c r="K267" s="52"/>
      <c r="L267" s="52"/>
    </row>
    <row r="268" ht="15.75" customHeight="1">
      <c r="K268" s="52"/>
      <c r="L268" s="52"/>
    </row>
    <row r="269" ht="15.75" customHeight="1">
      <c r="K269" s="52"/>
      <c r="L269" s="52"/>
    </row>
    <row r="270" ht="15.75" customHeight="1">
      <c r="K270" s="52"/>
      <c r="L270" s="52"/>
    </row>
    <row r="271" ht="15.75" customHeight="1">
      <c r="K271" s="52"/>
      <c r="L271" s="52"/>
    </row>
    <row r="272" ht="15.75" customHeight="1">
      <c r="K272" s="52"/>
      <c r="L272" s="52"/>
    </row>
    <row r="273" ht="15.75" customHeight="1">
      <c r="K273" s="52"/>
      <c r="L273" s="52"/>
    </row>
    <row r="274" ht="15.75" customHeight="1">
      <c r="K274" s="52"/>
      <c r="L274" s="52"/>
    </row>
    <row r="275" ht="15.75" customHeight="1">
      <c r="K275" s="52"/>
      <c r="L275" s="52"/>
    </row>
    <row r="276" ht="15.75" customHeight="1">
      <c r="K276" s="52"/>
      <c r="L276" s="52"/>
    </row>
    <row r="277" ht="15.75" customHeight="1">
      <c r="K277" s="52"/>
      <c r="L277" s="52"/>
    </row>
    <row r="278" ht="15.75" customHeight="1">
      <c r="K278" s="52"/>
      <c r="L278" s="52"/>
    </row>
    <row r="279" ht="15.75" customHeight="1">
      <c r="K279" s="52"/>
      <c r="L279" s="52"/>
    </row>
    <row r="280" ht="15.75" customHeight="1">
      <c r="K280" s="52"/>
      <c r="L280" s="52"/>
    </row>
    <row r="281" ht="15.75" customHeight="1">
      <c r="K281" s="52"/>
      <c r="L281" s="52"/>
    </row>
    <row r="282" ht="15.75" customHeight="1">
      <c r="K282" s="52"/>
      <c r="L282" s="52"/>
    </row>
    <row r="283" ht="15.75" customHeight="1">
      <c r="K283" s="52"/>
      <c r="L283" s="52"/>
    </row>
    <row r="284" ht="15.75" customHeight="1">
      <c r="K284" s="52"/>
      <c r="L284" s="52"/>
    </row>
    <row r="285" ht="15.75" customHeight="1">
      <c r="K285" s="52"/>
      <c r="L285" s="52"/>
    </row>
    <row r="286" ht="15.75" customHeight="1">
      <c r="K286" s="52"/>
      <c r="L286" s="52"/>
    </row>
    <row r="287" ht="15.75" customHeight="1">
      <c r="K287" s="52"/>
      <c r="L287" s="52"/>
    </row>
    <row r="288" ht="15.75" customHeight="1">
      <c r="K288" s="52"/>
      <c r="L288" s="52"/>
    </row>
    <row r="289" ht="15.75" customHeight="1">
      <c r="K289" s="52"/>
      <c r="L289" s="52"/>
    </row>
    <row r="290" ht="15.75" customHeight="1">
      <c r="K290" s="52"/>
      <c r="L290" s="52"/>
    </row>
    <row r="291" ht="15.75" customHeight="1">
      <c r="K291" s="52"/>
      <c r="L291" s="52"/>
    </row>
    <row r="292" ht="15.75" customHeight="1">
      <c r="K292" s="52"/>
      <c r="L292" s="52"/>
    </row>
    <row r="293" ht="15.75" customHeight="1">
      <c r="K293" s="52"/>
      <c r="L293" s="52"/>
    </row>
    <row r="294" ht="15.75" customHeight="1">
      <c r="K294" s="52"/>
      <c r="L294" s="52"/>
    </row>
    <row r="295" ht="15.75" customHeight="1">
      <c r="K295" s="52"/>
      <c r="L295" s="52"/>
    </row>
    <row r="296" ht="15.75" customHeight="1">
      <c r="K296" s="52"/>
      <c r="L296" s="52"/>
    </row>
    <row r="297" ht="15.75" customHeight="1">
      <c r="K297" s="52"/>
      <c r="L297" s="52"/>
    </row>
    <row r="298" ht="15.75" customHeight="1">
      <c r="K298" s="52"/>
      <c r="L298" s="52"/>
    </row>
    <row r="299" ht="15.75" customHeight="1">
      <c r="K299" s="52"/>
      <c r="L299" s="52"/>
    </row>
    <row r="300" ht="15.75" customHeight="1">
      <c r="K300" s="52"/>
      <c r="L300" s="52"/>
    </row>
    <row r="301" ht="15.75" customHeight="1">
      <c r="K301" s="52"/>
      <c r="L301" s="52"/>
    </row>
    <row r="302" ht="15.75" customHeight="1">
      <c r="K302" s="52"/>
      <c r="L302" s="52"/>
    </row>
    <row r="303" ht="15.75" customHeight="1">
      <c r="K303" s="52"/>
      <c r="L303" s="52"/>
    </row>
    <row r="304" ht="15.75" customHeight="1">
      <c r="K304" s="52"/>
      <c r="L304" s="52"/>
    </row>
    <row r="305" ht="15.75" customHeight="1">
      <c r="K305" s="52"/>
      <c r="L305" s="52"/>
    </row>
    <row r="306" ht="15.75" customHeight="1">
      <c r="K306" s="52"/>
      <c r="L306" s="52"/>
    </row>
    <row r="307" ht="15.75" customHeight="1">
      <c r="K307" s="52"/>
      <c r="L307" s="52"/>
    </row>
    <row r="308" ht="15.75" customHeight="1">
      <c r="K308" s="52"/>
      <c r="L308" s="52"/>
    </row>
    <row r="309" ht="15.75" customHeight="1">
      <c r="K309" s="52"/>
      <c r="L309" s="52"/>
    </row>
    <row r="310" ht="15.75" customHeight="1">
      <c r="K310" s="52"/>
      <c r="L310" s="52"/>
    </row>
    <row r="311" ht="15.75" customHeight="1">
      <c r="K311" s="52"/>
      <c r="L311" s="52"/>
    </row>
    <row r="312" ht="15.75" customHeight="1">
      <c r="K312" s="52"/>
      <c r="L312" s="52"/>
    </row>
    <row r="313" ht="15.75" customHeight="1">
      <c r="K313" s="52"/>
      <c r="L313" s="52"/>
    </row>
    <row r="314" ht="15.75" customHeight="1">
      <c r="K314" s="52"/>
      <c r="L314" s="52"/>
    </row>
    <row r="315" ht="15.75" customHeight="1">
      <c r="K315" s="52"/>
      <c r="L315" s="52"/>
    </row>
    <row r="316" ht="15.75" customHeight="1">
      <c r="K316" s="52"/>
      <c r="L316" s="52"/>
    </row>
    <row r="317" ht="15.75" customHeight="1">
      <c r="K317" s="52"/>
      <c r="L317" s="52"/>
    </row>
    <row r="318" ht="15.75" customHeight="1">
      <c r="K318" s="52"/>
      <c r="L318" s="52"/>
    </row>
    <row r="319" ht="15.75" customHeight="1">
      <c r="K319" s="52"/>
      <c r="L319" s="52"/>
    </row>
    <row r="320" ht="15.75" customHeight="1">
      <c r="K320" s="52"/>
      <c r="L320" s="52"/>
    </row>
    <row r="321" ht="15.75" customHeight="1">
      <c r="K321" s="52"/>
      <c r="L321" s="52"/>
    </row>
    <row r="322" ht="15.75" customHeight="1">
      <c r="K322" s="52"/>
      <c r="L322" s="52"/>
    </row>
    <row r="323" ht="15.75" customHeight="1">
      <c r="K323" s="52"/>
      <c r="L323" s="52"/>
    </row>
    <row r="324" ht="15.75" customHeight="1">
      <c r="K324" s="52"/>
      <c r="L324" s="52"/>
    </row>
    <row r="325" ht="15.75" customHeight="1">
      <c r="K325" s="52"/>
      <c r="L325" s="52"/>
    </row>
    <row r="326" ht="15.75" customHeight="1">
      <c r="K326" s="52"/>
      <c r="L326" s="52"/>
    </row>
    <row r="327" ht="15.75" customHeight="1">
      <c r="K327" s="52"/>
      <c r="L327" s="52"/>
    </row>
    <row r="328" ht="15.75" customHeight="1">
      <c r="K328" s="52"/>
      <c r="L328" s="52"/>
    </row>
    <row r="329" ht="15.75" customHeight="1">
      <c r="K329" s="52"/>
      <c r="L329" s="52"/>
    </row>
    <row r="330" ht="15.75" customHeight="1">
      <c r="K330" s="52"/>
      <c r="L330" s="52"/>
    </row>
    <row r="331" ht="15.75" customHeight="1">
      <c r="K331" s="52"/>
      <c r="L331" s="52"/>
    </row>
    <row r="332" ht="15.75" customHeight="1">
      <c r="K332" s="52"/>
      <c r="L332" s="52"/>
    </row>
    <row r="333" ht="15.75" customHeight="1">
      <c r="K333" s="52"/>
      <c r="L333" s="52"/>
    </row>
    <row r="334" ht="15.75" customHeight="1">
      <c r="K334" s="52"/>
      <c r="L334" s="52"/>
    </row>
    <row r="335" ht="15.75" customHeight="1">
      <c r="K335" s="52"/>
      <c r="L335" s="52"/>
    </row>
    <row r="336" ht="15.75" customHeight="1">
      <c r="K336" s="52"/>
      <c r="L336" s="52"/>
    </row>
    <row r="337" ht="15.75" customHeight="1">
      <c r="K337" s="52"/>
      <c r="L337" s="52"/>
    </row>
    <row r="338" ht="15.75" customHeight="1">
      <c r="K338" s="52"/>
      <c r="L338" s="52"/>
    </row>
    <row r="339" ht="15.75" customHeight="1">
      <c r="K339" s="52"/>
      <c r="L339" s="52"/>
    </row>
    <row r="340" ht="15.75" customHeight="1">
      <c r="K340" s="52"/>
      <c r="L340" s="52"/>
    </row>
    <row r="341" ht="15.75" customHeight="1">
      <c r="K341" s="52"/>
      <c r="L341" s="52"/>
    </row>
    <row r="342" ht="15.75" customHeight="1">
      <c r="K342" s="52"/>
      <c r="L342" s="52"/>
    </row>
    <row r="343" ht="15.75" customHeight="1">
      <c r="K343" s="52"/>
      <c r="L343" s="52"/>
    </row>
    <row r="344" ht="15.75" customHeight="1">
      <c r="K344" s="52"/>
      <c r="L344" s="52"/>
    </row>
    <row r="345" ht="15.75" customHeight="1">
      <c r="K345" s="52"/>
      <c r="L345" s="52"/>
    </row>
    <row r="346" ht="15.75" customHeight="1">
      <c r="K346" s="52"/>
      <c r="L346" s="52"/>
    </row>
    <row r="347" ht="15.75" customHeight="1">
      <c r="K347" s="52"/>
      <c r="L347" s="52"/>
    </row>
    <row r="348" ht="15.75" customHeight="1">
      <c r="K348" s="52"/>
      <c r="L348" s="52"/>
    </row>
    <row r="349" ht="15.75" customHeight="1">
      <c r="K349" s="52"/>
      <c r="L349" s="52"/>
    </row>
    <row r="350" ht="15.75" customHeight="1">
      <c r="K350" s="52"/>
      <c r="L350" s="52"/>
    </row>
    <row r="351" ht="15.75" customHeight="1">
      <c r="K351" s="52"/>
      <c r="L351" s="52"/>
    </row>
    <row r="352" ht="15.75" customHeight="1">
      <c r="K352" s="52"/>
      <c r="L352" s="52"/>
    </row>
    <row r="353" ht="15.75" customHeight="1">
      <c r="K353" s="52"/>
      <c r="L353" s="52"/>
    </row>
    <row r="354" ht="15.75" customHeight="1">
      <c r="K354" s="52"/>
      <c r="L354" s="52"/>
    </row>
    <row r="355" ht="15.75" customHeight="1">
      <c r="K355" s="52"/>
      <c r="L355" s="52"/>
    </row>
    <row r="356" ht="15.75" customHeight="1">
      <c r="K356" s="52"/>
      <c r="L356" s="52"/>
    </row>
    <row r="357" ht="15.75" customHeight="1">
      <c r="K357" s="52"/>
      <c r="L357" s="52"/>
    </row>
    <row r="358" ht="15.75" customHeight="1">
      <c r="K358" s="52"/>
      <c r="L358" s="52"/>
    </row>
    <row r="359" ht="15.75" customHeight="1">
      <c r="K359" s="52"/>
      <c r="L359" s="52"/>
    </row>
    <row r="360" ht="15.75" customHeight="1">
      <c r="K360" s="52"/>
      <c r="L360" s="52"/>
    </row>
    <row r="361" ht="15.75" customHeight="1">
      <c r="K361" s="52"/>
      <c r="L361" s="52"/>
    </row>
    <row r="362" ht="15.75" customHeight="1">
      <c r="K362" s="52"/>
      <c r="L362" s="52"/>
    </row>
    <row r="363" ht="15.75" customHeight="1">
      <c r="K363" s="52"/>
      <c r="L363" s="52"/>
    </row>
    <row r="364" ht="15.75" customHeight="1">
      <c r="K364" s="52"/>
      <c r="L364" s="52"/>
    </row>
    <row r="365" ht="15.75" customHeight="1">
      <c r="K365" s="52"/>
      <c r="L365" s="52"/>
    </row>
    <row r="366" ht="15.75" customHeight="1">
      <c r="K366" s="52"/>
      <c r="L366" s="52"/>
    </row>
    <row r="367" ht="15.75" customHeight="1">
      <c r="K367" s="52"/>
      <c r="L367" s="52"/>
    </row>
    <row r="368" ht="15.75" customHeight="1">
      <c r="K368" s="52"/>
      <c r="L368" s="52"/>
    </row>
    <row r="369" ht="15.75" customHeight="1">
      <c r="K369" s="52"/>
      <c r="L369" s="52"/>
    </row>
    <row r="370" ht="15.75" customHeight="1">
      <c r="K370" s="52"/>
      <c r="L370" s="52"/>
    </row>
    <row r="371" ht="15.75" customHeight="1">
      <c r="K371" s="52"/>
      <c r="L371" s="52"/>
    </row>
    <row r="372" ht="15.75" customHeight="1">
      <c r="K372" s="52"/>
      <c r="L372" s="52"/>
    </row>
    <row r="373" ht="15.75" customHeight="1">
      <c r="K373" s="52"/>
      <c r="L373" s="52"/>
    </row>
    <row r="374" ht="15.75" customHeight="1">
      <c r="K374" s="52"/>
      <c r="L374" s="52"/>
    </row>
    <row r="375" ht="15.75" customHeight="1">
      <c r="K375" s="52"/>
      <c r="L375" s="52"/>
    </row>
    <row r="376" ht="15.75" customHeight="1">
      <c r="K376" s="52"/>
      <c r="L376" s="52"/>
    </row>
    <row r="377" ht="15.75" customHeight="1">
      <c r="K377" s="52"/>
      <c r="L377" s="52"/>
    </row>
    <row r="378" ht="15.75" customHeight="1">
      <c r="K378" s="52"/>
      <c r="L378" s="52"/>
    </row>
    <row r="379" ht="15.75" customHeight="1">
      <c r="K379" s="52"/>
      <c r="L379" s="52"/>
    </row>
    <row r="380" ht="15.75" customHeight="1">
      <c r="K380" s="52"/>
      <c r="L380" s="52"/>
    </row>
    <row r="381" ht="15.75" customHeight="1">
      <c r="K381" s="52"/>
      <c r="L381" s="52"/>
    </row>
    <row r="382" ht="15.75" customHeight="1">
      <c r="K382" s="52"/>
      <c r="L382" s="52"/>
    </row>
    <row r="383" ht="15.75" customHeight="1">
      <c r="K383" s="52"/>
      <c r="L383" s="52"/>
    </row>
    <row r="384" ht="15.75" customHeight="1">
      <c r="K384" s="52"/>
      <c r="L384" s="52"/>
    </row>
    <row r="385" ht="15.75" customHeight="1">
      <c r="K385" s="52"/>
      <c r="L385" s="52"/>
    </row>
    <row r="386" ht="15.75" customHeight="1">
      <c r="K386" s="52"/>
      <c r="L386" s="52"/>
    </row>
    <row r="387" ht="15.75" customHeight="1">
      <c r="K387" s="52"/>
      <c r="L387" s="52"/>
    </row>
    <row r="388" ht="15.75" customHeight="1">
      <c r="K388" s="52"/>
      <c r="L388" s="52"/>
    </row>
    <row r="389" ht="15.75" customHeight="1">
      <c r="K389" s="52"/>
      <c r="L389" s="52"/>
    </row>
    <row r="390" ht="15.75" customHeight="1">
      <c r="K390" s="52"/>
      <c r="L390" s="52"/>
    </row>
    <row r="391" ht="15.75" customHeight="1">
      <c r="K391" s="52"/>
      <c r="L391" s="52"/>
    </row>
    <row r="392" ht="15.75" customHeight="1">
      <c r="K392" s="52"/>
      <c r="L392" s="52"/>
    </row>
    <row r="393" ht="15.75" customHeight="1">
      <c r="K393" s="52"/>
      <c r="L393" s="52"/>
    </row>
    <row r="394" ht="15.75" customHeight="1">
      <c r="K394" s="52"/>
      <c r="L394" s="52"/>
    </row>
    <row r="395" ht="15.75" customHeight="1">
      <c r="K395" s="52"/>
      <c r="L395" s="52"/>
    </row>
    <row r="396" ht="15.75" customHeight="1">
      <c r="K396" s="52"/>
      <c r="L396" s="52"/>
    </row>
    <row r="397" ht="15.75" customHeight="1">
      <c r="K397" s="52"/>
      <c r="L397" s="52"/>
    </row>
    <row r="398" ht="15.75" customHeight="1">
      <c r="K398" s="52"/>
      <c r="L398" s="52"/>
    </row>
    <row r="399" ht="15.75" customHeight="1">
      <c r="K399" s="52"/>
      <c r="L399" s="52"/>
    </row>
    <row r="400" ht="15.75" customHeight="1">
      <c r="K400" s="52"/>
      <c r="L400" s="52"/>
    </row>
    <row r="401" ht="15.75" customHeight="1">
      <c r="K401" s="52"/>
      <c r="L401" s="52"/>
    </row>
    <row r="402" ht="15.75" customHeight="1">
      <c r="K402" s="52"/>
      <c r="L402" s="52"/>
    </row>
    <row r="403" ht="15.75" customHeight="1">
      <c r="K403" s="52"/>
      <c r="L403" s="52"/>
    </row>
    <row r="404" ht="15.75" customHeight="1">
      <c r="K404" s="52"/>
      <c r="L404" s="52"/>
    </row>
    <row r="405" ht="15.75" customHeight="1">
      <c r="K405" s="52"/>
      <c r="L405" s="52"/>
    </row>
    <row r="406" ht="15.75" customHeight="1">
      <c r="K406" s="52"/>
      <c r="L406" s="52"/>
    </row>
    <row r="407" ht="15.75" customHeight="1">
      <c r="K407" s="52"/>
      <c r="L407" s="52"/>
    </row>
    <row r="408" ht="15.75" customHeight="1">
      <c r="K408" s="52"/>
      <c r="L408" s="52"/>
    </row>
    <row r="409" ht="15.75" customHeight="1">
      <c r="K409" s="52"/>
      <c r="L409" s="52"/>
    </row>
    <row r="410" ht="15.75" customHeight="1">
      <c r="K410" s="52"/>
      <c r="L410" s="52"/>
    </row>
    <row r="411" ht="15.75" customHeight="1">
      <c r="K411" s="52"/>
      <c r="L411" s="52"/>
    </row>
    <row r="412" ht="15.75" customHeight="1">
      <c r="K412" s="52"/>
      <c r="L412" s="52"/>
    </row>
    <row r="413" ht="15.75" customHeight="1">
      <c r="K413" s="52"/>
      <c r="L413" s="52"/>
    </row>
    <row r="414" ht="15.75" customHeight="1">
      <c r="K414" s="52"/>
      <c r="L414" s="52"/>
    </row>
    <row r="415" ht="15.75" customHeight="1">
      <c r="K415" s="52"/>
      <c r="L415" s="52"/>
    </row>
    <row r="416" ht="15.75" customHeight="1">
      <c r="K416" s="52"/>
      <c r="L416" s="52"/>
    </row>
    <row r="417" ht="15.75" customHeight="1">
      <c r="K417" s="52"/>
      <c r="L417" s="52"/>
    </row>
    <row r="418" ht="15.75" customHeight="1">
      <c r="K418" s="52"/>
      <c r="L418" s="52"/>
    </row>
    <row r="419" ht="15.75" customHeight="1">
      <c r="K419" s="52"/>
      <c r="L419" s="52"/>
    </row>
    <row r="420" ht="15.75" customHeight="1">
      <c r="K420" s="52"/>
      <c r="L420" s="52"/>
    </row>
    <row r="421" ht="15.75" customHeight="1">
      <c r="K421" s="52"/>
      <c r="L421" s="52"/>
    </row>
    <row r="422" ht="15.75" customHeight="1">
      <c r="K422" s="52"/>
      <c r="L422" s="52"/>
    </row>
    <row r="423" ht="15.75" customHeight="1">
      <c r="K423" s="52"/>
      <c r="L423" s="52"/>
    </row>
    <row r="424" ht="15.75" customHeight="1">
      <c r="K424" s="52"/>
      <c r="L424" s="52"/>
    </row>
    <row r="425" ht="15.75" customHeight="1">
      <c r="K425" s="52"/>
      <c r="L425" s="52"/>
    </row>
    <row r="426" ht="15.75" customHeight="1">
      <c r="K426" s="52"/>
      <c r="L426" s="52"/>
    </row>
    <row r="427" ht="15.75" customHeight="1">
      <c r="K427" s="52"/>
      <c r="L427" s="52"/>
    </row>
    <row r="428" ht="15.75" customHeight="1">
      <c r="K428" s="52"/>
      <c r="L428" s="52"/>
    </row>
    <row r="429" ht="15.75" customHeight="1">
      <c r="K429" s="52"/>
      <c r="L429" s="52"/>
    </row>
    <row r="430" ht="15.75" customHeight="1">
      <c r="K430" s="52"/>
      <c r="L430" s="52"/>
    </row>
    <row r="431" ht="15.75" customHeight="1">
      <c r="K431" s="52"/>
      <c r="L431" s="52"/>
    </row>
    <row r="432" ht="15.75" customHeight="1">
      <c r="K432" s="52"/>
      <c r="L432" s="52"/>
    </row>
    <row r="433" ht="15.75" customHeight="1">
      <c r="K433" s="52"/>
      <c r="L433" s="52"/>
    </row>
    <row r="434" ht="15.75" customHeight="1">
      <c r="K434" s="52"/>
      <c r="L434" s="52"/>
    </row>
    <row r="435" ht="15.75" customHeight="1">
      <c r="K435" s="52"/>
      <c r="L435" s="52"/>
    </row>
    <row r="436" ht="15.75" customHeight="1">
      <c r="K436" s="52"/>
      <c r="L436" s="52"/>
    </row>
    <row r="437" ht="15.75" customHeight="1">
      <c r="K437" s="52"/>
      <c r="L437" s="52"/>
    </row>
    <row r="438" ht="15.75" customHeight="1">
      <c r="K438" s="52"/>
      <c r="L438" s="52"/>
    </row>
    <row r="439" ht="15.75" customHeight="1">
      <c r="K439" s="52"/>
      <c r="L439" s="52"/>
    </row>
    <row r="440" ht="15.75" customHeight="1">
      <c r="K440" s="52"/>
      <c r="L440" s="52"/>
    </row>
    <row r="441" ht="15.75" customHeight="1">
      <c r="K441" s="52"/>
      <c r="L441" s="52"/>
    </row>
    <row r="442" ht="15.75" customHeight="1">
      <c r="K442" s="52"/>
      <c r="L442" s="52"/>
    </row>
    <row r="443" ht="15.75" customHeight="1">
      <c r="K443" s="52"/>
      <c r="L443" s="52"/>
    </row>
    <row r="444" ht="15.75" customHeight="1">
      <c r="K444" s="52"/>
      <c r="L444" s="52"/>
    </row>
    <row r="445" ht="15.75" customHeight="1">
      <c r="K445" s="52"/>
      <c r="L445" s="52"/>
    </row>
    <row r="446" ht="15.75" customHeight="1">
      <c r="K446" s="52"/>
      <c r="L446" s="52"/>
    </row>
    <row r="447" ht="15.75" customHeight="1">
      <c r="K447" s="52"/>
      <c r="L447" s="52"/>
    </row>
    <row r="448" ht="15.75" customHeight="1">
      <c r="K448" s="52"/>
      <c r="L448" s="52"/>
    </row>
    <row r="449" ht="15.75" customHeight="1">
      <c r="K449" s="52"/>
      <c r="L449" s="52"/>
    </row>
    <row r="450" ht="15.75" customHeight="1">
      <c r="K450" s="52"/>
      <c r="L450" s="52"/>
    </row>
    <row r="451" ht="15.75" customHeight="1">
      <c r="K451" s="52"/>
      <c r="L451" s="52"/>
    </row>
    <row r="452" ht="15.75" customHeight="1">
      <c r="K452" s="52"/>
      <c r="L452" s="52"/>
    </row>
    <row r="453" ht="15.75" customHeight="1">
      <c r="K453" s="52"/>
      <c r="L453" s="52"/>
    </row>
    <row r="454" ht="15.75" customHeight="1">
      <c r="K454" s="52"/>
      <c r="L454" s="52"/>
    </row>
    <row r="455" ht="15.75" customHeight="1">
      <c r="K455" s="52"/>
      <c r="L455" s="52"/>
    </row>
    <row r="456" ht="15.75" customHeight="1">
      <c r="K456" s="52"/>
      <c r="L456" s="52"/>
    </row>
    <row r="457" ht="15.75" customHeight="1">
      <c r="K457" s="52"/>
      <c r="L457" s="52"/>
    </row>
    <row r="458" ht="15.75" customHeight="1">
      <c r="K458" s="52"/>
      <c r="L458" s="52"/>
    </row>
    <row r="459" ht="15.75" customHeight="1">
      <c r="K459" s="52"/>
      <c r="L459" s="52"/>
    </row>
    <row r="460" ht="15.75" customHeight="1">
      <c r="K460" s="52"/>
      <c r="L460" s="52"/>
    </row>
    <row r="461" ht="15.75" customHeight="1">
      <c r="K461" s="52"/>
      <c r="L461" s="52"/>
    </row>
    <row r="462" ht="15.75" customHeight="1">
      <c r="K462" s="52"/>
      <c r="L462" s="52"/>
    </row>
    <row r="463" ht="15.75" customHeight="1">
      <c r="K463" s="52"/>
      <c r="L463" s="52"/>
    </row>
    <row r="464" ht="15.75" customHeight="1">
      <c r="K464" s="52"/>
      <c r="L464" s="52"/>
    </row>
    <row r="465" ht="15.75" customHeight="1">
      <c r="K465" s="52"/>
      <c r="L465" s="52"/>
    </row>
    <row r="466" ht="15.75" customHeight="1">
      <c r="K466" s="52"/>
      <c r="L466" s="52"/>
    </row>
    <row r="467" ht="15.75" customHeight="1">
      <c r="K467" s="52"/>
      <c r="L467" s="52"/>
    </row>
    <row r="468" ht="15.75" customHeight="1">
      <c r="K468" s="52"/>
      <c r="L468" s="52"/>
    </row>
    <row r="469" ht="15.75" customHeight="1">
      <c r="K469" s="52"/>
      <c r="L469" s="52"/>
    </row>
    <row r="470" ht="15.75" customHeight="1">
      <c r="K470" s="52"/>
      <c r="L470" s="52"/>
    </row>
    <row r="471" ht="15.75" customHeight="1">
      <c r="K471" s="52"/>
      <c r="L471" s="52"/>
    </row>
    <row r="472" ht="15.75" customHeight="1">
      <c r="K472" s="52"/>
      <c r="L472" s="52"/>
    </row>
    <row r="473" ht="15.75" customHeight="1">
      <c r="K473" s="52"/>
      <c r="L473" s="52"/>
    </row>
    <row r="474" ht="15.75" customHeight="1">
      <c r="K474" s="52"/>
      <c r="L474" s="52"/>
    </row>
    <row r="475" ht="15.75" customHeight="1">
      <c r="K475" s="52"/>
      <c r="L475" s="52"/>
    </row>
    <row r="476" ht="15.75" customHeight="1">
      <c r="K476" s="52"/>
      <c r="L476" s="52"/>
    </row>
    <row r="477" ht="15.75" customHeight="1">
      <c r="K477" s="52"/>
      <c r="L477" s="52"/>
    </row>
    <row r="478" ht="15.75" customHeight="1">
      <c r="K478" s="52"/>
      <c r="L478" s="52"/>
    </row>
    <row r="479" ht="15.75" customHeight="1">
      <c r="K479" s="52"/>
      <c r="L479" s="52"/>
    </row>
    <row r="480" ht="15.75" customHeight="1">
      <c r="K480" s="52"/>
      <c r="L480" s="52"/>
    </row>
    <row r="481" ht="15.75" customHeight="1">
      <c r="K481" s="52"/>
      <c r="L481" s="52"/>
    </row>
    <row r="482" ht="15.75" customHeight="1">
      <c r="K482" s="52"/>
      <c r="L482" s="52"/>
    </row>
    <row r="483" ht="15.75" customHeight="1">
      <c r="K483" s="52"/>
      <c r="L483" s="52"/>
    </row>
    <row r="484" ht="15.75" customHeight="1">
      <c r="K484" s="52"/>
      <c r="L484" s="52"/>
    </row>
    <row r="485" ht="15.75" customHeight="1">
      <c r="K485" s="52"/>
      <c r="L485" s="52"/>
    </row>
    <row r="486" ht="15.75" customHeight="1">
      <c r="K486" s="52"/>
      <c r="L486" s="52"/>
    </row>
    <row r="487" ht="15.75" customHeight="1">
      <c r="K487" s="52"/>
      <c r="L487" s="52"/>
    </row>
    <row r="488" ht="15.75" customHeight="1">
      <c r="K488" s="52"/>
      <c r="L488" s="52"/>
    </row>
    <row r="489" ht="15.75" customHeight="1">
      <c r="K489" s="52"/>
      <c r="L489" s="52"/>
    </row>
    <row r="490" ht="15.75" customHeight="1">
      <c r="K490" s="52"/>
      <c r="L490" s="52"/>
    </row>
    <row r="491" ht="15.75" customHeight="1">
      <c r="K491" s="52"/>
      <c r="L491" s="52"/>
    </row>
    <row r="492" ht="15.75" customHeight="1">
      <c r="K492" s="52"/>
      <c r="L492" s="52"/>
    </row>
    <row r="493" ht="15.75" customHeight="1">
      <c r="K493" s="52"/>
      <c r="L493" s="52"/>
    </row>
    <row r="494" ht="15.75" customHeight="1">
      <c r="K494" s="52"/>
      <c r="L494" s="52"/>
    </row>
    <row r="495" ht="15.75" customHeight="1">
      <c r="K495" s="52"/>
      <c r="L495" s="52"/>
    </row>
    <row r="496" ht="15.75" customHeight="1">
      <c r="K496" s="52"/>
      <c r="L496" s="52"/>
    </row>
    <row r="497" ht="15.75" customHeight="1">
      <c r="K497" s="52"/>
      <c r="L497" s="52"/>
    </row>
    <row r="498" ht="15.75" customHeight="1">
      <c r="K498" s="52"/>
      <c r="L498" s="52"/>
    </row>
    <row r="499" ht="15.75" customHeight="1">
      <c r="K499" s="52"/>
      <c r="L499" s="52"/>
    </row>
    <row r="500" ht="15.75" customHeight="1">
      <c r="K500" s="52"/>
      <c r="L500" s="52"/>
    </row>
    <row r="501" ht="15.75" customHeight="1">
      <c r="K501" s="52"/>
      <c r="L501" s="52"/>
    </row>
    <row r="502" ht="15.75" customHeight="1">
      <c r="K502" s="52"/>
      <c r="L502" s="52"/>
    </row>
    <row r="503" ht="15.75" customHeight="1">
      <c r="K503" s="52"/>
      <c r="L503" s="52"/>
    </row>
    <row r="504" ht="15.75" customHeight="1">
      <c r="K504" s="52"/>
      <c r="L504" s="52"/>
    </row>
    <row r="505" ht="15.75" customHeight="1">
      <c r="K505" s="52"/>
      <c r="L505" s="52"/>
    </row>
    <row r="506" ht="15.75" customHeight="1">
      <c r="K506" s="52"/>
      <c r="L506" s="52"/>
    </row>
    <row r="507" ht="15.75" customHeight="1">
      <c r="K507" s="52"/>
      <c r="L507" s="52"/>
    </row>
    <row r="508" ht="15.75" customHeight="1">
      <c r="K508" s="52"/>
      <c r="L508" s="52"/>
    </row>
    <row r="509" ht="15.75" customHeight="1">
      <c r="K509" s="52"/>
      <c r="L509" s="52"/>
    </row>
    <row r="510" ht="15.75" customHeight="1">
      <c r="K510" s="52"/>
      <c r="L510" s="52"/>
    </row>
    <row r="511" ht="15.75" customHeight="1">
      <c r="K511" s="52"/>
      <c r="L511" s="52"/>
    </row>
    <row r="512" ht="15.75" customHeight="1">
      <c r="K512" s="52"/>
      <c r="L512" s="52"/>
    </row>
    <row r="513" ht="15.75" customHeight="1">
      <c r="K513" s="52"/>
      <c r="L513" s="52"/>
    </row>
    <row r="514" ht="15.75" customHeight="1">
      <c r="K514" s="52"/>
      <c r="L514" s="52"/>
    </row>
    <row r="515" ht="15.75" customHeight="1">
      <c r="K515" s="52"/>
      <c r="L515" s="52"/>
    </row>
    <row r="516" ht="15.75" customHeight="1">
      <c r="K516" s="52"/>
      <c r="L516" s="52"/>
    </row>
    <row r="517" ht="15.75" customHeight="1">
      <c r="K517" s="52"/>
      <c r="L517" s="52"/>
    </row>
    <row r="518" ht="15.75" customHeight="1">
      <c r="K518" s="52"/>
      <c r="L518" s="52"/>
    </row>
    <row r="519" ht="15.75" customHeight="1">
      <c r="K519" s="52"/>
      <c r="L519" s="52"/>
    </row>
    <row r="520" ht="15.75" customHeight="1">
      <c r="K520" s="52"/>
      <c r="L520" s="52"/>
    </row>
    <row r="521" ht="15.75" customHeight="1">
      <c r="K521" s="52"/>
      <c r="L521" s="52"/>
    </row>
    <row r="522" ht="15.75" customHeight="1">
      <c r="K522" s="52"/>
      <c r="L522" s="52"/>
    </row>
    <row r="523" ht="15.75" customHeight="1">
      <c r="K523" s="52"/>
      <c r="L523" s="52"/>
    </row>
    <row r="524" ht="15.75" customHeight="1">
      <c r="K524" s="52"/>
      <c r="L524" s="52"/>
    </row>
    <row r="525" ht="15.75" customHeight="1">
      <c r="K525" s="52"/>
      <c r="L525" s="52"/>
    </row>
    <row r="526" ht="15.75" customHeight="1">
      <c r="K526" s="52"/>
      <c r="L526" s="52"/>
    </row>
    <row r="527" ht="15.75" customHeight="1">
      <c r="K527" s="52"/>
      <c r="L527" s="52"/>
    </row>
    <row r="528" ht="15.75" customHeight="1">
      <c r="K528" s="52"/>
      <c r="L528" s="52"/>
    </row>
    <row r="529" ht="15.75" customHeight="1">
      <c r="K529" s="52"/>
      <c r="L529" s="52"/>
    </row>
    <row r="530" ht="15.75" customHeight="1">
      <c r="K530" s="52"/>
      <c r="L530" s="52"/>
    </row>
    <row r="531" ht="15.75" customHeight="1">
      <c r="K531" s="52"/>
      <c r="L531" s="52"/>
    </row>
    <row r="532" ht="15.75" customHeight="1">
      <c r="K532" s="52"/>
      <c r="L532" s="52"/>
    </row>
    <row r="533" ht="15.75" customHeight="1">
      <c r="K533" s="52"/>
      <c r="L533" s="52"/>
    </row>
    <row r="534" ht="15.75" customHeight="1">
      <c r="K534" s="52"/>
      <c r="L534" s="52"/>
    </row>
    <row r="535" ht="15.75" customHeight="1">
      <c r="K535" s="52"/>
      <c r="L535" s="52"/>
    </row>
    <row r="536" ht="15.75" customHeight="1">
      <c r="K536" s="52"/>
      <c r="L536" s="52"/>
    </row>
    <row r="537" ht="15.75" customHeight="1">
      <c r="K537" s="52"/>
      <c r="L537" s="52"/>
    </row>
    <row r="538" ht="15.75" customHeight="1">
      <c r="K538" s="52"/>
      <c r="L538" s="52"/>
    </row>
    <row r="539" ht="15.75" customHeight="1">
      <c r="K539" s="52"/>
      <c r="L539" s="52"/>
    </row>
    <row r="540" ht="15.75" customHeight="1">
      <c r="K540" s="52"/>
      <c r="L540" s="52"/>
    </row>
    <row r="541" ht="15.75" customHeight="1">
      <c r="K541" s="52"/>
      <c r="L541" s="52"/>
    </row>
    <row r="542" ht="15.75" customHeight="1">
      <c r="K542" s="52"/>
      <c r="L542" s="52"/>
    </row>
    <row r="543" ht="15.75" customHeight="1">
      <c r="K543" s="52"/>
      <c r="L543" s="52"/>
    </row>
    <row r="544" ht="15.75" customHeight="1">
      <c r="K544" s="52"/>
      <c r="L544" s="52"/>
    </row>
    <row r="545" ht="15.75" customHeight="1">
      <c r="K545" s="52"/>
      <c r="L545" s="52"/>
    </row>
    <row r="546" ht="15.75" customHeight="1">
      <c r="K546" s="52"/>
      <c r="L546" s="52"/>
    </row>
    <row r="547" ht="15.75" customHeight="1">
      <c r="K547" s="52"/>
      <c r="L547" s="52"/>
    </row>
    <row r="548" ht="15.75" customHeight="1">
      <c r="K548" s="52"/>
      <c r="L548" s="52"/>
    </row>
    <row r="549" ht="15.75" customHeight="1">
      <c r="K549" s="52"/>
      <c r="L549" s="52"/>
    </row>
    <row r="550" ht="15.75" customHeight="1">
      <c r="K550" s="52"/>
      <c r="L550" s="52"/>
    </row>
    <row r="551" ht="15.75" customHeight="1">
      <c r="K551" s="52"/>
      <c r="L551" s="52"/>
    </row>
    <row r="552" ht="15.75" customHeight="1">
      <c r="K552" s="52"/>
      <c r="L552" s="52"/>
    </row>
    <row r="553" ht="15.75" customHeight="1">
      <c r="K553" s="52"/>
      <c r="L553" s="52"/>
    </row>
    <row r="554" ht="15.75" customHeight="1">
      <c r="K554" s="52"/>
      <c r="L554" s="52"/>
    </row>
    <row r="555" ht="15.75" customHeight="1">
      <c r="K555" s="52"/>
      <c r="L555" s="52"/>
    </row>
    <row r="556" ht="15.75" customHeight="1">
      <c r="K556" s="52"/>
      <c r="L556" s="52"/>
    </row>
    <row r="557" ht="15.75" customHeight="1">
      <c r="K557" s="52"/>
      <c r="L557" s="52"/>
    </row>
    <row r="558" ht="15.75" customHeight="1">
      <c r="K558" s="52"/>
      <c r="L558" s="52"/>
    </row>
    <row r="559" ht="15.75" customHeight="1">
      <c r="K559" s="52"/>
      <c r="L559" s="52"/>
    </row>
    <row r="560" ht="15.75" customHeight="1">
      <c r="K560" s="52"/>
      <c r="L560" s="52"/>
    </row>
    <row r="561" ht="15.75" customHeight="1">
      <c r="K561" s="52"/>
      <c r="L561" s="52"/>
    </row>
    <row r="562" ht="15.75" customHeight="1">
      <c r="K562" s="52"/>
      <c r="L562" s="52"/>
    </row>
    <row r="563" ht="15.75" customHeight="1">
      <c r="K563" s="52"/>
      <c r="L563" s="52"/>
    </row>
    <row r="564" ht="15.75" customHeight="1">
      <c r="K564" s="52"/>
      <c r="L564" s="52"/>
    </row>
    <row r="565" ht="15.75" customHeight="1">
      <c r="K565" s="52"/>
      <c r="L565" s="52"/>
    </row>
    <row r="566" ht="15.75" customHeight="1">
      <c r="K566" s="52"/>
      <c r="L566" s="52"/>
    </row>
    <row r="567" ht="15.75" customHeight="1">
      <c r="K567" s="52"/>
      <c r="L567" s="52"/>
    </row>
    <row r="568" ht="15.75" customHeight="1">
      <c r="K568" s="52"/>
      <c r="L568" s="52"/>
    </row>
    <row r="569" ht="15.75" customHeight="1">
      <c r="K569" s="52"/>
      <c r="L569" s="52"/>
    </row>
    <row r="570" ht="15.75" customHeight="1">
      <c r="K570" s="52"/>
      <c r="L570" s="52"/>
    </row>
    <row r="571" ht="15.75" customHeight="1">
      <c r="K571" s="52"/>
      <c r="L571" s="52"/>
    </row>
    <row r="572" ht="15.75" customHeight="1">
      <c r="K572" s="52"/>
      <c r="L572" s="52"/>
    </row>
    <row r="573" ht="15.75" customHeight="1">
      <c r="K573" s="52"/>
      <c r="L573" s="52"/>
    </row>
    <row r="574" ht="15.75" customHeight="1">
      <c r="K574" s="52"/>
      <c r="L574" s="52"/>
    </row>
    <row r="575" ht="15.75" customHeight="1">
      <c r="K575" s="52"/>
      <c r="L575" s="52"/>
    </row>
    <row r="576" ht="15.75" customHeight="1">
      <c r="K576" s="52"/>
      <c r="L576" s="52"/>
    </row>
    <row r="577" ht="15.75" customHeight="1">
      <c r="K577" s="52"/>
      <c r="L577" s="52"/>
    </row>
    <row r="578" ht="15.75" customHeight="1">
      <c r="K578" s="52"/>
      <c r="L578" s="52"/>
    </row>
    <row r="579" ht="15.75" customHeight="1">
      <c r="K579" s="52"/>
      <c r="L579" s="52"/>
    </row>
    <row r="580" ht="15.75" customHeight="1">
      <c r="K580" s="52"/>
      <c r="L580" s="52"/>
    </row>
    <row r="581" ht="15.75" customHeight="1">
      <c r="K581" s="52"/>
      <c r="L581" s="52"/>
    </row>
    <row r="582" ht="15.75" customHeight="1">
      <c r="K582" s="52"/>
      <c r="L582" s="52"/>
    </row>
    <row r="583" ht="15.75" customHeight="1">
      <c r="K583" s="52"/>
      <c r="L583" s="52"/>
    </row>
    <row r="584" ht="15.75" customHeight="1">
      <c r="K584" s="52"/>
      <c r="L584" s="52"/>
    </row>
    <row r="585" ht="15.75" customHeight="1">
      <c r="K585" s="52"/>
      <c r="L585" s="52"/>
    </row>
    <row r="586" ht="15.75" customHeight="1">
      <c r="K586" s="52"/>
      <c r="L586" s="52"/>
    </row>
    <row r="587" ht="15.75" customHeight="1">
      <c r="K587" s="52"/>
      <c r="L587" s="52"/>
    </row>
    <row r="588" ht="15.75" customHeight="1">
      <c r="K588" s="52"/>
      <c r="L588" s="52"/>
    </row>
    <row r="589" ht="15.75" customHeight="1">
      <c r="K589" s="52"/>
      <c r="L589" s="52"/>
    </row>
    <row r="590" ht="15.75" customHeight="1">
      <c r="K590" s="52"/>
      <c r="L590" s="52"/>
    </row>
    <row r="591" ht="15.75" customHeight="1">
      <c r="K591" s="52"/>
      <c r="L591" s="52"/>
    </row>
    <row r="592" ht="15.75" customHeight="1">
      <c r="K592" s="52"/>
      <c r="L592" s="52"/>
    </row>
    <row r="593" ht="15.75" customHeight="1">
      <c r="K593" s="52"/>
      <c r="L593" s="52"/>
    </row>
    <row r="594" ht="15.75" customHeight="1">
      <c r="K594" s="52"/>
      <c r="L594" s="52"/>
    </row>
    <row r="595" ht="15.75" customHeight="1">
      <c r="K595" s="52"/>
      <c r="L595" s="52"/>
    </row>
    <row r="596" ht="15.75" customHeight="1">
      <c r="K596" s="52"/>
      <c r="L596" s="52"/>
    </row>
    <row r="597" ht="15.75" customHeight="1">
      <c r="K597" s="52"/>
      <c r="L597" s="52"/>
    </row>
    <row r="598" ht="15.75" customHeight="1">
      <c r="K598" s="52"/>
      <c r="L598" s="52"/>
    </row>
    <row r="599" ht="15.75" customHeight="1">
      <c r="K599" s="52"/>
      <c r="L599" s="52"/>
    </row>
    <row r="600" ht="15.75" customHeight="1">
      <c r="K600" s="52"/>
      <c r="L600" s="52"/>
    </row>
    <row r="601" ht="15.75" customHeight="1">
      <c r="K601" s="52"/>
      <c r="L601" s="52"/>
    </row>
    <row r="602" ht="15.75" customHeight="1">
      <c r="K602" s="52"/>
      <c r="L602" s="52"/>
    </row>
    <row r="603" ht="15.75" customHeight="1">
      <c r="K603" s="52"/>
      <c r="L603" s="52"/>
    </row>
    <row r="604" ht="15.75" customHeight="1">
      <c r="K604" s="52"/>
      <c r="L604" s="52"/>
    </row>
    <row r="605" ht="15.75" customHeight="1">
      <c r="K605" s="52"/>
      <c r="L605" s="52"/>
    </row>
    <row r="606" ht="15.75" customHeight="1">
      <c r="K606" s="52"/>
      <c r="L606" s="52"/>
    </row>
    <row r="607" ht="15.75" customHeight="1">
      <c r="K607" s="52"/>
      <c r="L607" s="52"/>
    </row>
    <row r="608" ht="15.75" customHeight="1">
      <c r="K608" s="52"/>
      <c r="L608" s="52"/>
    </row>
    <row r="609" ht="15.75" customHeight="1">
      <c r="K609" s="52"/>
      <c r="L609" s="52"/>
    </row>
    <row r="610" ht="15.75" customHeight="1">
      <c r="K610" s="52"/>
      <c r="L610" s="52"/>
    </row>
    <row r="611" ht="15.75" customHeight="1">
      <c r="K611" s="52"/>
      <c r="L611" s="52"/>
    </row>
    <row r="612" ht="15.75" customHeight="1">
      <c r="K612" s="52"/>
      <c r="L612" s="52"/>
    </row>
    <row r="613" ht="15.75" customHeight="1">
      <c r="K613" s="52"/>
      <c r="L613" s="52"/>
    </row>
    <row r="614" ht="15.75" customHeight="1">
      <c r="K614" s="52"/>
      <c r="L614" s="52"/>
    </row>
    <row r="615" ht="15.75" customHeight="1">
      <c r="K615" s="52"/>
      <c r="L615" s="52"/>
    </row>
    <row r="616" ht="15.75" customHeight="1">
      <c r="K616" s="52"/>
      <c r="L616" s="52"/>
    </row>
    <row r="617" ht="15.75" customHeight="1">
      <c r="K617" s="52"/>
      <c r="L617" s="52"/>
    </row>
    <row r="618" ht="15.75" customHeight="1">
      <c r="K618" s="52"/>
      <c r="L618" s="52"/>
    </row>
    <row r="619" ht="15.75" customHeight="1">
      <c r="K619" s="52"/>
      <c r="L619" s="52"/>
    </row>
    <row r="620" ht="15.75" customHeight="1">
      <c r="K620" s="52"/>
      <c r="L620" s="52"/>
    </row>
    <row r="621" ht="15.75" customHeight="1">
      <c r="K621" s="52"/>
      <c r="L621" s="52"/>
    </row>
    <row r="622" ht="15.75" customHeight="1">
      <c r="K622" s="52"/>
      <c r="L622" s="52"/>
    </row>
    <row r="623" ht="15.75" customHeight="1">
      <c r="K623" s="52"/>
      <c r="L623" s="52"/>
    </row>
    <row r="624" ht="15.75" customHeight="1">
      <c r="K624" s="52"/>
      <c r="L624" s="52"/>
    </row>
    <row r="625" ht="15.75" customHeight="1">
      <c r="K625" s="52"/>
      <c r="L625" s="52"/>
    </row>
    <row r="626" ht="15.75" customHeight="1">
      <c r="K626" s="52"/>
      <c r="L626" s="52"/>
    </row>
    <row r="627" ht="15.75" customHeight="1">
      <c r="K627" s="52"/>
      <c r="L627" s="52"/>
    </row>
    <row r="628" ht="15.75" customHeight="1">
      <c r="K628" s="52"/>
      <c r="L628" s="52"/>
    </row>
    <row r="629" ht="15.75" customHeight="1">
      <c r="K629" s="52"/>
      <c r="L629" s="52"/>
    </row>
    <row r="630" ht="15.75" customHeight="1">
      <c r="K630" s="52"/>
      <c r="L630" s="52"/>
    </row>
    <row r="631" ht="15.75" customHeight="1">
      <c r="K631" s="52"/>
      <c r="L631" s="52"/>
    </row>
    <row r="632" ht="15.75" customHeight="1">
      <c r="K632" s="52"/>
      <c r="L632" s="52"/>
    </row>
    <row r="633" ht="15.75" customHeight="1">
      <c r="K633" s="52"/>
      <c r="L633" s="52"/>
    </row>
    <row r="634" ht="15.75" customHeight="1">
      <c r="K634" s="52"/>
      <c r="L634" s="52"/>
    </row>
    <row r="635" ht="15.75" customHeight="1">
      <c r="K635" s="52"/>
      <c r="L635" s="52"/>
    </row>
    <row r="636" ht="15.75" customHeight="1">
      <c r="K636" s="52"/>
      <c r="L636" s="52"/>
    </row>
    <row r="637" ht="15.75" customHeight="1">
      <c r="K637" s="52"/>
      <c r="L637" s="52"/>
    </row>
    <row r="638" ht="15.75" customHeight="1">
      <c r="K638" s="52"/>
      <c r="L638" s="52"/>
    </row>
    <row r="639" ht="15.75" customHeight="1">
      <c r="K639" s="52"/>
      <c r="L639" s="52"/>
    </row>
    <row r="640" ht="15.75" customHeight="1">
      <c r="K640" s="52"/>
      <c r="L640" s="52"/>
    </row>
    <row r="641" ht="15.75" customHeight="1">
      <c r="K641" s="52"/>
      <c r="L641" s="52"/>
    </row>
    <row r="642" ht="15.75" customHeight="1">
      <c r="K642" s="52"/>
      <c r="L642" s="52"/>
    </row>
    <row r="643" ht="15.75" customHeight="1">
      <c r="K643" s="52"/>
      <c r="L643" s="52"/>
    </row>
    <row r="644" ht="15.75" customHeight="1">
      <c r="K644" s="52"/>
      <c r="L644" s="52"/>
    </row>
    <row r="645" ht="15.75" customHeight="1">
      <c r="K645" s="52"/>
      <c r="L645" s="52"/>
    </row>
    <row r="646" ht="15.75" customHeight="1">
      <c r="K646" s="52"/>
      <c r="L646" s="52"/>
    </row>
    <row r="647" ht="15.75" customHeight="1">
      <c r="K647" s="52"/>
      <c r="L647" s="52"/>
    </row>
    <row r="648" ht="15.75" customHeight="1">
      <c r="K648" s="52"/>
      <c r="L648" s="52"/>
    </row>
    <row r="649" ht="15.75" customHeight="1">
      <c r="K649" s="52"/>
      <c r="L649" s="52"/>
    </row>
    <row r="650" ht="15.75" customHeight="1">
      <c r="K650" s="52"/>
      <c r="L650" s="52"/>
    </row>
    <row r="651" ht="15.75" customHeight="1">
      <c r="K651" s="52"/>
      <c r="L651" s="52"/>
    </row>
    <row r="652" ht="15.75" customHeight="1">
      <c r="K652" s="52"/>
      <c r="L652" s="52"/>
    </row>
    <row r="653" ht="15.75" customHeight="1">
      <c r="K653" s="52"/>
      <c r="L653" s="52"/>
    </row>
    <row r="654" ht="15.75" customHeight="1">
      <c r="K654" s="52"/>
      <c r="L654" s="52"/>
    </row>
    <row r="655" ht="15.75" customHeight="1">
      <c r="K655" s="52"/>
      <c r="L655" s="52"/>
    </row>
    <row r="656" ht="15.75" customHeight="1">
      <c r="K656" s="52"/>
      <c r="L656" s="52"/>
    </row>
    <row r="657" ht="15.75" customHeight="1">
      <c r="K657" s="52"/>
      <c r="L657" s="52"/>
    </row>
    <row r="658" ht="15.75" customHeight="1">
      <c r="K658" s="52"/>
      <c r="L658" s="52"/>
    </row>
    <row r="659" ht="15.75" customHeight="1">
      <c r="K659" s="52"/>
      <c r="L659" s="52"/>
    </row>
    <row r="660" ht="15.75" customHeight="1">
      <c r="K660" s="52"/>
      <c r="L660" s="52"/>
    </row>
    <row r="661" ht="15.75" customHeight="1">
      <c r="K661" s="52"/>
      <c r="L661" s="52"/>
    </row>
    <row r="662" ht="15.75" customHeight="1">
      <c r="K662" s="52"/>
      <c r="L662" s="52"/>
    </row>
    <row r="663" ht="15.75" customHeight="1">
      <c r="K663" s="52"/>
      <c r="L663" s="52"/>
    </row>
    <row r="664" ht="15.75" customHeight="1">
      <c r="K664" s="52"/>
      <c r="L664" s="52"/>
    </row>
    <row r="665" ht="15.75" customHeight="1">
      <c r="K665" s="52"/>
      <c r="L665" s="52"/>
    </row>
    <row r="666" ht="15.75" customHeight="1">
      <c r="K666" s="52"/>
      <c r="L666" s="52"/>
    </row>
    <row r="667" ht="15.75" customHeight="1">
      <c r="K667" s="52"/>
      <c r="L667" s="52"/>
    </row>
    <row r="668" ht="15.75" customHeight="1">
      <c r="K668" s="52"/>
      <c r="L668" s="52"/>
    </row>
    <row r="669" ht="15.75" customHeight="1">
      <c r="K669" s="52"/>
      <c r="L669" s="52"/>
    </row>
    <row r="670" ht="15.75" customHeight="1">
      <c r="K670" s="52"/>
      <c r="L670" s="52"/>
    </row>
    <row r="671" ht="15.75" customHeight="1">
      <c r="K671" s="52"/>
      <c r="L671" s="52"/>
    </row>
    <row r="672" ht="15.75" customHeight="1">
      <c r="K672" s="52"/>
      <c r="L672" s="52"/>
    </row>
    <row r="673" ht="15.75" customHeight="1">
      <c r="K673" s="52"/>
      <c r="L673" s="52"/>
    </row>
    <row r="674" ht="15.75" customHeight="1">
      <c r="K674" s="52"/>
      <c r="L674" s="52"/>
    </row>
    <row r="675" ht="15.75" customHeight="1">
      <c r="K675" s="52"/>
      <c r="L675" s="52"/>
    </row>
    <row r="676" ht="15.75" customHeight="1">
      <c r="K676" s="52"/>
      <c r="L676" s="52"/>
    </row>
    <row r="677" ht="15.75" customHeight="1">
      <c r="K677" s="52"/>
      <c r="L677" s="52"/>
    </row>
    <row r="678" ht="15.75" customHeight="1">
      <c r="K678" s="52"/>
      <c r="L678" s="52"/>
    </row>
    <row r="679" ht="15.75" customHeight="1">
      <c r="K679" s="52"/>
      <c r="L679" s="52"/>
    </row>
    <row r="680" ht="15.75" customHeight="1">
      <c r="K680" s="52"/>
      <c r="L680" s="52"/>
    </row>
    <row r="681" ht="15.75" customHeight="1">
      <c r="K681" s="52"/>
      <c r="L681" s="52"/>
    </row>
    <row r="682" ht="15.75" customHeight="1">
      <c r="K682" s="52"/>
      <c r="L682" s="52"/>
    </row>
    <row r="683" ht="15.75" customHeight="1">
      <c r="K683" s="52"/>
      <c r="L683" s="52"/>
    </row>
    <row r="684" ht="15.75" customHeight="1">
      <c r="K684" s="52"/>
      <c r="L684" s="52"/>
    </row>
    <row r="685" ht="15.75" customHeight="1">
      <c r="K685" s="52"/>
      <c r="L685" s="52"/>
    </row>
    <row r="686" ht="15.75" customHeight="1">
      <c r="K686" s="52"/>
      <c r="L686" s="52"/>
    </row>
    <row r="687" ht="15.75" customHeight="1">
      <c r="K687" s="52"/>
      <c r="L687" s="52"/>
    </row>
    <row r="688" ht="15.75" customHeight="1">
      <c r="K688" s="52"/>
      <c r="L688" s="52"/>
    </row>
    <row r="689" ht="15.75" customHeight="1">
      <c r="K689" s="52"/>
      <c r="L689" s="52"/>
    </row>
    <row r="690" ht="15.75" customHeight="1">
      <c r="K690" s="52"/>
      <c r="L690" s="52"/>
    </row>
    <row r="691" ht="15.75" customHeight="1">
      <c r="K691" s="52"/>
      <c r="L691" s="52"/>
    </row>
    <row r="692" ht="15.75" customHeight="1">
      <c r="K692" s="52"/>
      <c r="L692" s="52"/>
    </row>
    <row r="693" ht="15.75" customHeight="1">
      <c r="K693" s="52"/>
      <c r="L693" s="52"/>
    </row>
    <row r="694" ht="15.75" customHeight="1">
      <c r="K694" s="52"/>
      <c r="L694" s="52"/>
    </row>
    <row r="695" ht="15.75" customHeight="1">
      <c r="K695" s="52"/>
      <c r="L695" s="52"/>
    </row>
    <row r="696" ht="15.75" customHeight="1">
      <c r="K696" s="52"/>
      <c r="L696" s="52"/>
    </row>
    <row r="697" ht="15.75" customHeight="1">
      <c r="K697" s="52"/>
      <c r="L697" s="52"/>
    </row>
    <row r="698" ht="15.75" customHeight="1">
      <c r="K698" s="52"/>
      <c r="L698" s="52"/>
    </row>
    <row r="699" ht="15.75" customHeight="1">
      <c r="K699" s="52"/>
      <c r="L699" s="52"/>
    </row>
    <row r="700" ht="15.75" customHeight="1">
      <c r="K700" s="52"/>
      <c r="L700" s="52"/>
    </row>
    <row r="701" ht="15.75" customHeight="1">
      <c r="K701" s="52"/>
      <c r="L701" s="52"/>
    </row>
    <row r="702" ht="15.75" customHeight="1">
      <c r="K702" s="52"/>
      <c r="L702" s="52"/>
    </row>
    <row r="703" ht="15.75" customHeight="1">
      <c r="K703" s="52"/>
      <c r="L703" s="52"/>
    </row>
    <row r="704" ht="15.75" customHeight="1">
      <c r="K704" s="52"/>
      <c r="L704" s="52"/>
    </row>
    <row r="705" ht="15.75" customHeight="1">
      <c r="K705" s="52"/>
      <c r="L705" s="52"/>
    </row>
    <row r="706" ht="15.75" customHeight="1">
      <c r="K706" s="52"/>
      <c r="L706" s="52"/>
    </row>
    <row r="707" ht="15.75" customHeight="1">
      <c r="K707" s="52"/>
      <c r="L707" s="52"/>
    </row>
    <row r="708" ht="15.75" customHeight="1">
      <c r="K708" s="52"/>
      <c r="L708" s="52"/>
    </row>
    <row r="709" ht="15.75" customHeight="1">
      <c r="K709" s="52"/>
      <c r="L709" s="52"/>
    </row>
    <row r="710" ht="15.75" customHeight="1">
      <c r="K710" s="52"/>
      <c r="L710" s="52"/>
    </row>
    <row r="711" ht="15.75" customHeight="1">
      <c r="K711" s="52"/>
      <c r="L711" s="52"/>
    </row>
    <row r="712" ht="15.75" customHeight="1">
      <c r="K712" s="52"/>
      <c r="L712" s="52"/>
    </row>
    <row r="713" ht="15.75" customHeight="1">
      <c r="K713" s="52"/>
      <c r="L713" s="52"/>
    </row>
    <row r="714" ht="15.75" customHeight="1">
      <c r="K714" s="52"/>
      <c r="L714" s="52"/>
    </row>
    <row r="715" ht="15.75" customHeight="1">
      <c r="K715" s="52"/>
      <c r="L715" s="52"/>
    </row>
    <row r="716" ht="15.75" customHeight="1">
      <c r="K716" s="52"/>
      <c r="L716" s="52"/>
    </row>
    <row r="717" ht="15.75" customHeight="1">
      <c r="K717" s="52"/>
      <c r="L717" s="52"/>
    </row>
    <row r="718" ht="15.75" customHeight="1">
      <c r="K718" s="52"/>
      <c r="L718" s="52"/>
    </row>
    <row r="719" ht="15.75" customHeight="1">
      <c r="K719" s="52"/>
      <c r="L719" s="52"/>
    </row>
    <row r="720" ht="15.75" customHeight="1">
      <c r="K720" s="52"/>
      <c r="L720" s="52"/>
    </row>
    <row r="721" ht="15.75" customHeight="1">
      <c r="K721" s="52"/>
      <c r="L721" s="52"/>
    </row>
    <row r="722" ht="15.75" customHeight="1">
      <c r="K722" s="52"/>
      <c r="L722" s="52"/>
    </row>
    <row r="723" ht="15.75" customHeight="1">
      <c r="K723" s="52"/>
      <c r="L723" s="52"/>
    </row>
    <row r="724" ht="15.75" customHeight="1">
      <c r="K724" s="52"/>
      <c r="L724" s="52"/>
    </row>
    <row r="725" ht="15.75" customHeight="1">
      <c r="K725" s="52"/>
      <c r="L725" s="52"/>
    </row>
    <row r="726" ht="15.75" customHeight="1">
      <c r="K726" s="52"/>
      <c r="L726" s="52"/>
    </row>
    <row r="727" ht="15.75" customHeight="1">
      <c r="K727" s="52"/>
      <c r="L727" s="52"/>
    </row>
    <row r="728" ht="15.75" customHeight="1">
      <c r="K728" s="52"/>
      <c r="L728" s="52"/>
    </row>
    <row r="729" ht="15.75" customHeight="1">
      <c r="K729" s="52"/>
      <c r="L729" s="52"/>
    </row>
    <row r="730" ht="15.75" customHeight="1">
      <c r="K730" s="52"/>
      <c r="L730" s="52"/>
    </row>
    <row r="731" ht="15.75" customHeight="1">
      <c r="K731" s="52"/>
      <c r="L731" s="52"/>
    </row>
    <row r="732" ht="15.75" customHeight="1">
      <c r="K732" s="52"/>
      <c r="L732" s="52"/>
    </row>
    <row r="733" ht="15.75" customHeight="1">
      <c r="K733" s="52"/>
      <c r="L733" s="52"/>
    </row>
    <row r="734" ht="15.75" customHeight="1">
      <c r="K734" s="52"/>
      <c r="L734" s="52"/>
    </row>
    <row r="735" ht="15.75" customHeight="1">
      <c r="K735" s="52"/>
      <c r="L735" s="52"/>
    </row>
    <row r="736" ht="15.75" customHeight="1">
      <c r="K736" s="52"/>
      <c r="L736" s="52"/>
    </row>
    <row r="737" ht="15.75" customHeight="1">
      <c r="K737" s="52"/>
      <c r="L737" s="52"/>
    </row>
    <row r="738" ht="15.75" customHeight="1">
      <c r="K738" s="52"/>
      <c r="L738" s="52"/>
    </row>
    <row r="739" ht="15.75" customHeight="1">
      <c r="K739" s="52"/>
      <c r="L739" s="52"/>
    </row>
    <row r="740" ht="15.75" customHeight="1">
      <c r="K740" s="52"/>
      <c r="L740" s="52"/>
    </row>
    <row r="741" ht="15.75" customHeight="1">
      <c r="K741" s="52"/>
      <c r="L741" s="52"/>
    </row>
    <row r="742" ht="15.75" customHeight="1">
      <c r="K742" s="52"/>
      <c r="L742" s="52"/>
    </row>
    <row r="743" ht="15.75" customHeight="1">
      <c r="K743" s="52"/>
      <c r="L743" s="52"/>
    </row>
    <row r="744" ht="15.75" customHeight="1">
      <c r="K744" s="52"/>
      <c r="L744" s="52"/>
    </row>
    <row r="745" ht="15.75" customHeight="1">
      <c r="K745" s="52"/>
      <c r="L745" s="52"/>
    </row>
    <row r="746" ht="15.75" customHeight="1">
      <c r="K746" s="52"/>
      <c r="L746" s="52"/>
    </row>
    <row r="747" ht="15.75" customHeight="1">
      <c r="K747" s="52"/>
      <c r="L747" s="52"/>
    </row>
    <row r="748" ht="15.75" customHeight="1">
      <c r="K748" s="52"/>
      <c r="L748" s="52"/>
    </row>
    <row r="749" ht="15.75" customHeight="1">
      <c r="K749" s="52"/>
      <c r="L749" s="52"/>
    </row>
    <row r="750" ht="15.75" customHeight="1">
      <c r="K750" s="52"/>
      <c r="L750" s="52"/>
    </row>
    <row r="751" ht="15.75" customHeight="1">
      <c r="K751" s="52"/>
      <c r="L751" s="52"/>
    </row>
    <row r="752" ht="15.75" customHeight="1">
      <c r="K752" s="52"/>
      <c r="L752" s="52"/>
    </row>
    <row r="753" ht="15.75" customHeight="1">
      <c r="K753" s="52"/>
      <c r="L753" s="52"/>
    </row>
    <row r="754" ht="15.75" customHeight="1">
      <c r="K754" s="52"/>
      <c r="L754" s="52"/>
    </row>
    <row r="755" ht="15.75" customHeight="1">
      <c r="K755" s="52"/>
      <c r="L755" s="52"/>
    </row>
    <row r="756" ht="15.75" customHeight="1">
      <c r="K756" s="52"/>
      <c r="L756" s="52"/>
    </row>
    <row r="757" ht="15.75" customHeight="1">
      <c r="K757" s="52"/>
      <c r="L757" s="52"/>
    </row>
    <row r="758" ht="15.75" customHeight="1">
      <c r="K758" s="52"/>
      <c r="L758" s="52"/>
    </row>
    <row r="759" ht="15.75" customHeight="1">
      <c r="K759" s="52"/>
      <c r="L759" s="52"/>
    </row>
    <row r="760" ht="15.75" customHeight="1">
      <c r="K760" s="52"/>
      <c r="L760" s="52"/>
    </row>
    <row r="761" ht="15.75" customHeight="1">
      <c r="K761" s="52"/>
      <c r="L761" s="52"/>
    </row>
    <row r="762" ht="15.75" customHeight="1">
      <c r="K762" s="52"/>
      <c r="L762" s="52"/>
    </row>
    <row r="763" ht="15.75" customHeight="1">
      <c r="K763" s="52"/>
      <c r="L763" s="52"/>
    </row>
    <row r="764" ht="15.75" customHeight="1">
      <c r="K764" s="52"/>
      <c r="L764" s="52"/>
    </row>
    <row r="765" ht="15.75" customHeight="1">
      <c r="K765" s="52"/>
      <c r="L765" s="52"/>
    </row>
    <row r="766" ht="15.75" customHeight="1">
      <c r="K766" s="52"/>
      <c r="L766" s="52"/>
    </row>
    <row r="767" ht="15.75" customHeight="1">
      <c r="K767" s="52"/>
      <c r="L767" s="52"/>
    </row>
    <row r="768" ht="15.75" customHeight="1">
      <c r="K768" s="52"/>
      <c r="L768" s="52"/>
    </row>
    <row r="769" ht="15.75" customHeight="1">
      <c r="K769" s="52"/>
      <c r="L769" s="52"/>
    </row>
    <row r="770" ht="15.75" customHeight="1">
      <c r="K770" s="52"/>
      <c r="L770" s="52"/>
    </row>
    <row r="771" ht="15.75" customHeight="1">
      <c r="K771" s="52"/>
      <c r="L771" s="52"/>
    </row>
    <row r="772" ht="15.75" customHeight="1">
      <c r="K772" s="52"/>
      <c r="L772" s="52"/>
    </row>
    <row r="773" ht="15.75" customHeight="1">
      <c r="K773" s="52"/>
      <c r="L773" s="52"/>
    </row>
    <row r="774" ht="15.75" customHeight="1">
      <c r="K774" s="52"/>
      <c r="L774" s="52"/>
    </row>
    <row r="775" ht="15.75" customHeight="1">
      <c r="K775" s="52"/>
      <c r="L775" s="52"/>
    </row>
    <row r="776" ht="15.75" customHeight="1">
      <c r="K776" s="52"/>
      <c r="L776" s="52"/>
    </row>
    <row r="777" ht="15.75" customHeight="1">
      <c r="K777" s="52"/>
      <c r="L777" s="52"/>
    </row>
    <row r="778" ht="15.75" customHeight="1">
      <c r="K778" s="52"/>
      <c r="L778" s="52"/>
    </row>
    <row r="779" ht="15.75" customHeight="1">
      <c r="K779" s="52"/>
      <c r="L779" s="52"/>
    </row>
    <row r="780" ht="15.75" customHeight="1">
      <c r="K780" s="52"/>
      <c r="L780" s="52"/>
    </row>
    <row r="781" ht="15.75" customHeight="1">
      <c r="K781" s="52"/>
      <c r="L781" s="52"/>
    </row>
    <row r="782" ht="15.75" customHeight="1">
      <c r="K782" s="52"/>
      <c r="L782" s="52"/>
    </row>
    <row r="783" ht="15.75" customHeight="1">
      <c r="K783" s="52"/>
      <c r="L783" s="52"/>
    </row>
    <row r="784" ht="15.75" customHeight="1">
      <c r="K784" s="52"/>
      <c r="L784" s="52"/>
    </row>
    <row r="785" ht="15.75" customHeight="1">
      <c r="K785" s="52"/>
      <c r="L785" s="52"/>
    </row>
    <row r="786" ht="15.75" customHeight="1">
      <c r="K786" s="52"/>
      <c r="L786" s="52"/>
    </row>
    <row r="787" ht="15.75" customHeight="1">
      <c r="K787" s="52"/>
      <c r="L787" s="52"/>
    </row>
    <row r="788" ht="15.75" customHeight="1">
      <c r="K788" s="52"/>
      <c r="L788" s="52"/>
    </row>
    <row r="789" ht="15.75" customHeight="1">
      <c r="K789" s="52"/>
      <c r="L789" s="52"/>
    </row>
    <row r="790" ht="15.75" customHeight="1">
      <c r="K790" s="52"/>
      <c r="L790" s="52"/>
    </row>
    <row r="791" ht="15.75" customHeight="1">
      <c r="K791" s="52"/>
      <c r="L791" s="52"/>
    </row>
    <row r="792" ht="15.75" customHeight="1">
      <c r="K792" s="52"/>
      <c r="L792" s="52"/>
    </row>
    <row r="793" ht="15.75" customHeight="1">
      <c r="K793" s="52"/>
      <c r="L793" s="52"/>
    </row>
    <row r="794" ht="15.75" customHeight="1">
      <c r="K794" s="52"/>
      <c r="L794" s="52"/>
    </row>
    <row r="795" ht="15.75" customHeight="1">
      <c r="K795" s="52"/>
      <c r="L795" s="52"/>
    </row>
    <row r="796" ht="15.75" customHeight="1">
      <c r="K796" s="52"/>
      <c r="L796" s="52"/>
    </row>
    <row r="797" ht="15.75" customHeight="1">
      <c r="K797" s="52"/>
      <c r="L797" s="52"/>
    </row>
    <row r="798" ht="15.75" customHeight="1">
      <c r="K798" s="52"/>
      <c r="L798" s="52"/>
    </row>
    <row r="799" ht="15.75" customHeight="1">
      <c r="K799" s="52"/>
      <c r="L799" s="52"/>
    </row>
    <row r="800" ht="15.75" customHeight="1">
      <c r="K800" s="52"/>
      <c r="L800" s="52"/>
    </row>
    <row r="801" ht="15.75" customHeight="1">
      <c r="K801" s="52"/>
      <c r="L801" s="52"/>
    </row>
    <row r="802" ht="15.75" customHeight="1">
      <c r="K802" s="52"/>
      <c r="L802" s="52"/>
    </row>
    <row r="803" ht="15.75" customHeight="1">
      <c r="K803" s="52"/>
      <c r="L803" s="52"/>
    </row>
    <row r="804" ht="15.75" customHeight="1">
      <c r="K804" s="52"/>
      <c r="L804" s="52"/>
    </row>
    <row r="805" ht="15.75" customHeight="1">
      <c r="K805" s="52"/>
      <c r="L805" s="52"/>
    </row>
    <row r="806" ht="15.75" customHeight="1">
      <c r="K806" s="52"/>
      <c r="L806" s="52"/>
    </row>
    <row r="807" ht="15.75" customHeight="1">
      <c r="K807" s="52"/>
      <c r="L807" s="52"/>
    </row>
    <row r="808" ht="15.75" customHeight="1">
      <c r="K808" s="52"/>
      <c r="L808" s="52"/>
    </row>
    <row r="809" ht="15.75" customHeight="1">
      <c r="K809" s="52"/>
      <c r="L809" s="52"/>
    </row>
    <row r="810" ht="15.75" customHeight="1">
      <c r="K810" s="52"/>
      <c r="L810" s="52"/>
    </row>
    <row r="811" ht="15.75" customHeight="1">
      <c r="K811" s="52"/>
      <c r="L811" s="52"/>
    </row>
    <row r="812" ht="15.75" customHeight="1">
      <c r="K812" s="52"/>
      <c r="L812" s="52"/>
    </row>
    <row r="813" ht="15.75" customHeight="1">
      <c r="K813" s="52"/>
      <c r="L813" s="52"/>
    </row>
    <row r="814" ht="15.75" customHeight="1">
      <c r="K814" s="52"/>
      <c r="L814" s="52"/>
    </row>
    <row r="815" ht="15.75" customHeight="1">
      <c r="K815" s="52"/>
      <c r="L815" s="52"/>
    </row>
    <row r="816" ht="15.75" customHeight="1">
      <c r="K816" s="52"/>
      <c r="L816" s="52"/>
    </row>
    <row r="817" ht="15.75" customHeight="1">
      <c r="K817" s="52"/>
      <c r="L817" s="52"/>
    </row>
    <row r="818" ht="15.75" customHeight="1">
      <c r="K818" s="52"/>
      <c r="L818" s="52"/>
    </row>
    <row r="819" ht="15.75" customHeight="1">
      <c r="K819" s="52"/>
      <c r="L819" s="52"/>
    </row>
    <row r="820" ht="15.75" customHeight="1">
      <c r="K820" s="52"/>
      <c r="L820" s="52"/>
    </row>
    <row r="821" ht="15.75" customHeight="1">
      <c r="K821" s="52"/>
      <c r="L821" s="52"/>
    </row>
    <row r="822" ht="15.75" customHeight="1">
      <c r="K822" s="52"/>
      <c r="L822" s="52"/>
    </row>
    <row r="823" ht="15.75" customHeight="1">
      <c r="K823" s="52"/>
      <c r="L823" s="52"/>
    </row>
    <row r="824" ht="15.75" customHeight="1">
      <c r="K824" s="52"/>
      <c r="L824" s="52"/>
    </row>
    <row r="825" ht="15.75" customHeight="1">
      <c r="K825" s="52"/>
      <c r="L825" s="52"/>
    </row>
    <row r="826" ht="15.75" customHeight="1">
      <c r="K826" s="52"/>
      <c r="L826" s="52"/>
    </row>
    <row r="827" ht="15.75" customHeight="1">
      <c r="K827" s="52"/>
      <c r="L827" s="52"/>
    </row>
    <row r="828" ht="15.75" customHeight="1">
      <c r="K828" s="52"/>
      <c r="L828" s="52"/>
    </row>
    <row r="829" ht="15.75" customHeight="1">
      <c r="K829" s="52"/>
      <c r="L829" s="52"/>
    </row>
    <row r="830" ht="15.75" customHeight="1">
      <c r="K830" s="52"/>
      <c r="L830" s="52"/>
    </row>
    <row r="831" ht="15.75" customHeight="1">
      <c r="K831" s="52"/>
      <c r="L831" s="52"/>
    </row>
    <row r="832" ht="15.75" customHeight="1">
      <c r="K832" s="52"/>
      <c r="L832" s="52"/>
    </row>
    <row r="833" ht="15.75" customHeight="1">
      <c r="K833" s="52"/>
      <c r="L833" s="52"/>
    </row>
    <row r="834" ht="15.75" customHeight="1">
      <c r="K834" s="52"/>
      <c r="L834" s="52"/>
    </row>
    <row r="835" ht="15.75" customHeight="1">
      <c r="K835" s="52"/>
      <c r="L835" s="52"/>
    </row>
    <row r="836" ht="15.75" customHeight="1">
      <c r="K836" s="52"/>
      <c r="L836" s="52"/>
    </row>
    <row r="837" ht="15.75" customHeight="1">
      <c r="K837" s="52"/>
      <c r="L837" s="52"/>
    </row>
    <row r="838" ht="15.75" customHeight="1">
      <c r="K838" s="52"/>
      <c r="L838" s="52"/>
    </row>
    <row r="839" ht="15.75" customHeight="1">
      <c r="K839" s="52"/>
      <c r="L839" s="52"/>
    </row>
    <row r="840" ht="15.75" customHeight="1">
      <c r="K840" s="52"/>
      <c r="L840" s="52"/>
    </row>
    <row r="841" ht="15.75" customHeight="1">
      <c r="K841" s="52"/>
      <c r="L841" s="52"/>
    </row>
    <row r="842" ht="15.75" customHeight="1">
      <c r="K842" s="52"/>
      <c r="L842" s="52"/>
    </row>
    <row r="843" ht="15.75" customHeight="1">
      <c r="K843" s="52"/>
      <c r="L843" s="52"/>
    </row>
    <row r="844" ht="15.75" customHeight="1">
      <c r="K844" s="52"/>
      <c r="L844" s="52"/>
    </row>
    <row r="845" ht="15.75" customHeight="1">
      <c r="K845" s="52"/>
      <c r="L845" s="52"/>
    </row>
    <row r="846" ht="15.75" customHeight="1">
      <c r="K846" s="52"/>
      <c r="L846" s="52"/>
    </row>
    <row r="847" ht="15.75" customHeight="1">
      <c r="K847" s="52"/>
      <c r="L847" s="52"/>
    </row>
    <row r="848" ht="15.75" customHeight="1">
      <c r="K848" s="52"/>
      <c r="L848" s="52"/>
    </row>
    <row r="849" ht="15.75" customHeight="1">
      <c r="K849" s="52"/>
      <c r="L849" s="52"/>
    </row>
    <row r="850" ht="15.75" customHeight="1">
      <c r="K850" s="52"/>
      <c r="L850" s="52"/>
    </row>
    <row r="851" ht="15.75" customHeight="1">
      <c r="K851" s="52"/>
      <c r="L851" s="52"/>
    </row>
    <row r="852" ht="15.75" customHeight="1">
      <c r="K852" s="52"/>
      <c r="L852" s="52"/>
    </row>
    <row r="853" ht="15.75" customHeight="1">
      <c r="K853" s="52"/>
      <c r="L853" s="52"/>
    </row>
    <row r="854" ht="15.75" customHeight="1">
      <c r="K854" s="52"/>
      <c r="L854" s="52"/>
    </row>
    <row r="855" ht="15.75" customHeight="1">
      <c r="K855" s="52"/>
      <c r="L855" s="52"/>
    </row>
    <row r="856" ht="15.75" customHeight="1">
      <c r="K856" s="52"/>
      <c r="L856" s="52"/>
    </row>
    <row r="857" ht="15.75" customHeight="1">
      <c r="K857" s="52"/>
      <c r="L857" s="52"/>
    </row>
    <row r="858" ht="15.75" customHeight="1">
      <c r="K858" s="52"/>
      <c r="L858" s="52"/>
    </row>
    <row r="859" ht="15.75" customHeight="1">
      <c r="K859" s="52"/>
      <c r="L859" s="52"/>
    </row>
    <row r="860" ht="15.75" customHeight="1">
      <c r="K860" s="52"/>
      <c r="L860" s="52"/>
    </row>
    <row r="861" ht="15.75" customHeight="1">
      <c r="K861" s="52"/>
      <c r="L861" s="52"/>
    </row>
    <row r="862" ht="15.75" customHeight="1">
      <c r="K862" s="52"/>
      <c r="L862" s="52"/>
    </row>
    <row r="863" ht="15.75" customHeight="1">
      <c r="K863" s="52"/>
      <c r="L863" s="52"/>
    </row>
    <row r="864" ht="15.75" customHeight="1">
      <c r="K864" s="52"/>
      <c r="L864" s="52"/>
    </row>
    <row r="865" ht="15.75" customHeight="1">
      <c r="K865" s="52"/>
      <c r="L865" s="52"/>
    </row>
    <row r="866" ht="15.75" customHeight="1">
      <c r="K866" s="52"/>
      <c r="L866" s="52"/>
    </row>
    <row r="867" ht="15.75" customHeight="1">
      <c r="K867" s="52"/>
      <c r="L867" s="52"/>
    </row>
    <row r="868" ht="15.75" customHeight="1">
      <c r="K868" s="52"/>
      <c r="L868" s="52"/>
    </row>
    <row r="869" ht="15.75" customHeight="1">
      <c r="K869" s="52"/>
      <c r="L869" s="52"/>
    </row>
    <row r="870" ht="15.75" customHeight="1">
      <c r="K870" s="52"/>
      <c r="L870" s="52"/>
    </row>
    <row r="871" ht="15.75" customHeight="1">
      <c r="K871" s="52"/>
      <c r="L871" s="52"/>
    </row>
    <row r="872" ht="15.75" customHeight="1">
      <c r="K872" s="52"/>
      <c r="L872" s="52"/>
    </row>
    <row r="873" ht="15.75" customHeight="1">
      <c r="K873" s="52"/>
      <c r="L873" s="52"/>
    </row>
    <row r="874" ht="15.75" customHeight="1">
      <c r="K874" s="52"/>
      <c r="L874" s="52"/>
    </row>
    <row r="875" ht="15.75" customHeight="1">
      <c r="K875" s="52"/>
      <c r="L875" s="52"/>
    </row>
    <row r="876" ht="15.75" customHeight="1">
      <c r="K876" s="52"/>
      <c r="L876" s="52"/>
    </row>
    <row r="877" ht="15.75" customHeight="1">
      <c r="K877" s="52"/>
      <c r="L877" s="52"/>
    </row>
    <row r="878" ht="15.75" customHeight="1">
      <c r="K878" s="52"/>
      <c r="L878" s="52"/>
    </row>
    <row r="879" ht="15.75" customHeight="1">
      <c r="K879" s="52"/>
      <c r="L879" s="52"/>
    </row>
    <row r="880" ht="15.75" customHeight="1">
      <c r="K880" s="52"/>
      <c r="L880" s="52"/>
    </row>
    <row r="881" ht="15.75" customHeight="1">
      <c r="K881" s="52"/>
      <c r="L881" s="52"/>
    </row>
    <row r="882" ht="15.75" customHeight="1">
      <c r="K882" s="52"/>
      <c r="L882" s="52"/>
    </row>
    <row r="883" ht="15.75" customHeight="1">
      <c r="K883" s="52"/>
      <c r="L883" s="52"/>
    </row>
    <row r="884" ht="15.75" customHeight="1">
      <c r="K884" s="52"/>
      <c r="L884" s="52"/>
    </row>
    <row r="885" ht="15.75" customHeight="1">
      <c r="K885" s="52"/>
      <c r="L885" s="52"/>
    </row>
    <row r="886" ht="15.75" customHeight="1">
      <c r="K886" s="52"/>
      <c r="L886" s="52"/>
    </row>
    <row r="887" ht="15.75" customHeight="1">
      <c r="K887" s="52"/>
      <c r="L887" s="52"/>
    </row>
    <row r="888" ht="15.75" customHeight="1">
      <c r="K888" s="52"/>
      <c r="L888" s="52"/>
    </row>
    <row r="889" ht="15.75" customHeight="1">
      <c r="K889" s="52"/>
      <c r="L889" s="52"/>
    </row>
    <row r="890" ht="15.75" customHeight="1">
      <c r="K890" s="52"/>
      <c r="L890" s="52"/>
    </row>
    <row r="891" ht="15.75" customHeight="1">
      <c r="K891" s="52"/>
      <c r="L891" s="52"/>
    </row>
    <row r="892" ht="15.75" customHeight="1">
      <c r="K892" s="52"/>
      <c r="L892" s="52"/>
    </row>
    <row r="893" ht="15.75" customHeight="1">
      <c r="K893" s="52"/>
      <c r="L893" s="52"/>
    </row>
    <row r="894" ht="15.75" customHeight="1">
      <c r="K894" s="52"/>
      <c r="L894" s="52"/>
    </row>
    <row r="895" ht="15.75" customHeight="1">
      <c r="K895" s="52"/>
      <c r="L895" s="52"/>
    </row>
    <row r="896" ht="15.75" customHeight="1">
      <c r="K896" s="52"/>
      <c r="L896" s="52"/>
    </row>
    <row r="897" ht="15.75" customHeight="1">
      <c r="K897" s="52"/>
      <c r="L897" s="52"/>
    </row>
    <row r="898" ht="15.75" customHeight="1">
      <c r="K898" s="52"/>
      <c r="L898" s="52"/>
    </row>
    <row r="899" ht="15.75" customHeight="1">
      <c r="K899" s="52"/>
      <c r="L899" s="52"/>
    </row>
    <row r="900" ht="15.75" customHeight="1">
      <c r="K900" s="52"/>
      <c r="L900" s="52"/>
    </row>
    <row r="901" ht="15.75" customHeight="1">
      <c r="K901" s="52"/>
      <c r="L901" s="52"/>
    </row>
    <row r="902" ht="15.75" customHeight="1">
      <c r="K902" s="52"/>
      <c r="L902" s="52"/>
    </row>
    <row r="903" ht="15.75" customHeight="1">
      <c r="K903" s="52"/>
      <c r="L903" s="52"/>
    </row>
    <row r="904" ht="15.75" customHeight="1">
      <c r="K904" s="52"/>
      <c r="L904" s="52"/>
    </row>
    <row r="905" ht="15.75" customHeight="1">
      <c r="K905" s="52"/>
      <c r="L905" s="52"/>
    </row>
    <row r="906" ht="15.75" customHeight="1">
      <c r="K906" s="52"/>
      <c r="L906" s="52"/>
    </row>
    <row r="907" ht="15.75" customHeight="1">
      <c r="K907" s="52"/>
      <c r="L907" s="52"/>
    </row>
    <row r="908" ht="15.75" customHeight="1">
      <c r="K908" s="52"/>
      <c r="L908" s="52"/>
    </row>
    <row r="909" ht="15.75" customHeight="1">
      <c r="K909" s="52"/>
      <c r="L909" s="52"/>
    </row>
    <row r="910" ht="15.75" customHeight="1">
      <c r="K910" s="52"/>
      <c r="L910" s="52"/>
    </row>
    <row r="911" ht="15.75" customHeight="1">
      <c r="K911" s="52"/>
      <c r="L911" s="52"/>
    </row>
    <row r="912" ht="15.75" customHeight="1">
      <c r="K912" s="52"/>
      <c r="L912" s="52"/>
    </row>
    <row r="913" ht="15.75" customHeight="1">
      <c r="K913" s="52"/>
      <c r="L913" s="52"/>
    </row>
    <row r="914" ht="15.75" customHeight="1">
      <c r="K914" s="52"/>
      <c r="L914" s="52"/>
    </row>
    <row r="915" ht="15.75" customHeight="1">
      <c r="K915" s="52"/>
      <c r="L915" s="52"/>
    </row>
    <row r="916" ht="15.75" customHeight="1">
      <c r="K916" s="52"/>
      <c r="L916" s="52"/>
    </row>
    <row r="917" ht="15.75" customHeight="1">
      <c r="K917" s="52"/>
      <c r="L917" s="52"/>
    </row>
    <row r="918" ht="15.75" customHeight="1">
      <c r="K918" s="52"/>
      <c r="L918" s="52"/>
    </row>
    <row r="919" ht="15.75" customHeight="1">
      <c r="K919" s="52"/>
      <c r="L919" s="52"/>
    </row>
    <row r="920" ht="15.75" customHeight="1">
      <c r="K920" s="52"/>
      <c r="L920" s="52"/>
    </row>
    <row r="921" ht="15.75" customHeight="1">
      <c r="K921" s="52"/>
      <c r="L921" s="52"/>
    </row>
    <row r="922" ht="15.75" customHeight="1">
      <c r="K922" s="52"/>
      <c r="L922" s="52"/>
    </row>
    <row r="923" ht="15.75" customHeight="1">
      <c r="K923" s="52"/>
      <c r="L923" s="52"/>
    </row>
    <row r="924" ht="15.75" customHeight="1">
      <c r="K924" s="52"/>
      <c r="L924" s="52"/>
    </row>
    <row r="925" ht="15.75" customHeight="1">
      <c r="K925" s="52"/>
      <c r="L925" s="52"/>
    </row>
    <row r="926" ht="15.75" customHeight="1">
      <c r="K926" s="52"/>
      <c r="L926" s="52"/>
    </row>
    <row r="927" ht="15.75" customHeight="1">
      <c r="K927" s="52"/>
      <c r="L927" s="52"/>
    </row>
    <row r="928" ht="15.75" customHeight="1">
      <c r="K928" s="52"/>
      <c r="L928" s="52"/>
    </row>
    <row r="929" ht="15.75" customHeight="1">
      <c r="K929" s="52"/>
      <c r="L929" s="52"/>
    </row>
    <row r="930" ht="15.75" customHeight="1">
      <c r="K930" s="52"/>
      <c r="L930" s="52"/>
    </row>
    <row r="931" ht="15.75" customHeight="1">
      <c r="K931" s="52"/>
      <c r="L931" s="52"/>
    </row>
    <row r="932" ht="15.75" customHeight="1">
      <c r="K932" s="52"/>
      <c r="L932" s="52"/>
    </row>
    <row r="933" ht="15.75" customHeight="1">
      <c r="K933" s="52"/>
      <c r="L933" s="52"/>
    </row>
    <row r="934" ht="15.75" customHeight="1">
      <c r="K934" s="52"/>
      <c r="L934" s="52"/>
    </row>
    <row r="935" ht="15.75" customHeight="1">
      <c r="K935" s="52"/>
      <c r="L935" s="52"/>
    </row>
    <row r="936" ht="15.75" customHeight="1">
      <c r="K936" s="52"/>
      <c r="L936" s="52"/>
    </row>
    <row r="937" ht="15.75" customHeight="1">
      <c r="K937" s="52"/>
      <c r="L937" s="52"/>
    </row>
    <row r="938" ht="15.75" customHeight="1">
      <c r="K938" s="52"/>
      <c r="L938" s="52"/>
    </row>
    <row r="939" ht="15.75" customHeight="1">
      <c r="K939" s="52"/>
      <c r="L939" s="52"/>
    </row>
    <row r="940" ht="15.75" customHeight="1">
      <c r="K940" s="52"/>
      <c r="L940" s="52"/>
    </row>
    <row r="941" ht="15.75" customHeight="1">
      <c r="K941" s="52"/>
      <c r="L941" s="52"/>
    </row>
    <row r="942" ht="15.75" customHeight="1">
      <c r="K942" s="52"/>
      <c r="L942" s="52"/>
    </row>
    <row r="943" ht="15.75" customHeight="1">
      <c r="K943" s="52"/>
      <c r="L943" s="52"/>
    </row>
    <row r="944" ht="15.75" customHeight="1">
      <c r="K944" s="52"/>
      <c r="L944" s="52"/>
    </row>
    <row r="945" ht="15.75" customHeight="1">
      <c r="K945" s="52"/>
      <c r="L945" s="52"/>
    </row>
    <row r="946" ht="15.75" customHeight="1">
      <c r="K946" s="52"/>
      <c r="L946" s="52"/>
    </row>
    <row r="947" ht="15.75" customHeight="1">
      <c r="K947" s="52"/>
      <c r="L947" s="52"/>
    </row>
    <row r="948" ht="15.75" customHeight="1">
      <c r="K948" s="52"/>
      <c r="L948" s="52"/>
    </row>
    <row r="949" ht="15.75" customHeight="1">
      <c r="K949" s="52"/>
      <c r="L949" s="52"/>
    </row>
    <row r="950" ht="15.75" customHeight="1">
      <c r="K950" s="52"/>
      <c r="L950" s="52"/>
    </row>
    <row r="951" ht="15.75" customHeight="1">
      <c r="K951" s="52"/>
      <c r="L951" s="52"/>
    </row>
    <row r="952" ht="15.75" customHeight="1">
      <c r="K952" s="52"/>
      <c r="L952" s="52"/>
    </row>
    <row r="953" ht="15.75" customHeight="1">
      <c r="K953" s="52"/>
      <c r="L953" s="52"/>
    </row>
    <row r="954" ht="15.75" customHeight="1">
      <c r="K954" s="52"/>
      <c r="L954" s="52"/>
    </row>
    <row r="955" ht="15.75" customHeight="1">
      <c r="K955" s="52"/>
      <c r="L955" s="52"/>
    </row>
    <row r="956" ht="15.75" customHeight="1">
      <c r="K956" s="52"/>
      <c r="L956" s="52"/>
    </row>
    <row r="957" ht="15.75" customHeight="1">
      <c r="K957" s="52"/>
      <c r="L957" s="52"/>
    </row>
    <row r="958" ht="15.75" customHeight="1">
      <c r="K958" s="52"/>
      <c r="L958" s="52"/>
    </row>
    <row r="959" ht="15.75" customHeight="1">
      <c r="K959" s="52"/>
      <c r="L959" s="52"/>
    </row>
    <row r="960" ht="15.75" customHeight="1">
      <c r="K960" s="52"/>
      <c r="L960" s="52"/>
    </row>
    <row r="961" ht="15.75" customHeight="1">
      <c r="K961" s="52"/>
      <c r="L961" s="52"/>
    </row>
    <row r="962" ht="15.75" customHeight="1">
      <c r="K962" s="52"/>
      <c r="L962" s="52"/>
    </row>
    <row r="963" ht="15.75" customHeight="1">
      <c r="K963" s="52"/>
      <c r="L963" s="52"/>
    </row>
    <row r="964" ht="15.75" customHeight="1">
      <c r="K964" s="52"/>
      <c r="L964" s="52"/>
    </row>
    <row r="965" ht="15.75" customHeight="1">
      <c r="K965" s="52"/>
      <c r="L965" s="52"/>
    </row>
    <row r="966" ht="15.75" customHeight="1">
      <c r="K966" s="52"/>
      <c r="L966" s="52"/>
    </row>
    <row r="967" ht="15.75" customHeight="1">
      <c r="K967" s="52"/>
      <c r="L967" s="52"/>
    </row>
    <row r="968" ht="15.75" customHeight="1">
      <c r="K968" s="52"/>
      <c r="L968" s="52"/>
    </row>
    <row r="969" ht="15.75" customHeight="1">
      <c r="K969" s="52"/>
      <c r="L969" s="52"/>
    </row>
    <row r="970" ht="15.75" customHeight="1">
      <c r="K970" s="52"/>
      <c r="L970" s="52"/>
    </row>
    <row r="971" ht="15.75" customHeight="1">
      <c r="K971" s="52"/>
      <c r="L971" s="52"/>
    </row>
    <row r="972" ht="15.75" customHeight="1">
      <c r="K972" s="52"/>
      <c r="L972" s="52"/>
    </row>
    <row r="973" ht="15.75" customHeight="1">
      <c r="K973" s="52"/>
      <c r="L973" s="52"/>
    </row>
    <row r="974" ht="15.75" customHeight="1">
      <c r="K974" s="52"/>
      <c r="L974" s="52"/>
    </row>
    <row r="975" ht="15.75" customHeight="1">
      <c r="K975" s="52"/>
      <c r="L975" s="52"/>
    </row>
    <row r="976" ht="15.75" customHeight="1">
      <c r="K976" s="52"/>
      <c r="L976" s="52"/>
    </row>
    <row r="977" ht="15.75" customHeight="1">
      <c r="K977" s="52"/>
      <c r="L977" s="52"/>
    </row>
    <row r="978" ht="15.75" customHeight="1">
      <c r="K978" s="52"/>
      <c r="L978" s="52"/>
    </row>
    <row r="979" ht="15.75" customHeight="1">
      <c r="K979" s="52"/>
      <c r="L979" s="52"/>
    </row>
    <row r="980" ht="15.75" customHeight="1">
      <c r="K980" s="52"/>
      <c r="L980" s="52"/>
    </row>
    <row r="981" ht="15.75" customHeight="1">
      <c r="K981" s="52"/>
      <c r="L981" s="52"/>
    </row>
    <row r="982" ht="15.75" customHeight="1">
      <c r="K982" s="52"/>
      <c r="L982" s="52"/>
    </row>
    <row r="983" ht="15.75" customHeight="1">
      <c r="K983" s="52"/>
      <c r="L983" s="52"/>
    </row>
    <row r="984" ht="15.75" customHeight="1">
      <c r="K984" s="52"/>
      <c r="L984" s="52"/>
    </row>
    <row r="985" ht="15.75" customHeight="1">
      <c r="K985" s="52"/>
      <c r="L985" s="52"/>
    </row>
    <row r="986" ht="15.75" customHeight="1">
      <c r="K986" s="52"/>
      <c r="L986" s="52"/>
    </row>
    <row r="987" ht="15.75" customHeight="1">
      <c r="K987" s="52"/>
      <c r="L987" s="52"/>
    </row>
    <row r="988" ht="15.75" customHeight="1">
      <c r="K988" s="52"/>
      <c r="L988" s="52"/>
    </row>
    <row r="989" ht="15.75" customHeight="1">
      <c r="K989" s="52"/>
      <c r="L989" s="52"/>
    </row>
    <row r="990" ht="15.75" customHeight="1">
      <c r="K990" s="52"/>
      <c r="L990" s="52"/>
    </row>
    <row r="991" ht="15.75" customHeight="1">
      <c r="K991" s="52"/>
      <c r="L991" s="52"/>
    </row>
    <row r="992" ht="15.75" customHeight="1">
      <c r="K992" s="52"/>
      <c r="L992" s="52"/>
    </row>
    <row r="993" ht="15.75" customHeight="1">
      <c r="K993" s="52"/>
      <c r="L993" s="52"/>
    </row>
    <row r="994" ht="15.75" customHeight="1">
      <c r="K994" s="52"/>
      <c r="L994" s="52"/>
    </row>
    <row r="995" ht="15.75" customHeight="1">
      <c r="K995" s="52"/>
      <c r="L995" s="52"/>
    </row>
    <row r="996" ht="15.75" customHeight="1">
      <c r="K996" s="52"/>
      <c r="L996" s="52"/>
    </row>
    <row r="997" ht="15.75" customHeight="1">
      <c r="K997" s="52"/>
      <c r="L997" s="52"/>
    </row>
    <row r="998" ht="15.75" customHeight="1">
      <c r="K998" s="52"/>
      <c r="L998" s="52"/>
    </row>
    <row r="999" ht="15.75" customHeight="1">
      <c r="K999" s="52"/>
      <c r="L999" s="52"/>
    </row>
    <row r="1000" ht="15.75" customHeight="1">
      <c r="K1000" s="52"/>
      <c r="L1000" s="52"/>
    </row>
  </sheetData>
  <autoFilter ref="$A$1:$Z$1000"/>
  <mergeCells count="4">
    <mergeCell ref="G4:J4"/>
    <mergeCell ref="K4:M4"/>
    <mergeCell ref="N4:P4"/>
    <mergeCell ref="Q4:T4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9.43"/>
    <col customWidth="1" min="3" max="3" width="22.86"/>
    <col customWidth="1" min="4" max="26" width="10.71"/>
  </cols>
  <sheetData>
    <row r="2">
      <c r="A2" s="104" t="s">
        <v>321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</row>
    <row r="3" ht="1.5" customHeight="1"/>
    <row r="4" ht="29.25" customHeight="1">
      <c r="A4" s="105" t="s">
        <v>322</v>
      </c>
      <c r="B4" s="105" t="s">
        <v>323</v>
      </c>
      <c r="C4" s="105" t="s">
        <v>324</v>
      </c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</row>
    <row r="5" ht="39.75" customHeight="1">
      <c r="A5" s="107">
        <v>1.0</v>
      </c>
      <c r="B5" s="108" t="s">
        <v>199</v>
      </c>
      <c r="C5" s="108" t="s">
        <v>290</v>
      </c>
    </row>
    <row r="6" ht="45.75" customHeight="1">
      <c r="A6" s="107">
        <v>2.0</v>
      </c>
      <c r="B6" s="108" t="s">
        <v>192</v>
      </c>
      <c r="C6" s="108" t="s">
        <v>260</v>
      </c>
    </row>
    <row r="7" ht="44.25" customHeight="1">
      <c r="A7" s="107">
        <v>3.0</v>
      </c>
      <c r="B7" s="108" t="s">
        <v>325</v>
      </c>
      <c r="C7" s="108" t="s">
        <v>326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2022-12-13T09:39:50Z</dcterms:created>
  <dc:creator>Utilisateur Windows</dc:creator>
</cp:coreProperties>
</file>